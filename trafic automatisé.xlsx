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48fc15bb8ac7b1/Bureau/A GARDER/excel utile/Autre calcul (agc uk^J integra)/"/>
    </mc:Choice>
  </mc:AlternateContent>
  <xr:revisionPtr revIDLastSave="0" documentId="8_{4B60C8A7-29ED-4869-BE06-BA78245867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onnées Bruts" sheetId="2" r:id="rId1"/>
    <sheet name="Combiner" sheetId="6" r:id="rId2"/>
    <sheet name="Séparer" sheetId="7" r:id="rId3"/>
    <sheet name="Valeur Additionelle" sheetId="5" r:id="rId4"/>
    <sheet name="ETAPE" sheetId="3" r:id="rId5"/>
    <sheet name="Trafic - Résumé " sheetId="4" r:id="rId6"/>
  </sheets>
  <externalReferences>
    <externalReference r:id="rId7"/>
  </externalReferences>
  <definedNames>
    <definedName name="_xlnm._FilterDatabase" localSheetId="1" hidden="1">Combiner!$A$1:$Q$835</definedName>
    <definedName name="_xlnm._FilterDatabase" localSheetId="0" hidden="1">'Données Bruts'!$A$1:$R$835</definedName>
    <definedName name="_xlnm._FilterDatabase" localSheetId="2" hidden="1">Séparer!$H$1:$R$253</definedName>
  </definedNames>
  <calcPr calcId="191029"/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" i="7"/>
  <c r="R256" i="7" l="1"/>
  <c r="Q256" i="7"/>
  <c r="P256" i="7"/>
  <c r="O256" i="7"/>
  <c r="N256" i="7"/>
  <c r="L256" i="7"/>
  <c r="K256" i="7"/>
  <c r="J256" i="7"/>
  <c r="U258" i="6"/>
  <c r="V258" i="6"/>
  <c r="W258" i="6"/>
  <c r="X258" i="6"/>
  <c r="Y258" i="6"/>
  <c r="Z258" i="6"/>
  <c r="AA258" i="6"/>
  <c r="AB258" i="6"/>
  <c r="T258" i="6"/>
  <c r="Q838" i="6"/>
  <c r="P838" i="6"/>
  <c r="O838" i="6"/>
  <c r="N838" i="6"/>
  <c r="M838" i="6"/>
  <c r="L838" i="6"/>
  <c r="K838" i="6"/>
  <c r="J838" i="6"/>
  <c r="I838" i="6"/>
  <c r="D838" i="6"/>
  <c r="C838" i="6"/>
  <c r="B838" i="6"/>
  <c r="A838" i="6"/>
  <c r="E835" i="6"/>
  <c r="G834" i="6"/>
  <c r="F834" i="6"/>
  <c r="E834" i="6"/>
  <c r="F833" i="6"/>
  <c r="E832" i="6"/>
  <c r="E831" i="6"/>
  <c r="E830" i="6"/>
  <c r="F829" i="6"/>
  <c r="E829" i="6"/>
  <c r="F828" i="6"/>
  <c r="E828" i="6"/>
  <c r="F826" i="6"/>
  <c r="E826" i="6"/>
  <c r="F825" i="6"/>
  <c r="E825" i="6"/>
  <c r="F824" i="6"/>
  <c r="E824" i="6"/>
  <c r="F823" i="6"/>
  <c r="E823" i="6"/>
  <c r="F822" i="6"/>
  <c r="E822" i="6"/>
  <c r="E821" i="6"/>
  <c r="E820" i="6"/>
  <c r="F819" i="6"/>
  <c r="E819" i="6"/>
  <c r="E818" i="6"/>
  <c r="E817" i="6"/>
  <c r="F816" i="6"/>
  <c r="E816" i="6"/>
  <c r="E815" i="6"/>
  <c r="F814" i="6"/>
  <c r="E814" i="6"/>
  <c r="E813" i="6"/>
  <c r="F812" i="6"/>
  <c r="E812" i="6"/>
  <c r="E811" i="6"/>
  <c r="E810" i="6"/>
  <c r="E809" i="6"/>
  <c r="F808" i="6"/>
  <c r="E808" i="6"/>
  <c r="E807" i="6"/>
  <c r="E806" i="6"/>
  <c r="F805" i="6"/>
  <c r="E805" i="6"/>
  <c r="E804" i="6"/>
  <c r="E803" i="6"/>
  <c r="E802" i="6"/>
  <c r="F801" i="6"/>
  <c r="E801" i="6"/>
  <c r="E800" i="6"/>
  <c r="F799" i="6"/>
  <c r="E799" i="6"/>
  <c r="E798" i="6"/>
  <c r="E796" i="6"/>
  <c r="E795" i="6"/>
  <c r="E793" i="6"/>
  <c r="E792" i="6"/>
  <c r="E791" i="6"/>
  <c r="E790" i="6"/>
  <c r="E789" i="6"/>
  <c r="E787" i="6"/>
  <c r="E786" i="6"/>
  <c r="E785" i="6"/>
  <c r="E784" i="6"/>
  <c r="E783" i="6"/>
  <c r="E782" i="6"/>
  <c r="F781" i="6"/>
  <c r="E781" i="6"/>
  <c r="F780" i="6"/>
  <c r="E780" i="6"/>
  <c r="E779" i="6"/>
  <c r="E778" i="6"/>
  <c r="E777" i="6"/>
  <c r="G776" i="6"/>
  <c r="F776" i="6"/>
  <c r="E776" i="6"/>
  <c r="E775" i="6"/>
  <c r="E774" i="6"/>
  <c r="E773" i="6"/>
  <c r="E772" i="6"/>
  <c r="E771" i="6"/>
  <c r="E770" i="6"/>
  <c r="E769" i="6"/>
  <c r="G768" i="6"/>
  <c r="F768" i="6"/>
  <c r="E768" i="6"/>
  <c r="E767" i="6"/>
  <c r="F766" i="6"/>
  <c r="E766" i="6"/>
  <c r="E765" i="6"/>
  <c r="E764" i="6"/>
  <c r="E763" i="6"/>
  <c r="E762" i="6"/>
  <c r="G761" i="6"/>
  <c r="F761" i="6"/>
  <c r="E761" i="6"/>
  <c r="E760" i="6"/>
  <c r="E759" i="6"/>
  <c r="E758" i="6"/>
  <c r="E757" i="6"/>
  <c r="F756" i="6"/>
  <c r="E756" i="6"/>
  <c r="F755" i="6"/>
  <c r="E755" i="6"/>
  <c r="F754" i="6"/>
  <c r="E754" i="6"/>
  <c r="E753" i="6"/>
  <c r="E752" i="6"/>
  <c r="F751" i="6"/>
  <c r="E751" i="6"/>
  <c r="G750" i="6"/>
  <c r="F750" i="6"/>
  <c r="E750" i="6"/>
  <c r="E749" i="6"/>
  <c r="F748" i="6"/>
  <c r="E748" i="6"/>
  <c r="F747" i="6"/>
  <c r="E747" i="6"/>
  <c r="E746" i="6"/>
  <c r="E745" i="6"/>
  <c r="E744" i="6"/>
  <c r="E743" i="6"/>
  <c r="F742" i="6"/>
  <c r="E742" i="6"/>
  <c r="E741" i="6"/>
  <c r="E740" i="6"/>
  <c r="E739" i="6"/>
  <c r="F738" i="6"/>
  <c r="E738" i="6"/>
  <c r="E737" i="6"/>
  <c r="E736" i="6"/>
  <c r="G735" i="6"/>
  <c r="F735" i="6"/>
  <c r="E735" i="6"/>
  <c r="F734" i="6"/>
  <c r="E734" i="6"/>
  <c r="E733" i="6"/>
  <c r="G732" i="6"/>
  <c r="F732" i="6"/>
  <c r="E732" i="6"/>
  <c r="E731" i="6"/>
  <c r="F730" i="6"/>
  <c r="E730" i="6"/>
  <c r="F729" i="6"/>
  <c r="E729" i="6"/>
  <c r="E728" i="6"/>
  <c r="E727" i="6"/>
  <c r="E726" i="6"/>
  <c r="E725" i="6"/>
  <c r="E724" i="6"/>
  <c r="E723" i="6"/>
  <c r="E722" i="6"/>
  <c r="E721" i="6"/>
  <c r="E720" i="6"/>
  <c r="E719" i="6"/>
  <c r="F718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G693" i="6"/>
  <c r="F693" i="6"/>
  <c r="E693" i="6"/>
  <c r="F692" i="6"/>
  <c r="E692" i="6"/>
  <c r="E691" i="6"/>
  <c r="E690" i="6"/>
  <c r="F689" i="6"/>
  <c r="E689" i="6"/>
  <c r="E688" i="6"/>
  <c r="E687" i="6"/>
  <c r="E686" i="6"/>
  <c r="E685" i="6"/>
  <c r="G684" i="6"/>
  <c r="F684" i="6"/>
  <c r="E684" i="6"/>
  <c r="E683" i="6"/>
  <c r="E682" i="6"/>
  <c r="E681" i="6"/>
  <c r="E680" i="6"/>
  <c r="E679" i="6"/>
  <c r="E678" i="6"/>
  <c r="E677" i="6"/>
  <c r="E676" i="6"/>
  <c r="F675" i="6"/>
  <c r="E675" i="6"/>
  <c r="E674" i="6"/>
  <c r="E673" i="6"/>
  <c r="E672" i="6"/>
  <c r="E671" i="6"/>
  <c r="F670" i="6"/>
  <c r="E670" i="6"/>
  <c r="E669" i="6"/>
  <c r="E668" i="6"/>
  <c r="F667" i="6"/>
  <c r="E667" i="6"/>
  <c r="E666" i="6"/>
  <c r="G665" i="6"/>
  <c r="F665" i="6"/>
  <c r="E665" i="6"/>
  <c r="G664" i="6"/>
  <c r="F664" i="6"/>
  <c r="E664" i="6"/>
  <c r="E663" i="6"/>
  <c r="F662" i="6"/>
  <c r="E662" i="6"/>
  <c r="F661" i="6"/>
  <c r="E661" i="6"/>
  <c r="E660" i="6"/>
  <c r="E659" i="6"/>
  <c r="E658" i="6"/>
  <c r="E657" i="6"/>
  <c r="G656" i="6"/>
  <c r="F656" i="6"/>
  <c r="E656" i="6"/>
  <c r="E655" i="6"/>
  <c r="E654" i="6"/>
  <c r="E653" i="6"/>
  <c r="E652" i="6"/>
  <c r="E651" i="6"/>
  <c r="G650" i="6"/>
  <c r="F650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F598" i="6"/>
  <c r="E598" i="6"/>
  <c r="E597" i="6"/>
  <c r="E596" i="6"/>
  <c r="E595" i="6"/>
  <c r="E594" i="6"/>
  <c r="E593" i="6"/>
  <c r="E592" i="6"/>
  <c r="F591" i="6"/>
  <c r="E591" i="6"/>
  <c r="F590" i="6"/>
  <c r="E590" i="6"/>
  <c r="E589" i="6"/>
  <c r="E588" i="6"/>
  <c r="F587" i="6"/>
  <c r="E587" i="6"/>
  <c r="E586" i="6"/>
  <c r="E585" i="6"/>
  <c r="F584" i="6"/>
  <c r="E584" i="6"/>
  <c r="E583" i="6"/>
  <c r="E582" i="6"/>
  <c r="E581" i="6"/>
  <c r="E580" i="6"/>
  <c r="E579" i="6"/>
  <c r="G578" i="6"/>
  <c r="F578" i="6"/>
  <c r="E578" i="6"/>
  <c r="E577" i="6"/>
  <c r="E576" i="6"/>
  <c r="E575" i="6"/>
  <c r="F574" i="6"/>
  <c r="E574" i="6"/>
  <c r="F573" i="6"/>
  <c r="E573" i="6"/>
  <c r="G572" i="6"/>
  <c r="F572" i="6"/>
  <c r="E572" i="6"/>
  <c r="G571" i="6"/>
  <c r="F571" i="6"/>
  <c r="E571" i="6"/>
  <c r="E570" i="6"/>
  <c r="E569" i="6"/>
  <c r="E568" i="6"/>
  <c r="E567" i="6"/>
  <c r="E566" i="6"/>
  <c r="F565" i="6"/>
  <c r="E565" i="6"/>
  <c r="E564" i="6"/>
  <c r="E563" i="6"/>
  <c r="E562" i="6"/>
  <c r="E561" i="6"/>
  <c r="E560" i="6"/>
  <c r="E559" i="6"/>
  <c r="E558" i="6"/>
  <c r="E557" i="6"/>
  <c r="E556" i="6"/>
  <c r="E555" i="6"/>
  <c r="G554" i="6"/>
  <c r="F554" i="6"/>
  <c r="E554" i="6"/>
  <c r="E553" i="6"/>
  <c r="F552" i="6"/>
  <c r="E552" i="6"/>
  <c r="E551" i="6"/>
  <c r="E550" i="6"/>
  <c r="E549" i="6"/>
  <c r="E548" i="6"/>
  <c r="F547" i="6"/>
  <c r="E547" i="6"/>
  <c r="F546" i="6"/>
  <c r="E546" i="6"/>
  <c r="F545" i="6"/>
  <c r="E545" i="6"/>
  <c r="E544" i="6"/>
  <c r="G543" i="6"/>
  <c r="F543" i="6"/>
  <c r="E543" i="6"/>
  <c r="E542" i="6"/>
  <c r="F541" i="6"/>
  <c r="E541" i="6"/>
  <c r="E540" i="6"/>
  <c r="E539" i="6"/>
  <c r="E538" i="6"/>
  <c r="E537" i="6"/>
  <c r="F536" i="6"/>
  <c r="E536" i="6"/>
  <c r="F535" i="6"/>
  <c r="E535" i="6"/>
  <c r="E534" i="6"/>
  <c r="E533" i="6"/>
  <c r="F532" i="6"/>
  <c r="E532" i="6"/>
  <c r="E531" i="6"/>
  <c r="E530" i="6"/>
  <c r="E529" i="6"/>
  <c r="F528" i="6"/>
  <c r="E528" i="6"/>
  <c r="E527" i="6"/>
  <c r="F526" i="6"/>
  <c r="E526" i="6"/>
  <c r="F525" i="6"/>
  <c r="E525" i="6"/>
  <c r="F524" i="6"/>
  <c r="E524" i="6"/>
  <c r="E523" i="6"/>
  <c r="F522" i="6"/>
  <c r="E522" i="6"/>
  <c r="E521" i="6"/>
  <c r="E520" i="6"/>
  <c r="E519" i="6"/>
  <c r="F518" i="6"/>
  <c r="E518" i="6"/>
  <c r="F517" i="6"/>
  <c r="E517" i="6"/>
  <c r="E516" i="6"/>
  <c r="E515" i="6"/>
  <c r="E514" i="6"/>
  <c r="E513" i="6"/>
  <c r="E512" i="6"/>
  <c r="E511" i="6"/>
  <c r="E510" i="6"/>
  <c r="E509" i="6"/>
  <c r="F508" i="6"/>
  <c r="E508" i="6"/>
  <c r="E507" i="6"/>
  <c r="F506" i="6"/>
  <c r="E506" i="6"/>
  <c r="E505" i="6"/>
  <c r="E504" i="6"/>
  <c r="F503" i="6"/>
  <c r="E503" i="6"/>
  <c r="E502" i="6"/>
  <c r="E500" i="6"/>
  <c r="E499" i="6"/>
  <c r="E498" i="6"/>
  <c r="E497" i="6"/>
  <c r="E496" i="6"/>
  <c r="E493" i="6"/>
  <c r="E492" i="6"/>
  <c r="E491" i="6"/>
  <c r="E490" i="6"/>
  <c r="E489" i="6"/>
  <c r="E488" i="6"/>
  <c r="F487" i="6"/>
  <c r="E487" i="6"/>
  <c r="E486" i="6"/>
  <c r="G485" i="6"/>
  <c r="F485" i="6"/>
  <c r="E485" i="6"/>
  <c r="E484" i="6"/>
  <c r="E483" i="6"/>
  <c r="F482" i="6"/>
  <c r="E482" i="6"/>
  <c r="G481" i="6"/>
  <c r="F481" i="6"/>
  <c r="E481" i="6"/>
  <c r="E480" i="6"/>
  <c r="E479" i="6"/>
  <c r="E478" i="6"/>
  <c r="E477" i="6"/>
  <c r="E476" i="6"/>
  <c r="E475" i="6"/>
  <c r="E474" i="6"/>
  <c r="G473" i="6"/>
  <c r="F473" i="6"/>
  <c r="E473" i="6"/>
  <c r="E472" i="6"/>
  <c r="F471" i="6"/>
  <c r="E471" i="6"/>
  <c r="E470" i="6"/>
  <c r="F469" i="6"/>
  <c r="E469" i="6"/>
  <c r="E468" i="6"/>
  <c r="E467" i="6"/>
  <c r="E466" i="6"/>
  <c r="F465" i="6"/>
  <c r="E465" i="6"/>
  <c r="F464" i="6"/>
  <c r="E464" i="6"/>
  <c r="E463" i="6"/>
  <c r="E462" i="6"/>
  <c r="E461" i="6"/>
  <c r="E460" i="6"/>
  <c r="E459" i="6"/>
  <c r="E458" i="6"/>
  <c r="E457" i="6"/>
  <c r="G456" i="6"/>
  <c r="F456" i="6"/>
  <c r="E456" i="6"/>
  <c r="E455" i="6"/>
  <c r="E454" i="6"/>
  <c r="E453" i="6"/>
  <c r="E452" i="6"/>
  <c r="F451" i="6"/>
  <c r="E451" i="6"/>
  <c r="F450" i="6"/>
  <c r="E450" i="6"/>
  <c r="G449" i="6"/>
  <c r="F449" i="6"/>
  <c r="E449" i="6"/>
  <c r="F448" i="6"/>
  <c r="E448" i="6"/>
  <c r="E447" i="6"/>
  <c r="F446" i="6"/>
  <c r="E446" i="6"/>
  <c r="E445" i="6"/>
  <c r="E444" i="6"/>
  <c r="E443" i="6"/>
  <c r="F442" i="6"/>
  <c r="E442" i="6"/>
  <c r="E441" i="6"/>
  <c r="E440" i="6"/>
  <c r="E439" i="6"/>
  <c r="E438" i="6"/>
  <c r="E437" i="6"/>
  <c r="G435" i="6"/>
  <c r="F435" i="6"/>
  <c r="E435" i="6"/>
  <c r="E434" i="6"/>
  <c r="E433" i="6"/>
  <c r="F432" i="6"/>
  <c r="E432" i="6"/>
  <c r="E431" i="6"/>
  <c r="E430" i="6"/>
  <c r="F429" i="6"/>
  <c r="E429" i="6"/>
  <c r="F428" i="6"/>
  <c r="E428" i="6"/>
  <c r="E427" i="6"/>
  <c r="E426" i="6"/>
  <c r="E425" i="6"/>
  <c r="E424" i="6"/>
  <c r="E423" i="6"/>
  <c r="E422" i="6"/>
  <c r="E421" i="6"/>
  <c r="E420" i="6"/>
  <c r="E419" i="6"/>
  <c r="E418" i="6"/>
  <c r="G417" i="6"/>
  <c r="F417" i="6"/>
  <c r="E417" i="6"/>
  <c r="E416" i="6"/>
  <c r="E415" i="6"/>
  <c r="E414" i="6"/>
  <c r="E413" i="6"/>
  <c r="G412" i="6"/>
  <c r="F412" i="6"/>
  <c r="E412" i="6"/>
  <c r="E411" i="6"/>
  <c r="G410" i="6"/>
  <c r="F410" i="6"/>
  <c r="E410" i="6"/>
  <c r="G409" i="6"/>
  <c r="F409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F390" i="6"/>
  <c r="E390" i="6"/>
  <c r="G389" i="6"/>
  <c r="F389" i="6"/>
  <c r="E389" i="6"/>
  <c r="E388" i="6"/>
  <c r="E387" i="6"/>
  <c r="E386" i="6"/>
  <c r="E385" i="6"/>
  <c r="F384" i="6"/>
  <c r="E384" i="6"/>
  <c r="E383" i="6"/>
  <c r="E382" i="6"/>
  <c r="E381" i="6"/>
  <c r="F380" i="6"/>
  <c r="E380" i="6"/>
  <c r="F379" i="6"/>
  <c r="E379" i="6"/>
  <c r="E378" i="6"/>
  <c r="G377" i="6"/>
  <c r="F377" i="6"/>
  <c r="E377" i="6"/>
  <c r="E376" i="6"/>
  <c r="E375" i="6"/>
  <c r="E374" i="6"/>
  <c r="E373" i="6"/>
  <c r="E372" i="6"/>
  <c r="G371" i="6"/>
  <c r="F371" i="6"/>
  <c r="E371" i="6"/>
  <c r="E370" i="6"/>
  <c r="F369" i="6"/>
  <c r="E369" i="6"/>
  <c r="E368" i="6"/>
  <c r="E367" i="6"/>
  <c r="E366" i="6"/>
  <c r="G365" i="6"/>
  <c r="F365" i="6"/>
  <c r="E365" i="6"/>
  <c r="G364" i="6"/>
  <c r="F364" i="6"/>
  <c r="E364" i="6"/>
  <c r="E363" i="6"/>
  <c r="F362" i="6"/>
  <c r="E362" i="6"/>
  <c r="E361" i="6"/>
  <c r="E360" i="6"/>
  <c r="E359" i="6"/>
  <c r="E358" i="6"/>
  <c r="E357" i="6"/>
  <c r="F356" i="6"/>
  <c r="E356" i="6"/>
  <c r="G355" i="6"/>
  <c r="F355" i="6"/>
  <c r="E355" i="6"/>
  <c r="F354" i="6"/>
  <c r="E354" i="6"/>
  <c r="E353" i="6"/>
  <c r="G352" i="6"/>
  <c r="F352" i="6"/>
  <c r="E352" i="6"/>
  <c r="F351" i="6"/>
  <c r="E351" i="6"/>
  <c r="E350" i="6"/>
  <c r="F349" i="6"/>
  <c r="E349" i="6"/>
  <c r="F348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G304" i="6"/>
  <c r="F304" i="6"/>
  <c r="E304" i="6"/>
  <c r="E303" i="6"/>
  <c r="E302" i="6"/>
  <c r="E301" i="6"/>
  <c r="G300" i="6"/>
  <c r="F300" i="6"/>
  <c r="E300" i="6"/>
  <c r="F299" i="6"/>
  <c r="E299" i="6"/>
  <c r="E298" i="6"/>
  <c r="E297" i="6"/>
  <c r="E296" i="6"/>
  <c r="E295" i="6"/>
  <c r="F294" i="6"/>
  <c r="E294" i="6"/>
  <c r="E293" i="6"/>
  <c r="E292" i="6"/>
  <c r="E291" i="6"/>
  <c r="E290" i="6"/>
  <c r="E289" i="6"/>
  <c r="E288" i="6"/>
  <c r="F287" i="6"/>
  <c r="E287" i="6"/>
  <c r="E286" i="6"/>
  <c r="E285" i="6"/>
  <c r="E284" i="6"/>
  <c r="E283" i="6"/>
  <c r="E282" i="6"/>
  <c r="E281" i="6"/>
  <c r="E280" i="6"/>
  <c r="E279" i="6"/>
  <c r="E278" i="6"/>
  <c r="E277" i="6"/>
  <c r="G276" i="6"/>
  <c r="F276" i="6"/>
  <c r="E276" i="6"/>
  <c r="F275" i="6"/>
  <c r="E275" i="6"/>
  <c r="F274" i="6"/>
  <c r="E274" i="6"/>
  <c r="E273" i="6"/>
  <c r="F272" i="6"/>
  <c r="E272" i="6"/>
  <c r="E271" i="6"/>
  <c r="G270" i="6"/>
  <c r="F270" i="6"/>
  <c r="E270" i="6"/>
  <c r="F269" i="6"/>
  <c r="E269" i="6"/>
  <c r="E268" i="6"/>
  <c r="E267" i="6"/>
  <c r="E266" i="6"/>
  <c r="E265" i="6"/>
  <c r="E264" i="6"/>
  <c r="F263" i="6"/>
  <c r="E263" i="6"/>
  <c r="E262" i="6"/>
  <c r="E261" i="6"/>
  <c r="E260" i="6"/>
  <c r="F259" i="6"/>
  <c r="E259" i="6"/>
  <c r="F258" i="6"/>
  <c r="E258" i="6"/>
  <c r="E257" i="6"/>
  <c r="E256" i="6"/>
  <c r="E255" i="6"/>
  <c r="E254" i="6"/>
  <c r="E253" i="6"/>
  <c r="F252" i="6"/>
  <c r="E252" i="6"/>
  <c r="E251" i="6"/>
  <c r="F250" i="6"/>
  <c r="E250" i="6"/>
  <c r="E249" i="6"/>
  <c r="F248" i="6"/>
  <c r="E248" i="6"/>
  <c r="F247" i="6"/>
  <c r="E247" i="6"/>
  <c r="E246" i="6"/>
  <c r="E245" i="6"/>
  <c r="F244" i="6"/>
  <c r="E244" i="6"/>
  <c r="E243" i="6"/>
  <c r="E242" i="6"/>
  <c r="F241" i="6"/>
  <c r="E241" i="6"/>
  <c r="G240" i="6"/>
  <c r="F240" i="6"/>
  <c r="E240" i="6"/>
  <c r="E239" i="6"/>
  <c r="E238" i="6"/>
  <c r="E237" i="6"/>
  <c r="E55" i="4"/>
  <c r="L45" i="4"/>
  <c r="E45" i="4"/>
  <c r="E43" i="4"/>
  <c r="E40" i="4"/>
  <c r="E39" i="4"/>
  <c r="E37" i="4"/>
  <c r="E36" i="4"/>
  <c r="J26" i="4"/>
  <c r="I26" i="4"/>
  <c r="C17" i="4"/>
  <c r="C15" i="4"/>
  <c r="J13" i="4"/>
  <c r="I13" i="4"/>
  <c r="F13" i="4"/>
  <c r="C16" i="4" s="1"/>
  <c r="E13" i="4"/>
  <c r="D14" i="4" s="1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H13" i="4"/>
  <c r="I27" i="4" s="1"/>
  <c r="G13" i="4"/>
  <c r="D3" i="4"/>
  <c r="C3" i="4"/>
  <c r="B3" i="4"/>
  <c r="D2" i="4"/>
  <c r="C2" i="4"/>
  <c r="B2" i="4"/>
  <c r="C18" i="4" s="1"/>
  <c r="A838" i="2"/>
  <c r="B838" i="2"/>
  <c r="C838" i="2"/>
  <c r="D838" i="2"/>
  <c r="H838" i="2"/>
  <c r="I838" i="2"/>
  <c r="J838" i="2"/>
  <c r="K838" i="2"/>
  <c r="L838" i="2"/>
  <c r="M838" i="2"/>
  <c r="N838" i="2"/>
  <c r="O838" i="2"/>
  <c r="P838" i="2"/>
  <c r="Q838" i="2"/>
  <c r="R838" i="2"/>
  <c r="E835" i="2"/>
  <c r="G834" i="2"/>
  <c r="F834" i="2"/>
  <c r="E834" i="2"/>
  <c r="F833" i="2"/>
  <c r="E832" i="2"/>
  <c r="E831" i="2"/>
  <c r="E830" i="2"/>
  <c r="F829" i="2"/>
  <c r="E829" i="2"/>
  <c r="F828" i="2"/>
  <c r="E828" i="2"/>
  <c r="F826" i="2"/>
  <c r="E826" i="2"/>
  <c r="F825" i="2"/>
  <c r="E825" i="2"/>
  <c r="F824" i="2"/>
  <c r="E824" i="2"/>
  <c r="F823" i="2"/>
  <c r="E823" i="2"/>
  <c r="F822" i="2"/>
  <c r="E822" i="2"/>
  <c r="E821" i="2"/>
  <c r="E820" i="2"/>
  <c r="F819" i="2"/>
  <c r="E819" i="2"/>
  <c r="E818" i="2"/>
  <c r="E817" i="2"/>
  <c r="F816" i="2"/>
  <c r="E816" i="2"/>
  <c r="E815" i="2"/>
  <c r="F814" i="2"/>
  <c r="E814" i="2"/>
  <c r="E813" i="2"/>
  <c r="F812" i="2"/>
  <c r="E812" i="2"/>
  <c r="E811" i="2"/>
  <c r="E810" i="2"/>
  <c r="E809" i="2"/>
  <c r="F808" i="2"/>
  <c r="E808" i="2"/>
  <c r="E807" i="2"/>
  <c r="E806" i="2"/>
  <c r="F805" i="2"/>
  <c r="E805" i="2"/>
  <c r="E804" i="2"/>
  <c r="E803" i="2"/>
  <c r="E802" i="2"/>
  <c r="F801" i="2"/>
  <c r="E801" i="2"/>
  <c r="E800" i="2"/>
  <c r="F799" i="2"/>
  <c r="E799" i="2"/>
  <c r="E798" i="2"/>
  <c r="E796" i="2"/>
  <c r="E795" i="2"/>
  <c r="E793" i="2"/>
  <c r="E792" i="2"/>
  <c r="E791" i="2"/>
  <c r="E790" i="2"/>
  <c r="E789" i="2"/>
  <c r="E787" i="2"/>
  <c r="E786" i="2"/>
  <c r="E785" i="2"/>
  <c r="E784" i="2"/>
  <c r="E783" i="2"/>
  <c r="E782" i="2"/>
  <c r="F781" i="2"/>
  <c r="E781" i="2"/>
  <c r="F780" i="2"/>
  <c r="E780" i="2"/>
  <c r="E779" i="2"/>
  <c r="E778" i="2"/>
  <c r="E777" i="2"/>
  <c r="G776" i="2"/>
  <c r="F776" i="2"/>
  <c r="E776" i="2"/>
  <c r="E775" i="2"/>
  <c r="E774" i="2"/>
  <c r="E773" i="2"/>
  <c r="E772" i="2"/>
  <c r="E771" i="2"/>
  <c r="E770" i="2"/>
  <c r="E769" i="2"/>
  <c r="G768" i="2"/>
  <c r="F768" i="2"/>
  <c r="E768" i="2"/>
  <c r="E767" i="2"/>
  <c r="F766" i="2"/>
  <c r="E766" i="2"/>
  <c r="E765" i="2"/>
  <c r="E764" i="2"/>
  <c r="E763" i="2"/>
  <c r="E762" i="2"/>
  <c r="G761" i="2"/>
  <c r="F761" i="2"/>
  <c r="E761" i="2"/>
  <c r="E760" i="2"/>
  <c r="E759" i="2"/>
  <c r="E758" i="2"/>
  <c r="E757" i="2"/>
  <c r="F756" i="2"/>
  <c r="E756" i="2"/>
  <c r="F755" i="2"/>
  <c r="E755" i="2"/>
  <c r="F754" i="2"/>
  <c r="E754" i="2"/>
  <c r="E753" i="2"/>
  <c r="E752" i="2"/>
  <c r="F751" i="2"/>
  <c r="E751" i="2"/>
  <c r="G750" i="2"/>
  <c r="F750" i="2"/>
  <c r="E750" i="2"/>
  <c r="E749" i="2"/>
  <c r="F748" i="2"/>
  <c r="E748" i="2"/>
  <c r="F747" i="2"/>
  <c r="E747" i="2"/>
  <c r="E746" i="2"/>
  <c r="E745" i="2"/>
  <c r="E744" i="2"/>
  <c r="E743" i="2"/>
  <c r="F742" i="2"/>
  <c r="E742" i="2"/>
  <c r="E741" i="2"/>
  <c r="E740" i="2"/>
  <c r="E739" i="2"/>
  <c r="F738" i="2"/>
  <c r="E738" i="2"/>
  <c r="E737" i="2"/>
  <c r="E736" i="2"/>
  <c r="G735" i="2"/>
  <c r="F735" i="2"/>
  <c r="E735" i="2"/>
  <c r="F734" i="2"/>
  <c r="E734" i="2"/>
  <c r="E733" i="2"/>
  <c r="G732" i="2"/>
  <c r="F732" i="2"/>
  <c r="E732" i="2"/>
  <c r="E731" i="2"/>
  <c r="F730" i="2"/>
  <c r="E730" i="2"/>
  <c r="F729" i="2"/>
  <c r="E729" i="2"/>
  <c r="E728" i="2"/>
  <c r="E727" i="2"/>
  <c r="E726" i="2"/>
  <c r="E725" i="2"/>
  <c r="E724" i="2"/>
  <c r="E723" i="2"/>
  <c r="E722" i="2"/>
  <c r="E721" i="2"/>
  <c r="E720" i="2"/>
  <c r="E719" i="2"/>
  <c r="F718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G693" i="2"/>
  <c r="F693" i="2"/>
  <c r="E693" i="2"/>
  <c r="F692" i="2"/>
  <c r="E692" i="2"/>
  <c r="E691" i="2"/>
  <c r="E690" i="2"/>
  <c r="F689" i="2"/>
  <c r="E689" i="2"/>
  <c r="E688" i="2"/>
  <c r="E687" i="2"/>
  <c r="E686" i="2"/>
  <c r="E685" i="2"/>
  <c r="G684" i="2"/>
  <c r="F684" i="2"/>
  <c r="E684" i="2"/>
  <c r="E683" i="2"/>
  <c r="E682" i="2"/>
  <c r="E681" i="2"/>
  <c r="E680" i="2"/>
  <c r="E679" i="2"/>
  <c r="E678" i="2"/>
  <c r="E677" i="2"/>
  <c r="E676" i="2"/>
  <c r="F675" i="2"/>
  <c r="E675" i="2"/>
  <c r="E674" i="2"/>
  <c r="E673" i="2"/>
  <c r="E672" i="2"/>
  <c r="E671" i="2"/>
  <c r="F670" i="2"/>
  <c r="E670" i="2"/>
  <c r="E669" i="2"/>
  <c r="E668" i="2"/>
  <c r="F667" i="2"/>
  <c r="E667" i="2"/>
  <c r="E666" i="2"/>
  <c r="G665" i="2"/>
  <c r="F665" i="2"/>
  <c r="E665" i="2"/>
  <c r="G664" i="2"/>
  <c r="F664" i="2"/>
  <c r="E664" i="2"/>
  <c r="E663" i="2"/>
  <c r="F662" i="2"/>
  <c r="E662" i="2"/>
  <c r="F661" i="2"/>
  <c r="E661" i="2"/>
  <c r="E660" i="2"/>
  <c r="E659" i="2"/>
  <c r="E658" i="2"/>
  <c r="E657" i="2"/>
  <c r="G656" i="2"/>
  <c r="F656" i="2"/>
  <c r="E656" i="2"/>
  <c r="E655" i="2"/>
  <c r="E654" i="2"/>
  <c r="E653" i="2"/>
  <c r="E652" i="2"/>
  <c r="E651" i="2"/>
  <c r="G650" i="2"/>
  <c r="F650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F598" i="2"/>
  <c r="E598" i="2"/>
  <c r="E597" i="2"/>
  <c r="E596" i="2"/>
  <c r="E595" i="2"/>
  <c r="E594" i="2"/>
  <c r="E593" i="2"/>
  <c r="E592" i="2"/>
  <c r="F591" i="2"/>
  <c r="E591" i="2"/>
  <c r="F590" i="2"/>
  <c r="E590" i="2"/>
  <c r="E589" i="2"/>
  <c r="E588" i="2"/>
  <c r="F587" i="2"/>
  <c r="E587" i="2"/>
  <c r="E586" i="2"/>
  <c r="E585" i="2"/>
  <c r="F584" i="2"/>
  <c r="E584" i="2"/>
  <c r="E583" i="2"/>
  <c r="E582" i="2"/>
  <c r="E581" i="2"/>
  <c r="E580" i="2"/>
  <c r="E579" i="2"/>
  <c r="G578" i="2"/>
  <c r="F578" i="2"/>
  <c r="E578" i="2"/>
  <c r="E577" i="2"/>
  <c r="E576" i="2"/>
  <c r="E575" i="2"/>
  <c r="F574" i="2"/>
  <c r="E574" i="2"/>
  <c r="F573" i="2"/>
  <c r="E573" i="2"/>
  <c r="G572" i="2"/>
  <c r="F572" i="2"/>
  <c r="E572" i="2"/>
  <c r="G571" i="2"/>
  <c r="F571" i="2"/>
  <c r="E571" i="2"/>
  <c r="E570" i="2"/>
  <c r="E569" i="2"/>
  <c r="E568" i="2"/>
  <c r="E567" i="2"/>
  <c r="E566" i="2"/>
  <c r="F565" i="2"/>
  <c r="E565" i="2"/>
  <c r="E564" i="2"/>
  <c r="E563" i="2"/>
  <c r="E562" i="2"/>
  <c r="E561" i="2"/>
  <c r="E560" i="2"/>
  <c r="E559" i="2"/>
  <c r="E558" i="2"/>
  <c r="E557" i="2"/>
  <c r="E556" i="2"/>
  <c r="E555" i="2"/>
  <c r="G554" i="2"/>
  <c r="F554" i="2"/>
  <c r="E554" i="2"/>
  <c r="E553" i="2"/>
  <c r="F552" i="2"/>
  <c r="E552" i="2"/>
  <c r="E551" i="2"/>
  <c r="E550" i="2"/>
  <c r="E549" i="2"/>
  <c r="E548" i="2"/>
  <c r="F547" i="2"/>
  <c r="E547" i="2"/>
  <c r="F546" i="2"/>
  <c r="E546" i="2"/>
  <c r="F545" i="2"/>
  <c r="E545" i="2"/>
  <c r="E544" i="2"/>
  <c r="G543" i="2"/>
  <c r="F543" i="2"/>
  <c r="E543" i="2"/>
  <c r="E542" i="2"/>
  <c r="F541" i="2"/>
  <c r="E541" i="2"/>
  <c r="E540" i="2"/>
  <c r="E539" i="2"/>
  <c r="E538" i="2"/>
  <c r="E537" i="2"/>
  <c r="F536" i="2"/>
  <c r="E536" i="2"/>
  <c r="F535" i="2"/>
  <c r="E535" i="2"/>
  <c r="E534" i="2"/>
  <c r="E533" i="2"/>
  <c r="F532" i="2"/>
  <c r="E532" i="2"/>
  <c r="E531" i="2"/>
  <c r="E530" i="2"/>
  <c r="E529" i="2"/>
  <c r="F528" i="2"/>
  <c r="E528" i="2"/>
  <c r="E527" i="2"/>
  <c r="F526" i="2"/>
  <c r="E526" i="2"/>
  <c r="F525" i="2"/>
  <c r="E525" i="2"/>
  <c r="F524" i="2"/>
  <c r="E524" i="2"/>
  <c r="E523" i="2"/>
  <c r="F522" i="2"/>
  <c r="E522" i="2"/>
  <c r="E521" i="2"/>
  <c r="E520" i="2"/>
  <c r="E519" i="2"/>
  <c r="F518" i="2"/>
  <c r="E518" i="2"/>
  <c r="F517" i="2"/>
  <c r="E517" i="2"/>
  <c r="E516" i="2"/>
  <c r="E515" i="2"/>
  <c r="E514" i="2"/>
  <c r="E513" i="2"/>
  <c r="E512" i="2"/>
  <c r="E511" i="2"/>
  <c r="E510" i="2"/>
  <c r="E509" i="2"/>
  <c r="F508" i="2"/>
  <c r="E508" i="2"/>
  <c r="E507" i="2"/>
  <c r="F506" i="2"/>
  <c r="E506" i="2"/>
  <c r="E505" i="2"/>
  <c r="E504" i="2"/>
  <c r="F503" i="2"/>
  <c r="E503" i="2"/>
  <c r="E502" i="2"/>
  <c r="E500" i="2"/>
  <c r="E499" i="2"/>
  <c r="E498" i="2"/>
  <c r="E497" i="2"/>
  <c r="E496" i="2"/>
  <c r="E493" i="2"/>
  <c r="E492" i="2"/>
  <c r="E491" i="2"/>
  <c r="E490" i="2"/>
  <c r="E489" i="2"/>
  <c r="E488" i="2"/>
  <c r="F487" i="2"/>
  <c r="E487" i="2"/>
  <c r="E486" i="2"/>
  <c r="G485" i="2"/>
  <c r="F485" i="2"/>
  <c r="E485" i="2"/>
  <c r="E484" i="2"/>
  <c r="E483" i="2"/>
  <c r="F482" i="2"/>
  <c r="E482" i="2"/>
  <c r="G481" i="2"/>
  <c r="F481" i="2"/>
  <c r="E481" i="2"/>
  <c r="E480" i="2"/>
  <c r="E479" i="2"/>
  <c r="E478" i="2"/>
  <c r="E477" i="2"/>
  <c r="E476" i="2"/>
  <c r="E475" i="2"/>
  <c r="E474" i="2"/>
  <c r="G473" i="2"/>
  <c r="F473" i="2"/>
  <c r="E473" i="2"/>
  <c r="E472" i="2"/>
  <c r="F471" i="2"/>
  <c r="E471" i="2"/>
  <c r="E470" i="2"/>
  <c r="F469" i="2"/>
  <c r="E469" i="2"/>
  <c r="E468" i="2"/>
  <c r="E467" i="2"/>
  <c r="E466" i="2"/>
  <c r="F465" i="2"/>
  <c r="E465" i="2"/>
  <c r="F464" i="2"/>
  <c r="E464" i="2"/>
  <c r="E463" i="2"/>
  <c r="E462" i="2"/>
  <c r="E461" i="2"/>
  <c r="E460" i="2"/>
  <c r="E459" i="2"/>
  <c r="E458" i="2"/>
  <c r="E457" i="2"/>
  <c r="G456" i="2"/>
  <c r="F456" i="2"/>
  <c r="E456" i="2"/>
  <c r="E455" i="2"/>
  <c r="E454" i="2"/>
  <c r="E453" i="2"/>
  <c r="E452" i="2"/>
  <c r="F451" i="2"/>
  <c r="E451" i="2"/>
  <c r="F450" i="2"/>
  <c r="E450" i="2"/>
  <c r="G449" i="2"/>
  <c r="F449" i="2"/>
  <c r="E449" i="2"/>
  <c r="F448" i="2"/>
  <c r="E448" i="2"/>
  <c r="E447" i="2"/>
  <c r="F446" i="2"/>
  <c r="E446" i="2"/>
  <c r="E445" i="2"/>
  <c r="E444" i="2"/>
  <c r="E443" i="2"/>
  <c r="F442" i="2"/>
  <c r="E442" i="2"/>
  <c r="E441" i="2"/>
  <c r="E440" i="2"/>
  <c r="E439" i="2"/>
  <c r="E438" i="2"/>
  <c r="E437" i="2"/>
  <c r="G435" i="2"/>
  <c r="F435" i="2"/>
  <c r="E435" i="2"/>
  <c r="E434" i="2"/>
  <c r="E433" i="2"/>
  <c r="F432" i="2"/>
  <c r="E432" i="2"/>
  <c r="E431" i="2"/>
  <c r="E430" i="2"/>
  <c r="F429" i="2"/>
  <c r="E429" i="2"/>
  <c r="F428" i="2"/>
  <c r="E428" i="2"/>
  <c r="E427" i="2"/>
  <c r="E426" i="2"/>
  <c r="E425" i="2"/>
  <c r="E424" i="2"/>
  <c r="E423" i="2"/>
  <c r="E422" i="2"/>
  <c r="E421" i="2"/>
  <c r="E420" i="2"/>
  <c r="E419" i="2"/>
  <c r="E418" i="2"/>
  <c r="G417" i="2"/>
  <c r="F417" i="2"/>
  <c r="E417" i="2"/>
  <c r="E416" i="2"/>
  <c r="E415" i="2"/>
  <c r="E414" i="2"/>
  <c r="E413" i="2"/>
  <c r="G412" i="2"/>
  <c r="F412" i="2"/>
  <c r="E412" i="2"/>
  <c r="E411" i="2"/>
  <c r="G410" i="2"/>
  <c r="F410" i="2"/>
  <c r="E410" i="2"/>
  <c r="G409" i="2"/>
  <c r="F409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F390" i="2"/>
  <c r="E390" i="2"/>
  <c r="G389" i="2"/>
  <c r="F389" i="2"/>
  <c r="E389" i="2"/>
  <c r="E388" i="2"/>
  <c r="E387" i="2"/>
  <c r="E386" i="2"/>
  <c r="E385" i="2"/>
  <c r="F384" i="2"/>
  <c r="E384" i="2"/>
  <c r="E383" i="2"/>
  <c r="E382" i="2"/>
  <c r="E381" i="2"/>
  <c r="F380" i="2"/>
  <c r="E380" i="2"/>
  <c r="F379" i="2"/>
  <c r="E379" i="2"/>
  <c r="E378" i="2"/>
  <c r="G377" i="2"/>
  <c r="F377" i="2"/>
  <c r="E377" i="2"/>
  <c r="E376" i="2"/>
  <c r="E375" i="2"/>
  <c r="E374" i="2"/>
  <c r="E373" i="2"/>
  <c r="E372" i="2"/>
  <c r="G371" i="2"/>
  <c r="F371" i="2"/>
  <c r="E371" i="2"/>
  <c r="E370" i="2"/>
  <c r="F369" i="2"/>
  <c r="E369" i="2"/>
  <c r="E368" i="2"/>
  <c r="E367" i="2"/>
  <c r="E366" i="2"/>
  <c r="G365" i="2"/>
  <c r="F365" i="2"/>
  <c r="E365" i="2"/>
  <c r="G364" i="2"/>
  <c r="F364" i="2"/>
  <c r="E364" i="2"/>
  <c r="E363" i="2"/>
  <c r="F362" i="2"/>
  <c r="E362" i="2"/>
  <c r="E361" i="2"/>
  <c r="E360" i="2"/>
  <c r="E359" i="2"/>
  <c r="E358" i="2"/>
  <c r="E357" i="2"/>
  <c r="F356" i="2"/>
  <c r="E356" i="2"/>
  <c r="G355" i="2"/>
  <c r="F355" i="2"/>
  <c r="E355" i="2"/>
  <c r="F354" i="2"/>
  <c r="E354" i="2"/>
  <c r="E353" i="2"/>
  <c r="G352" i="2"/>
  <c r="F352" i="2"/>
  <c r="E352" i="2"/>
  <c r="F351" i="2"/>
  <c r="E351" i="2"/>
  <c r="E350" i="2"/>
  <c r="F349" i="2"/>
  <c r="E349" i="2"/>
  <c r="F348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G304" i="2"/>
  <c r="F304" i="2"/>
  <c r="E304" i="2"/>
  <c r="E303" i="2"/>
  <c r="E302" i="2"/>
  <c r="E301" i="2"/>
  <c r="G300" i="2"/>
  <c r="F300" i="2"/>
  <c r="E300" i="2"/>
  <c r="F299" i="2"/>
  <c r="E299" i="2"/>
  <c r="E298" i="2"/>
  <c r="E297" i="2"/>
  <c r="E296" i="2"/>
  <c r="E295" i="2"/>
  <c r="F294" i="2"/>
  <c r="E294" i="2"/>
  <c r="E293" i="2"/>
  <c r="E292" i="2"/>
  <c r="E291" i="2"/>
  <c r="E290" i="2"/>
  <c r="E289" i="2"/>
  <c r="E288" i="2"/>
  <c r="F287" i="2"/>
  <c r="E287" i="2"/>
  <c r="E286" i="2"/>
  <c r="E285" i="2"/>
  <c r="E284" i="2"/>
  <c r="E283" i="2"/>
  <c r="E282" i="2"/>
  <c r="E281" i="2"/>
  <c r="E280" i="2"/>
  <c r="E279" i="2"/>
  <c r="E278" i="2"/>
  <c r="E277" i="2"/>
  <c r="G276" i="2"/>
  <c r="F276" i="2"/>
  <c r="E276" i="2"/>
  <c r="F275" i="2"/>
  <c r="E275" i="2"/>
  <c r="F274" i="2"/>
  <c r="E274" i="2"/>
  <c r="E273" i="2"/>
  <c r="F272" i="2"/>
  <c r="E272" i="2"/>
  <c r="E271" i="2"/>
  <c r="G270" i="2"/>
  <c r="F270" i="2"/>
  <c r="E270" i="2"/>
  <c r="F269" i="2"/>
  <c r="E269" i="2"/>
  <c r="E268" i="2"/>
  <c r="E267" i="2"/>
  <c r="E266" i="2"/>
  <c r="E265" i="2"/>
  <c r="E264" i="2"/>
  <c r="F263" i="2"/>
  <c r="E263" i="2"/>
  <c r="E262" i="2"/>
  <c r="E261" i="2"/>
  <c r="E260" i="2"/>
  <c r="F259" i="2"/>
  <c r="E259" i="2"/>
  <c r="F258" i="2"/>
  <c r="E258" i="2"/>
  <c r="E257" i="2"/>
  <c r="E256" i="2"/>
  <c r="E255" i="2"/>
  <c r="E254" i="2"/>
  <c r="E253" i="2"/>
  <c r="F252" i="2"/>
  <c r="E252" i="2"/>
  <c r="E251" i="2"/>
  <c r="F250" i="2"/>
  <c r="E250" i="2"/>
  <c r="E249" i="2"/>
  <c r="F248" i="2"/>
  <c r="E248" i="2"/>
  <c r="F247" i="2"/>
  <c r="E247" i="2"/>
  <c r="E246" i="2"/>
  <c r="E245" i="2"/>
  <c r="F244" i="2"/>
  <c r="E244" i="2"/>
  <c r="E243" i="2"/>
  <c r="E242" i="2"/>
  <c r="F241" i="2"/>
  <c r="E241" i="2"/>
  <c r="G240" i="2"/>
  <c r="G838" i="2" s="1"/>
  <c r="F240" i="2"/>
  <c r="E240" i="2"/>
  <c r="E239" i="2"/>
  <c r="E238" i="2"/>
  <c r="E237" i="2"/>
  <c r="F838" i="6" l="1"/>
  <c r="E838" i="6"/>
  <c r="G838" i="6"/>
  <c r="E838" i="2"/>
  <c r="F838" i="2"/>
  <c r="C19" i="4"/>
  <c r="C20" i="4"/>
  <c r="J27" i="4"/>
  <c r="D17" i="4"/>
  <c r="E17" i="4"/>
  <c r="J28" i="4"/>
  <c r="I28" i="4"/>
  <c r="D15" i="4"/>
</calcChain>
</file>

<file path=xl/sharedStrings.xml><?xml version="1.0" encoding="utf-8"?>
<sst xmlns="http://schemas.openxmlformats.org/spreadsheetml/2006/main" count="4195" uniqueCount="963">
  <si>
    <t>N°Support</t>
  </si>
  <si>
    <t>N°Article</t>
  </si>
  <si>
    <t>Désignation</t>
  </si>
  <si>
    <t>Composition</t>
  </si>
  <si>
    <t>EAN</t>
  </si>
  <si>
    <t>Pays Origine</t>
  </si>
  <si>
    <t>Code Douane</t>
  </si>
  <si>
    <t>Colisage</t>
  </si>
  <si>
    <t>#Colis</t>
  </si>
  <si>
    <t>#Pces</t>
  </si>
  <si>
    <t>Poids Brut</t>
  </si>
  <si>
    <t>Poids Net</t>
  </si>
  <si>
    <t>Vol. Pce</t>
  </si>
  <si>
    <t>Vol.Total</t>
  </si>
  <si>
    <t>PA Unitaire</t>
  </si>
  <si>
    <t>PA Global</t>
  </si>
  <si>
    <t>ARBRE A CHAT</t>
  </si>
  <si>
    <t>CN</t>
  </si>
  <si>
    <t>BARBIE POUPEE CHAUSSURES ET ACC</t>
  </si>
  <si>
    <t>Steffi L - Familybox (Wb,Dp24)</t>
  </si>
  <si>
    <t>ENCHANTIMALS POUPEE 30CM ASS</t>
  </si>
  <si>
    <t>BARBIE MAISON ET POUPEE</t>
  </si>
  <si>
    <t>CHÂTEAU SON ET LUMIERE</t>
  </si>
  <si>
    <t>TETA A COIFFER LICORNE 20CM AVEC ACC</t>
  </si>
  <si>
    <t>BAGUETTE MAGIQUE PLA L54X14</t>
  </si>
  <si>
    <t>Steffi L - Happy Family (Wb)</t>
  </si>
  <si>
    <t>BARBIE EN VOYAGE AVEC ACC</t>
  </si>
  <si>
    <t>TETE A COIFFER 14PC 22,5x27CM</t>
  </si>
  <si>
    <t>CARROSSE FLOCON AVEC POUPEE 38X11X18.5</t>
  </si>
  <si>
    <t>Barbie Doctor Doll</t>
  </si>
  <si>
    <t>CARROSSE ET CHEVAL PP+PVC VT+BC</t>
  </si>
  <si>
    <t>CARROSSE+CHEVAL B+BC PP+PVC 50X23X30CM</t>
  </si>
  <si>
    <t>BARBIE COLOR REVEAL MERMAID</t>
  </si>
  <si>
    <t>POUPEE MANNEQUIN X10</t>
  </si>
  <si>
    <t>AILES ELFES ET BAGUETTE TIARE 38X30</t>
  </si>
  <si>
    <t>POUPEE MANNEQUIN PRINCESSE SIRENE 24x32,</t>
  </si>
  <si>
    <t>TETE A COIFFER PRINCESSE 13x20</t>
  </si>
  <si>
    <t>BARBIE SUPERMARCHE AVEC POUPEE</t>
  </si>
  <si>
    <t>LICORNE COLOREE ASS KZF</t>
  </si>
  <si>
    <t>MIR Poupée 26 cm</t>
  </si>
  <si>
    <t>OEUF GEANT LICORNE 18X13CM</t>
  </si>
  <si>
    <t>BARBIE CAVALIERE ET SA S#UR</t>
  </si>
  <si>
    <t>POUPEE VETERINAIRE 24PCS PLA</t>
  </si>
  <si>
    <t>ARAIGNE R/C INFRAROUGE</t>
  </si>
  <si>
    <t>POK EB 11 Elite Trainer Box FR</t>
  </si>
  <si>
    <t>US</t>
  </si>
  <si>
    <t>COSTUME ENF POKEMON PIKACHU 3-4A</t>
  </si>
  <si>
    <t>COSTUME ENF POKEMON PIKACHU 4-6A</t>
  </si>
  <si>
    <t>COSTUME ENF POKEMON PIKACHU 8-10A</t>
  </si>
  <si>
    <t>COSTUME ENF POKEMON PIKACHU 6-8A</t>
  </si>
  <si>
    <t>PAPIER CADEAU KRAFT 150x70CM 60GR</t>
  </si>
  <si>
    <t>NL</t>
  </si>
  <si>
    <t>PAP CAD DISNEY 200X70CM 55GR/M² ASS</t>
  </si>
  <si>
    <t>PAD CAD BAMBINI 2M x 70 cm PRASENTA</t>
  </si>
  <si>
    <t>DE</t>
  </si>
  <si>
    <t>3 Pack giftwrap + 20 stickers</t>
  </si>
  <si>
    <t>PAW Patrol - RC Chase 1:24</t>
  </si>
  <si>
    <t>PAP CAD ST NICOLAS 500X70CM 55/57GR 3ASS</t>
  </si>
  <si>
    <t>PAP CAD 80gr SIMPLY THE BEST 1,5M x 70cm</t>
  </si>
  <si>
    <t>PAPIER CADEAU PRASENTA 2MX70CM 60G/M²</t>
  </si>
  <si>
    <t>VOITURE RC AMPHIBIOUS 2,4GHZ WHL</t>
  </si>
  <si>
    <t>CAMION POMPIER RC SON&amp;LUM&amp;SPRAY USB 44X2</t>
  </si>
  <si>
    <t>CROTTE RC AVEC SON 14X14X10CM</t>
  </si>
  <si>
    <t>TAG Tamagotchi Original</t>
  </si>
  <si>
    <t>PELUCHE INTER SILVERLIT TINY FURRIES ASS</t>
  </si>
  <si>
    <t>GEAR2PLAY ROBOT SMART PUPPY</t>
  </si>
  <si>
    <t>SILVERLIT OISEAU DIGIBIRDS EN CAGE</t>
  </si>
  <si>
    <t>PIXAR HBK88-9969 BUZZ L'ÉCLAIR *F !</t>
  </si>
  <si>
    <t>PAT PAT BIG TRUCK VEHICULE ASS</t>
  </si>
  <si>
    <t>VN</t>
  </si>
  <si>
    <t>DINO MIGHTY MEGASAUR 22CM SON&amp;LUM ASS</t>
  </si>
  <si>
    <t>DINOSAUREX2+HELICO+BATEAU+ACC 33X20X9,1C</t>
  </si>
  <si>
    <t>ANI Figurine Anime Heroes - Naruto</t>
  </si>
  <si>
    <t>GEAR2PLAY RC AUDI RS5 DTM RACING</t>
  </si>
  <si>
    <t>VOITURE RC 2.4G 4FUNCTIONS DANCING CAR</t>
  </si>
  <si>
    <t>EXOST RC 360 CROSS VERT 2.4GHZ</t>
  </si>
  <si>
    <t>VOITURE RC MINI FURY 1:24 4FCT</t>
  </si>
  <si>
    <t>QUAD RC 1:32 27MHZ MINI 4CHN WHL 19X11,2</t>
  </si>
  <si>
    <t>Dinosaure set 6 dino 13x80x17 2ASS</t>
  </si>
  <si>
    <t>#UF DINO MORD LES DOIGTS 8CM ASS</t>
  </si>
  <si>
    <t>DINO MIGHTY MEGASAUR 27CM SON&amp;LUM ASS</t>
  </si>
  <si>
    <t>JEU EXCAVATION DINOSAURE 3D</t>
  </si>
  <si>
    <t>ANI Figurine Anime Heroes - One Piece</t>
  </si>
  <si>
    <t>BAKUGAN EVOLUTION TIN S4</t>
  </si>
  <si>
    <t>Paw Patrol Vehicles Puzzle ASS</t>
  </si>
  <si>
    <t>MARVEL AVENGERS TITAN IRON MAN</t>
  </si>
  <si>
    <t>12 BOITES A MEUH D6CM</t>
  </si>
  <si>
    <t>MARVEL AVENGERS TITAN CAPTAIN AMERICA</t>
  </si>
  <si>
    <t>MARVEL SPIDERMAN TITAN</t>
  </si>
  <si>
    <t>OEUF GEANT DINO 18X13CM</t>
  </si>
  <si>
    <t>EXOST MINI FLIP CHAR ROUGE 1:34</t>
  </si>
  <si>
    <t>REQUIN RC 2,4G 4CHN USB WHL 35x17</t>
  </si>
  <si>
    <t>VOITURE RC 1:16 CROSS COUNTRY CAR 2.4G 3</t>
  </si>
  <si>
    <t>GEAR2PLAY LICORNE ROBOT SON ET LUM ASS</t>
  </si>
  <si>
    <t>H22 Pull fl volant yellow</t>
  </si>
  <si>
    <t>BD</t>
  </si>
  <si>
    <t>H22 Short fl black poches</t>
  </si>
  <si>
    <t>FR</t>
  </si>
  <si>
    <t>H22 Tshirt ml flt étoiles</t>
  </si>
  <si>
    <t>IN</t>
  </si>
  <si>
    <t>H22 Tregging flt poly black</t>
  </si>
  <si>
    <t>PK</t>
  </si>
  <si>
    <t>H22 Robe fl B&amp;W Ptit M</t>
  </si>
  <si>
    <t>H22 Tregging fl poly black</t>
  </si>
  <si>
    <t>H22 Tshirt ml fl étoiles</t>
  </si>
  <si>
    <t>H22 Pull flt volant yellow</t>
  </si>
  <si>
    <t>H22 Tshirt ml ochre vie Ptit M</t>
  </si>
  <si>
    <t>H22 Chemise ml fl carr B&amp;W Ptit M</t>
  </si>
  <si>
    <t>H22 Jupe short fl carr B&amp;W Ptit M</t>
  </si>
  <si>
    <t>H22 Robe fl carreaux Ptit M</t>
  </si>
  <si>
    <t>CEINT G PU CAMEL</t>
  </si>
  <si>
    <t>CEINT G PU NAVY</t>
  </si>
  <si>
    <t>H22 gct pant slim stretch noir</t>
  </si>
  <si>
    <t>H22 gc sweat col rond matelassée kaki</t>
  </si>
  <si>
    <t>H22 gct pull block color gris</t>
  </si>
  <si>
    <t>H22 gc pull block color gris</t>
  </si>
  <si>
    <t>H22 gc pant slim stretch noir</t>
  </si>
  <si>
    <t>H22 gct sweat col rond matelassée kaki</t>
  </si>
  <si>
    <t>H22 gc blouson paddé tricolore + terry</t>
  </si>
  <si>
    <t>H22 Pull fl tricolore rose</t>
  </si>
  <si>
    <t>H22 Pant flt rose dyed 1col</t>
  </si>
  <si>
    <t>H22 Pull flt hood licorne beige</t>
  </si>
  <si>
    <t>H22 Pull flt tricolore rose</t>
  </si>
  <si>
    <t>H22 Robe fl verte cashmere</t>
  </si>
  <si>
    <t>H22 Pant fl rose dyed 1col</t>
  </si>
  <si>
    <t>H22 Robe fl AOP terra Mome</t>
  </si>
  <si>
    <t>H22 Robe fl imprimé color Ptit M</t>
  </si>
  <si>
    <t>H22 gc chemise carreaux kaki-noir</t>
  </si>
  <si>
    <t>H22 gc cardigan kaki zippé matelassé f</t>
  </si>
  <si>
    <t>H22 gc cardigan polar marine empt woven</t>
  </si>
  <si>
    <t>H22 gct cardigan polar marine empt woven</t>
  </si>
  <si>
    <t>H22 gct sweat col rond block color</t>
  </si>
  <si>
    <t>H22 gc sweat col rond block color</t>
  </si>
  <si>
    <t>H22 gct cardigan kaki zippé matelassé</t>
  </si>
  <si>
    <t>H22 Chemise ml fl carr rose Ptit M</t>
  </si>
  <si>
    <t>Lot 2 shorties coord dentelle</t>
  </si>
  <si>
    <t>JELLY DRAGON</t>
  </si>
  <si>
    <t>ES</t>
  </si>
  <si>
    <t>CREEPY JELLY SNAKE 66G</t>
  </si>
  <si>
    <t>SET BIJOUX COLLIER+BOUCLES ASS</t>
  </si>
  <si>
    <t>BOUCLE D'OREILLE TOILE ARAIGNE</t>
  </si>
  <si>
    <t>SERRE TETE RESSORT FUNNY PVC ASS</t>
  </si>
  <si>
    <t>SQUELETTE VAMPIRE A PENDRE</t>
  </si>
  <si>
    <t>CREEPY JELLY SPIDER 66G</t>
  </si>
  <si>
    <t>BRAIN IN BLOOD 120 GRAM</t>
  </si>
  <si>
    <t>BLOODY SYRUP CANDY 86 ML</t>
  </si>
  <si>
    <t>POUPEE MANNEQUIN + CHEVAL 40x32,5CM</t>
  </si>
  <si>
    <t>Bottine cuir Chaine Noir 36/41</t>
  </si>
  <si>
    <t>Sneaker cuir Blanc 41/46</t>
  </si>
  <si>
    <t>Boots cuir elast Noir 36/41</t>
  </si>
  <si>
    <t>Boots cuir Talon Noir 36/41</t>
  </si>
  <si>
    <t>MOTO FRICTION PLA L30X13.5X28</t>
  </si>
  <si>
    <t>QUAD FRICTION SON+LUM PLA L21</t>
  </si>
  <si>
    <t>CAMION ET 3 QUADS 72 CM TEAM RACER 58X8,</t>
  </si>
  <si>
    <t>VOITURES METAL 5+1 WHL ASS</t>
  </si>
  <si>
    <t>GARAGE VEHICULE SECOURS SON&amp;LUM WHL 33X1</t>
  </si>
  <si>
    <t>Pat patrouille True Metal Patroller Team</t>
  </si>
  <si>
    <t>VOITURE DINO FRICTION 9x9</t>
  </si>
  <si>
    <t>Claas' Tracteur+Remorque 15x56x18</t>
  </si>
  <si>
    <t>VOITURE CLIMBING DIECAST FRICTION</t>
  </si>
  <si>
    <t>20 VOITURES METAL RACING DIE CAST WHL</t>
  </si>
  <si>
    <t>VOITURE MONSTERCAR MUSIC WHL</t>
  </si>
  <si>
    <t>PAW Patrol True Metal 1:55 Neon</t>
  </si>
  <si>
    <t>CAMION TRAVAUX FRICTION ASS SON&amp;LUM 21,5</t>
  </si>
  <si>
    <t>HOT WHEELS MONSTER TRUCK DOUBLE</t>
  </si>
  <si>
    <t>HOT WHEELS MONSTER TRUCK BASH</t>
  </si>
  <si>
    <t>CAMION + 11 VOITURESDIE CAST ET ACC WHL</t>
  </si>
  <si>
    <t>PAT PATROUIL CALENDRIER DE L AVENT</t>
  </si>
  <si>
    <t>PICK-UP ET QUAD TEAM RACER</t>
  </si>
  <si>
    <t>GRAND GARAGE ELECTRONIQUE WHL</t>
  </si>
  <si>
    <t>POSTE DE POLICE WHL</t>
  </si>
  <si>
    <t>CASERNE DE POMPIERS WHL</t>
  </si>
  <si>
    <t>Voiture tune up's Die cast 7,5CM</t>
  </si>
  <si>
    <t>HOT WHEELS EVASION EXCL ASS</t>
  </si>
  <si>
    <t>VOITURE MONSTER COMBAT*2 WHL 30X10</t>
  </si>
  <si>
    <t>SUPER CITY GARAGE MAJORETTE</t>
  </si>
  <si>
    <t>CIRCUIT LUMINEUX JURASSIC LAND 228PCS</t>
  </si>
  <si>
    <t>FIGURINE BATMAN THE MOVIE 30CM ASS</t>
  </si>
  <si>
    <t>JW DINO EXTREME DAMAGE ASS</t>
  </si>
  <si>
    <t>Collier Fleur Portugal</t>
  </si>
  <si>
    <t>MUG THERMOREACTIF GRES STRANGE</t>
  </si>
  <si>
    <t>Maquillage stick Portugal</t>
  </si>
  <si>
    <t>WC22 sweat à capuche Suisse</t>
  </si>
  <si>
    <t>KLAXON SUISSE</t>
  </si>
  <si>
    <t>CALENDRIER DE L'AVENT MAQ PRINCESSES 24P</t>
  </si>
  <si>
    <t>Calendrier avent mdf 2col ass</t>
  </si>
  <si>
    <t>CALENDRIER DE L'AVENT ENCENS</t>
  </si>
  <si>
    <t>PETIT ANIMAL VEILLEUSE PILE INCLUSE 13CM</t>
  </si>
  <si>
    <t>Maquillage stick Suisse</t>
  </si>
  <si>
    <t>PELUCHE VEILLEUSE LICORNE SON ET LUM H30</t>
  </si>
  <si>
    <t>PELUCHE LUMINEUSE OCTOPUS 17X21X20</t>
  </si>
  <si>
    <t>PERRUQUE AFRO SUISSE</t>
  </si>
  <si>
    <t>Drapeau Suisse 90 x 150 cm</t>
  </si>
  <si>
    <t>Drapeau Portugal 90 x 150 cm</t>
  </si>
  <si>
    <t>SET 4TAPIS DE VOITURE UNI ANTHRACITE PPX</t>
  </si>
  <si>
    <t>Fibre de rembourrage 8 litres</t>
  </si>
  <si>
    <t>PLAID CHALE FLANELLE ROSE 70x175x2</t>
  </si>
  <si>
    <t>PLAID SIRENE ROSE 60x160 100%PE</t>
  </si>
  <si>
    <t>ARBRE CHAT POE+SISAL L40X34X34</t>
  </si>
  <si>
    <t>OISEAUX DE LA NATURE COUSSIN 3 KG</t>
  </si>
  <si>
    <t>BE</t>
  </si>
  <si>
    <t>JOUET CHAT CIRCUIT BALLE OG PP</t>
  </si>
  <si>
    <t>TOUR 4 TIROIRS 27X37X83CM NOIR</t>
  </si>
  <si>
    <t>IT</t>
  </si>
  <si>
    <t>TOUR ORGAMIX 5T GM NOIR 36*26*61 CM</t>
  </si>
  <si>
    <t>COUETTE EXTRA CHAUDE 200X200 500G</t>
  </si>
  <si>
    <t>PL</t>
  </si>
  <si>
    <t>COUETTE EXTRA CHAUDE 240X220 500G</t>
  </si>
  <si>
    <t>PLAID CHALE FLANELLE GRIS 70x175x2</t>
  </si>
  <si>
    <t>PASSE VITE PLASTIQUE 23 CM</t>
  </si>
  <si>
    <t>PLATEAU BAIN BAMBOU</t>
  </si>
  <si>
    <t>PLAID SIRENE BLEU 60x160 100%PE</t>
  </si>
  <si>
    <t>MICRO-ONDES 20L DOMO 800W DO2520</t>
  </si>
  <si>
    <t>IMPR HP DESKJET 2710e All/One A4 7</t>
  </si>
  <si>
    <t>CHANDELIER LED 3TETE PLA GR 18X12X39,5</t>
  </si>
  <si>
    <t>FILET COURGES X5 D8 à 15 POLYSTYRENE</t>
  </si>
  <si>
    <t>ASPI FILAIRE 2EN1 NR PP 551779</t>
  </si>
  <si>
    <t>YAOURTIERE DIGITALE LIVOO DOP216</t>
  </si>
  <si>
    <t>VIEIL HOMME ANIME PLA L153X40</t>
  </si>
  <si>
    <t>DECORATION SORCIERE+BOULE PLA</t>
  </si>
  <si>
    <t>DEGUISEMENT NINJA POE 3D 11/14</t>
  </si>
  <si>
    <t>CAPE HOMME MAGICIEN</t>
  </si>
  <si>
    <t>ROBE VAMPIRE FEM TM POE L135</t>
  </si>
  <si>
    <t>RIDEAU DE PORTE GOTHIQUE PLA</t>
  </si>
  <si>
    <t>SET DE TABLE TOILE+ARAIGNEE 37X38 CM</t>
  </si>
  <si>
    <t>MOULE HALLOWEEN 6 ARAIGNEES 3D NOIR</t>
  </si>
  <si>
    <t>PETITE CITROUILLE CONFISERIE 135G</t>
  </si>
  <si>
    <t>Bakugan-Geogan Rising S3 Basic Bal ass</t>
  </si>
  <si>
    <t>L.O.L. Surprise Tweens Doll S3 Asst</t>
  </si>
  <si>
    <t>BOL RAMEN POR+BARQUETTE D13.5</t>
  </si>
  <si>
    <t>BOUQUET X7 TOURNESOL+FEUILLE</t>
  </si>
  <si>
    <t>MINI CITROUILLE D8X7CM POLYSTYRENE</t>
  </si>
  <si>
    <t>CAMION AVEC 6 VOITURES WHL</t>
  </si>
  <si>
    <t>CAMION POUBELLE TEAMSTERZ SON LUM 30cm</t>
  </si>
  <si>
    <t>TABLE TRAIN+BRIQUE BOIS 60X61.5X40CM</t>
  </si>
  <si>
    <t>CAMION DE CHANTIER SON ET LUM ASS</t>
  </si>
  <si>
    <t>Pat patrouille Big Truck PupsDeluxe Ass</t>
  </si>
  <si>
    <t>Pat patrouille Big Truck Pups Hero ASS</t>
  </si>
  <si>
    <t>CIRCUIT TRAIN 72PC BOIS L35.5</t>
  </si>
  <si>
    <t>QUAD RC MONSTER WHEELS SQUEL 1/16 2,4</t>
  </si>
  <si>
    <t>VOITURE CAGE DINO FRICTION</t>
  </si>
  <si>
    <t>ROBOT BIOPOD SON&amp;LUM</t>
  </si>
  <si>
    <t>FLYING BALL</t>
  </si>
  <si>
    <t>Micro Purse Pets ASS</t>
  </si>
  <si>
    <t>SAC PURSE PETS LICORNE</t>
  </si>
  <si>
    <t>SAC PURSE PETS KOALA</t>
  </si>
  <si>
    <t>SAC PURSE PETS CHOUETTE</t>
  </si>
  <si>
    <t>POK Coffret Exclusivité FR</t>
  </si>
  <si>
    <t>PAPIER CADEAU NOEL PAP L200X70 PPX</t>
  </si>
  <si>
    <t>SET DE PERLES FAIS TES BIJOUX CREATIKI</t>
  </si>
  <si>
    <t>APPRENDRE A COMPTER EN BOIS</t>
  </si>
  <si>
    <t>PAT PATROUILLE GUITARE</t>
  </si>
  <si>
    <t>JEU EDUC PUZZLE FSC 29X29CM</t>
  </si>
  <si>
    <t>MA PREMIERE VOITURE DE COURSE</t>
  </si>
  <si>
    <t>PUZZLES 48 PCS AU ZOO</t>
  </si>
  <si>
    <t>GUITARE MVB UKULELE</t>
  </si>
  <si>
    <t>PUZZLE MAGNETIQUE 8PCS</t>
  </si>
  <si>
    <t>CHIEN PELUCHE INTERACTIF</t>
  </si>
  <si>
    <t>FISHER PRICE PEUCHE PUPPY FR</t>
  </si>
  <si>
    <t>PANNEAU FSC 21X21+ CLOUS MÉTALLIQUES</t>
  </si>
  <si>
    <t>Croc Dog FR</t>
  </si>
  <si>
    <t>MICRO S/PIED MP3 PLA MINNIE L80X21X21</t>
  </si>
  <si>
    <t>PISTOLET HOT FIRE SOFT BULLET BLAZE</t>
  </si>
  <si>
    <t>PUZZLE EN BOIS 30X20CM 3 ASS</t>
  </si>
  <si>
    <t>BOUM TAPIS ET VOLANTS POUR VOITURE</t>
  </si>
  <si>
    <t>1*JEU MINI BASKETBALL FLG</t>
  </si>
  <si>
    <t>GUITARE MIRACULOUS</t>
  </si>
  <si>
    <t>CHAT EN BOIS 10XH16CM</t>
  </si>
  <si>
    <t>TABLEAU BOIS 3 EN 1+ACC 56X110X51CM</t>
  </si>
  <si>
    <t>Nathan Je decouvre les emotions FR</t>
  </si>
  <si>
    <t>ANIMAL SAUTEUR EN BOIS</t>
  </si>
  <si>
    <t>SET MILITAIRE SPECIAL COMBAT</t>
  </si>
  <si>
    <t>JEU SOC EDUC METHODE BOIS FSC 24X21</t>
  </si>
  <si>
    <t>I M GENIOUS LABO SAVONS PARFUMES</t>
  </si>
  <si>
    <t>TABLE MUSIQUE EVEIL MULTIFONC BOIS 44X23</t>
  </si>
  <si>
    <t>SET JOUET POUR LE BAIN ANIMAUX 10PC BOUM</t>
  </si>
  <si>
    <t>FAIS TES PROPRES BIJOUX CREATIKI</t>
  </si>
  <si>
    <t>JE TISSE MES BRACELETS CREATIKI</t>
  </si>
  <si>
    <t>DIS 24 CANES ET JELLY MR MME</t>
  </si>
  <si>
    <t>KINDER SCHOKOBONS 200GR</t>
  </si>
  <si>
    <t>KINDER CHOCOLAT 50G T4</t>
  </si>
  <si>
    <t>KINDER CHOCOLAT T12 150G</t>
  </si>
  <si>
    <t>K SURPRISE T4 80G</t>
  </si>
  <si>
    <t>KINDER SURPRISE BOY T3</t>
  </si>
  <si>
    <t>KINDER SCHOKOBONS 300G</t>
  </si>
  <si>
    <t>KINDER MOULTED G(15X3)</t>
  </si>
  <si>
    <t>KINDER MOULTED 35G</t>
  </si>
  <si>
    <t>NUTELLA 25G</t>
  </si>
  <si>
    <t>KLETT ST NICOLAS 100GR 22CM </t>
  </si>
  <si>
    <t>KINDER SURPRISE MAXI G100</t>
  </si>
  <si>
    <t>K MIX PLUSH G133X8 XMAS</t>
  </si>
  <si>
    <t>K HAPPY MOMENTS MB G191</t>
  </si>
  <si>
    <t>K MIX DIADEM DEER G139</t>
  </si>
  <si>
    <t>K MIX MINI TIN BALL G34</t>
  </si>
  <si>
    <t>K SURPR MAXI G220</t>
  </si>
  <si>
    <t>MILKA PUZZLE 124GR</t>
  </si>
  <si>
    <t>CH</t>
  </si>
  <si>
    <t>ST NICOLAS GUIMAUVE TREMPEE CELLO 40GR /</t>
  </si>
  <si>
    <t>VIERGES GUIMAUVE 225GR</t>
  </si>
  <si>
    <t>DISTRIBUTEUR BOISSON BLANC</t>
  </si>
  <si>
    <t>FILLE MONSTRE 120CM SON&amp;LUM3 AAA incl</t>
  </si>
  <si>
    <t>COSTUME REVERSIBLE SQUELETTE FEE 7-10AN</t>
  </si>
  <si>
    <t>TETE DE MORT DECO SON ET LUM 2piles incl</t>
  </si>
  <si>
    <t>BUSTE GENTLEMAN SQUELETTE LED 2AAAincl</t>
  </si>
  <si>
    <t>Halloween deco assor 3LED+Try me</t>
  </si>
  <si>
    <t>TERRA COTTA PUMPKIN</t>
  </si>
  <si>
    <t>PANNEAU CRANE ANIME L47.5X31 pile incl</t>
  </si>
  <si>
    <t>Halloween deco assor 3</t>
  </si>
  <si>
    <t>BUSTE DAME SQUELETTE LED 2AAA incl</t>
  </si>
  <si>
    <t>ARAIGNEE GRISE 90</t>
  </si>
  <si>
    <t>PERRUQUE FEMME SORCIERE NOIR/BLC</t>
  </si>
  <si>
    <t>GUIRLANDE HAPPY HALL FEUTRINE</t>
  </si>
  <si>
    <t>ARME HACHE PP L61X18X3 NR</t>
  </si>
  <si>
    <t>FEMME 120CM A SUSP3 LR44 incl</t>
  </si>
  <si>
    <t>MARIE LUM 120CM A SUSP3 LR44 incl</t>
  </si>
  <si>
    <t>MASON JAR TETE DE MORT + PAILLE</t>
  </si>
  <si>
    <t>VIEILLE DAME ANIME POE L153X40</t>
  </si>
  <si>
    <t>CHAPEAU SORCIERE POE NOEUD</t>
  </si>
  <si>
    <t>CHAPEAU SORCIERE ENF PLA</t>
  </si>
  <si>
    <t>TOUR AVEC BALLES BOUM</t>
  </si>
  <si>
    <t>PLASTICINE DESSERTS CREATIKI</t>
  </si>
  <si>
    <t>POUPEE SOFT YEUX QUI BOUGENT 34C ASS</t>
  </si>
  <si>
    <t>HR Sabot injecté db chaud Fushia 36/41</t>
  </si>
  <si>
    <t>HR panty fant D formes</t>
  </si>
  <si>
    <t>PR 0CM4 CO ULTRA RESIST TRANSP 20 D NOIR</t>
  </si>
  <si>
    <t>HR panty Golden Lady liberté abs silhou</t>
  </si>
  <si>
    <t>HR panty fant D POIS</t>
  </si>
  <si>
    <t>HR Ultra fine Hebdo 4 paires 42/43</t>
  </si>
  <si>
    <t>HR ULTRA FINE HEBDO 2 PAIRES 38/39</t>
  </si>
  <si>
    <t>HR Protection froid 38/39</t>
  </si>
  <si>
    <t>HR Ultra fine Hebdo 4 paires 40/41</t>
  </si>
  <si>
    <t>HR Ultra fine Hebdo 4 paires 44/45</t>
  </si>
  <si>
    <t>HR ULTRA FINE HEBDO 2 PAIRES 36/37</t>
  </si>
  <si>
    <t>HR SS-GENE DB COTON BIO NOIR 40/46</t>
  </si>
  <si>
    <t>HR SS-GENE DB LAINE BIO NOIR 40/46</t>
  </si>
  <si>
    <t>HR Sabot injecté db chaud Marine 41/46</t>
  </si>
  <si>
    <t>HR Sabot injecté db chaud Noir 36/41</t>
  </si>
  <si>
    <t>HR Sabot injecté db chaud Noir 41/46</t>
  </si>
  <si>
    <t>HR Sabot injecté db chaud Gris 36/41</t>
  </si>
  <si>
    <t>BROCHURE D'ACCUEIL</t>
  </si>
  <si>
    <t>EVERYDAY CREME A CAFE (CUPS) 20 X 10 GR</t>
  </si>
  <si>
    <t>B/100 FEUILLES ETIQUET. PALETTE POUBELLE</t>
  </si>
  <si>
    <t>CARTON AMERICAIN</t>
  </si>
  <si>
    <t>BONI ASSORTIMENT MELANGE 500GR</t>
  </si>
  <si>
    <t>MAXI SACS</t>
  </si>
  <si>
    <t>EDP 50ML. ORIENTAL</t>
  </si>
  <si>
    <t>BYPHASSE DISSOLVANT 250ML ESSENTIALS</t>
  </si>
  <si>
    <t>PR JEANS REGULAR FIT DENIM NOIR</t>
  </si>
  <si>
    <t>PR CEINT DGT NOIR Silver</t>
  </si>
  <si>
    <t>PR PANT DROIT STRETCH GRIS</t>
  </si>
  <si>
    <t>PR LEGGING LONG NOIR</t>
  </si>
  <si>
    <t>HR LEGGING DARK GREY MEL</t>
  </si>
  <si>
    <t>HR Cardigan Polar ftte turquoise</t>
  </si>
  <si>
    <t>HR Cardigan Polar ftte bleu nuit</t>
  </si>
  <si>
    <t>HR Cardigan Polar fille rose</t>
  </si>
  <si>
    <t>PR tshirt fines brides cot-ea noir</t>
  </si>
  <si>
    <t>PR CEINT DGT CAMEL Gold</t>
  </si>
  <si>
    <t>PR CARDIGAN MOLLETON VIEUX ROSE</t>
  </si>
  <si>
    <t>HR Polar cintré full zip NOIR</t>
  </si>
  <si>
    <t>PR PANT. JOGGING FILLE GRIS CHINE</t>
  </si>
  <si>
    <t>HK</t>
  </si>
  <si>
    <t>HR Pant twill gct gris</t>
  </si>
  <si>
    <t>HR Cardigan gct Gris contraste marine</t>
  </si>
  <si>
    <t>HR jeans homme slim bleu L32</t>
  </si>
  <si>
    <t>HR Cardigan gc bleu contraste marine</t>
  </si>
  <si>
    <t>PR jogging basique gc blue foncé</t>
  </si>
  <si>
    <t>HR POLAR FULL ZIP NOIR</t>
  </si>
  <si>
    <t>PR Jeans droit noir L34</t>
  </si>
  <si>
    <t>PR GT SWEAT CAUCHE ZIPPE NOIR</t>
  </si>
  <si>
    <t>PR Jeans droit noir L32</t>
  </si>
  <si>
    <t>HR T-SHIRT MC MARINE</t>
  </si>
  <si>
    <t>PR Jogging gc basique gris melange</t>
  </si>
  <si>
    <t>PR pant jogging gc black</t>
  </si>
  <si>
    <t>PR sweat full zip gc marine</t>
  </si>
  <si>
    <t>HT collant BB grey mél</t>
  </si>
  <si>
    <t>HT collant F GREY MEL</t>
  </si>
  <si>
    <t>HT collant F NAVY</t>
  </si>
  <si>
    <t>HT collant fille rose</t>
  </si>
  <si>
    <t>PT Lot 5 cho7 PB</t>
  </si>
  <si>
    <t>HR Collant micro Fille LiLi Marine</t>
  </si>
  <si>
    <t>PT lot 3 culottes Frozen</t>
  </si>
  <si>
    <t>PR V10 Brassière large bret noir</t>
  </si>
  <si>
    <t>PR V10 Culotte dentelle ss cout noir</t>
  </si>
  <si>
    <t>PR Collant microfibre 60D Noir</t>
  </si>
  <si>
    <t>PR Collant massage mimat mo, NATURAL, XL</t>
  </si>
  <si>
    <t>PR Collant lycra satiné 20D Noir</t>
  </si>
  <si>
    <t>PR String lazer cut chair PA/EA</t>
  </si>
  <si>
    <t>PR Gaine dame ventre plat noir</t>
  </si>
  <si>
    <t>PR Lot 5 mi-bas voile chif 20D Beige</t>
  </si>
  <si>
    <t>PR Collant Lycra mat antimaille fil Noir</t>
  </si>
  <si>
    <t>PT Lot 2 culottes D noirs DISCRET</t>
  </si>
  <si>
    <t>PT lot 2 slips noir</t>
  </si>
  <si>
    <t>PR Brassière large bretelle PRUNE MALAGA</t>
  </si>
  <si>
    <t>PR Lot 2 SG white / Black micro + dent</t>
  </si>
  <si>
    <t>HR 70564 SG A/A ARUM VERT OMBRE</t>
  </si>
  <si>
    <t>PR Brassière large bret gris chiné</t>
  </si>
  <si>
    <t>PT lot 3 tennis terry Fila blanc</t>
  </si>
  <si>
    <t>PT</t>
  </si>
  <si>
    <t>PR PYJASHORT JERSEY NAVY</t>
  </si>
  <si>
    <t>PR SC ceinture PU brun 3cm</t>
  </si>
  <si>
    <t>PR PANT DROIT STRETCH NOIR</t>
  </si>
  <si>
    <t>HR POLAR FULL ZIP MAUVE</t>
  </si>
  <si>
    <t>HT collant BB écru</t>
  </si>
  <si>
    <t>PR Lot 2 boxers désaiguillés N+B PA/EA</t>
  </si>
  <si>
    <t>PR Collant lycra semi-glossy 15 NOIR XXL</t>
  </si>
  <si>
    <t>PR PYJASHORT JERSEY BORDEAUX</t>
  </si>
  <si>
    <t>PT lot 3 tennis Puma homme</t>
  </si>
  <si>
    <t>HT lot 2 heat socks viscose</t>
  </si>
  <si>
    <t>PT Lot 2 slips gris chiné CO</t>
  </si>
  <si>
    <t>PR Lot 2 mibas mous+bord confor 20D Auba</t>
  </si>
  <si>
    <t>PR Lot 2 socq voile repass 20D Noir</t>
  </si>
  <si>
    <t>HR lot 2 cho7 Slazenger High Performance</t>
  </si>
  <si>
    <t>PR PYJASHORT WOVEN GRIS</t>
  </si>
  <si>
    <t>BOITE PAIN PS+BAM FRESHEAT</t>
  </si>
  <si>
    <t>BOITE A CLIPS RECT. 1,6L</t>
  </si>
  <si>
    <t>LUNCHBOX 3EN1 Rose</t>
  </si>
  <si>
    <t>SUPPORT ESS-TOUT FIL H30CM</t>
  </si>
  <si>
    <t>BICARBONATE DE SOUDE 1 KG FOREVER</t>
  </si>
  <si>
    <t>EPONGE VEG GRAT TOU SURF X3</t>
  </si>
  <si>
    <t>LAVETTE MF COLORS X 8</t>
  </si>
  <si>
    <t>GEL WC DETARTRANT ECOLOGIQUE</t>
  </si>
  <si>
    <t>2 EPONGES A RECURER VEGETALES BLEU</t>
  </si>
  <si>
    <t>Savon d'Alep vrac 1kg</t>
  </si>
  <si>
    <t>SY</t>
  </si>
  <si>
    <t>BICARBONATE DE SOUDE 500G</t>
  </si>
  <si>
    <t>CARAFE 1L MISURA VER</t>
  </si>
  <si>
    <t>2 VERRES A MARTINI 26CL</t>
  </si>
  <si>
    <t>DIAMOND GOBELET 30CL OCEAN BLUE</t>
  </si>
  <si>
    <t>PASSE LEGUMES EN INOX DIA.24CM</t>
  </si>
  <si>
    <t>PRESSE PUREE PLIANT 29 CM INOX/PP</t>
  </si>
  <si>
    <t>TIRE BOUCHON ALPINA PP/CHROME</t>
  </si>
  <si>
    <t>POELE CERAM 24C TOUS FEUX+INDUCTION</t>
  </si>
  <si>
    <t>Tough poêle 28 cm TEFAL</t>
  </si>
  <si>
    <t>MOULE DEMONTABLE ROND 26CM</t>
  </si>
  <si>
    <t>S6 CUILLERES CAFE ANDREA INOX MAESTRO</t>
  </si>
  <si>
    <t>SET DE TABLE WOVEN GRIS</t>
  </si>
  <si>
    <t>Bouteille isolante 1L avec silicone- 3 a</t>
  </si>
  <si>
    <t>GOURDE PLASTIQUE LOL 400ML</t>
  </si>
  <si>
    <t>FRIENDS CENTRAL PARK MUG PORCELAIN</t>
  </si>
  <si>
    <t>BOITE METAL RELIEF CAFE 11X19CM M12</t>
  </si>
  <si>
    <t>BOUILLOIRE 1L 750-900W TECHW TB-1106</t>
  </si>
  <si>
    <t>HH.SALADIER CARRE TOKYO ASS. 21 CM 2L</t>
  </si>
  <si>
    <t>Boite de conservation Hamburg 1,7 L</t>
  </si>
  <si>
    <t>BOCAL HERMET.CLIP METAL 1.5L</t>
  </si>
  <si>
    <t>S3 COUV CARRE SILICONE EXTENSIBLE</t>
  </si>
  <si>
    <t>BOX A CLIPS RECT 1L</t>
  </si>
  <si>
    <t>EGOUTTOIR METAL 39x33,5x10,5</t>
  </si>
  <si>
    <t>2 VERRES SPRITZ 64.5CL</t>
  </si>
  <si>
    <t>TR</t>
  </si>
  <si>
    <t>PICHET AVEC ANSE 1.1L</t>
  </si>
  <si>
    <t>100 Assiet.carton 23cm Blanc</t>
  </si>
  <si>
    <t>MUG MICRO-ONDES PAW PATROL</t>
  </si>
  <si>
    <t>POKEMON LUNCHBOX</t>
  </si>
  <si>
    <t>COF 6 TASSES COLORAMA 9CL</t>
  </si>
  <si>
    <t>TISANIERE MIA 45CL</t>
  </si>
  <si>
    <t>ASSIETTE PLATE D27CM OSLO GRIS</t>
  </si>
  <si>
    <t>ASSIETTE ARDOISE L25X25EP0.5</t>
  </si>
  <si>
    <t>COF 4 TASSES BAMBOU BLACK12CL</t>
  </si>
  <si>
    <t>THEIERE CERA AMAZONIE 80CL</t>
  </si>
  <si>
    <t>IMAO PLAQUETTE DOUCEURS DE CAPRI (CALVI)</t>
  </si>
  <si>
    <t>WPUFF RAISIN GLACE 0</t>
  </si>
  <si>
    <t>BEL PREMIUM Disques x 75</t>
  </si>
  <si>
    <t>LITIERE CATSAN 9L HYGIENE</t>
  </si>
  <si>
    <t>TOURNESOL COUSSIN 1.5KG</t>
  </si>
  <si>
    <t>HU</t>
  </si>
  <si>
    <t>RIGAMIX CANARIS 900G</t>
  </si>
  <si>
    <t>COUCHAGE 2EN1 L44X47X28 GR</t>
  </si>
  <si>
    <t>CIRE PR CHIEN TL POE L35X18X1</t>
  </si>
  <si>
    <t>CHICK'OS STICK X8</t>
  </si>
  <si>
    <t>PHYTO EAU TOILETTE CHIEN LUI</t>
  </si>
  <si>
    <t>Baguette Perruches miel x2 SNOBY</t>
  </si>
  <si>
    <t>CROQUE MONSIEUR 750W L22,4 562042</t>
  </si>
  <si>
    <t>MIXER PLONGEUR 3/1 TECHW 300W TMS-8130</t>
  </si>
  <si>
    <t>BOUILLOIRE VER 1,7L +LED Homday 553713</t>
  </si>
  <si>
    <t>OPTIGRILL YY3872FB</t>
  </si>
  <si>
    <t>blender inox /verre 1L 300-400w TBLI-410</t>
  </si>
  <si>
    <t>25 enveloppes blanches C5</t>
  </si>
  <si>
    <t>COQUE FINGER GRIP iPh 11 Light Green</t>
  </si>
  <si>
    <t>QL CABLE USB-MICR/TYPE-C ARG 2M</t>
  </si>
  <si>
    <t>BLASTER BT 20W B1MK2 / B1</t>
  </si>
  <si>
    <t>JEU MEMO ANIMAUX 40PC BOIS</t>
  </si>
  <si>
    <t>LENA TRACTEUR 17CM</t>
  </si>
  <si>
    <t>CZ</t>
  </si>
  <si>
    <t>Hot Wheels Color Reveal 2pack ass</t>
  </si>
  <si>
    <t>TH</t>
  </si>
  <si>
    <t>LEON MON LUMI OURSON FR</t>
  </si>
  <si>
    <t>STEFFI EVI ET SA VOITURE BEETLE</t>
  </si>
  <si>
    <t>CITY FIRE SAUVETAGE COURSE POLICE 60319</t>
  </si>
  <si>
    <t>TETE A COIFFER 19CM</t>
  </si>
  <si>
    <t>CHAMBRE DE PRINCESSE AVEC COIFFEUSE</t>
  </si>
  <si>
    <t>PRINCESSE BELLE FIG</t>
  </si>
  <si>
    <t>SUPER HERO 76203</t>
  </si>
  <si>
    <t>SUPER HERO 76179</t>
  </si>
  <si>
    <t>CITY POLICE VOITURE 60312</t>
  </si>
  <si>
    <t>ELISABETH BOULES CERISE POT 200G</t>
  </si>
  <si>
    <t>LU CHOCO PRINCE x2 VANILLE 57G</t>
  </si>
  <si>
    <t>POT SP CERISE DURE 220G</t>
  </si>
  <si>
    <t>TT T100 FESTIVAL 49G</t>
  </si>
  <si>
    <t>IE</t>
  </si>
  <si>
    <t>LUTTI BUBBLIZZ 80GR</t>
  </si>
  <si>
    <t>Pochette 5 SB bic cristal bleu</t>
  </si>
  <si>
    <t>Pot sécurité pastilles gouache</t>
  </si>
  <si>
    <t>WPUFF GOYAVE MANGO 0</t>
  </si>
  <si>
    <t>WPUFF APPLE ICE 0,9</t>
  </si>
  <si>
    <t>WPUFF FRUIT ROUGE 0,9</t>
  </si>
  <si>
    <t>EDT VAPO 110ML VANILLE</t>
  </si>
  <si>
    <t>IMAO VOYAGE A NEW YORK</t>
  </si>
  <si>
    <t>WPUFF FRUIT ROUGE 0</t>
  </si>
  <si>
    <t>WPUFF MARSHMALLOW 0</t>
  </si>
  <si>
    <t>WPUFF WATERMELON 0</t>
  </si>
  <si>
    <t>WPUFF RAISIN GLACE 0,9</t>
  </si>
  <si>
    <t>SMOKING BROWN + TIPS</t>
  </si>
  <si>
    <t>Bloc de cours A4 100 feuilles 60gr lign</t>
  </si>
  <si>
    <t>Sangles All Ride Db Tuv 2X2,5 M</t>
  </si>
  <si>
    <t>S100 TL 4H NEUTRE PPX</t>
  </si>
  <si>
    <t>COFFRET SENTEUR FRUIT ROUGE</t>
  </si>
  <si>
    <t>BOUGIE PARFUMEE GRENADE LOYS 390G</t>
  </si>
  <si>
    <t>BOUGIE PARFUMEE VANILLE LOYS 390G</t>
  </si>
  <si>
    <t>BOUGIE PFM VR+BOIS 330G 2ASS.</t>
  </si>
  <si>
    <t>BOUGIE CYL 60/100 MAGNOLIA SPAAS</t>
  </si>
  <si>
    <t>BOUGIE CYL 70/95 VANILLE PPX</t>
  </si>
  <si>
    <t>CIRE PARFUMEE COCO/CITRON/PASSION ELEA</t>
  </si>
  <si>
    <t>BROSSE GM RECT PLA NR</t>
  </si>
  <si>
    <t>GEL DOUCHE MONOI A LA FOLIE 1000ML</t>
  </si>
  <si>
    <t>AROMA ROLL-ON SOMMEIL DETENTE BIO 5 ml</t>
  </si>
  <si>
    <t>MC</t>
  </si>
  <si>
    <t>GEL DOUCHE BIO HUILE D'ARGAN 500ML</t>
  </si>
  <si>
    <t>HANSA AQUA PROTECT x 20</t>
  </si>
  <si>
    <t>MOUCHOIRS FROZEN 2 ÉTUIS 9 * 10</t>
  </si>
  <si>
    <t>BEL PREMIUM REC BÂTONS TIGES PAPIER X200</t>
  </si>
  <si>
    <t>STE 712 - AROMA PASTILLES GORGE 30G</t>
  </si>
  <si>
    <t>TAPIS SDB CHENILLE BC POE L45</t>
  </si>
  <si>
    <t>PANIERE 23X16 BAMBOU</t>
  </si>
  <si>
    <t>PR Botte de pluie PVC Marine 30/35</t>
  </si>
  <si>
    <t>PR BOTTES HAUTES PVC</t>
  </si>
  <si>
    <t>PR MULE VELOURS BIO UNI GRIS/NOIR 40/46</t>
  </si>
  <si>
    <t>PR - MULE EPONGE MARINE/GRIS 41/46</t>
  </si>
  <si>
    <t>PR-MULE CONFORT VELCRO MARINE 36/41</t>
  </si>
  <si>
    <t>SERVITEUR DOUCHE+VENTOUSE INOX</t>
  </si>
  <si>
    <t>PR MULE PISCINE NOIR ET RG 40/46</t>
  </si>
  <si>
    <t>HDC FROZEN FROZEN 140X200 100%COT</t>
  </si>
  <si>
    <t>PB PROTEGE-MATEL ÉPONGE IMPER 160X200</t>
  </si>
  <si>
    <t>HDC NADIA 70%PE 30%COT 48F 140x200</t>
  </si>
  <si>
    <t>KIT DE VOYAGE AVION 4 FLACONS</t>
  </si>
  <si>
    <t>MASQUE TISSU INFUSION DE CHANVRE</t>
  </si>
  <si>
    <t>FLEUR DOUCHE POE L14X14X14</t>
  </si>
  <si>
    <t>GANTS SYNTHETIQUE X2</t>
  </si>
  <si>
    <t>SOL MICEL DÉMAQ PX SENS SÈCH &amp; IRR 100ML</t>
  </si>
  <si>
    <t>HUILE ESSENTIELLE D'EUCALYPTUS GLOBULUS</t>
  </si>
  <si>
    <t>HUILE VEGETAL D'AVOCAT - 50 ml</t>
  </si>
  <si>
    <t>NIVEA MINI CREME BOITE 30ML</t>
  </si>
  <si>
    <t>CRÈME DCH EXTRA DOUCE FLR ORANGER 500ML</t>
  </si>
  <si>
    <t>PINCES MM</t>
  </si>
  <si>
    <t>SHAMPOOING DELICE KARITE 1000ML</t>
  </si>
  <si>
    <t>SHAMPOOING MONOI A LA FOLIE 1L</t>
  </si>
  <si>
    <t>EAU MICELLAIRE PEAUX REACTIVES 500ML</t>
  </si>
  <si>
    <t>LOTION TONIQUE 250ML</t>
  </si>
  <si>
    <t>GRAND VASE DELICE TROPICAL 60H SPAAS</t>
  </si>
  <si>
    <t>PLAID CORAL 220X240 GRIS FONCE</t>
  </si>
  <si>
    <t>PLAID CORAL 220X240 GRIS CLAIR</t>
  </si>
  <si>
    <t>LOUVE 50 GR PETALE 070</t>
  </si>
  <si>
    <t>LOUVE 50GR 018 ECUREIL</t>
  </si>
  <si>
    <t>LOUVE 50G 036 KOALA 100%PE</t>
  </si>
  <si>
    <t>LOUVE 50G 094 MARINE BICOLORE 100%PE</t>
  </si>
  <si>
    <t>ASSIETTE ARDOISE 20*30CM</t>
  </si>
  <si>
    <t>TOTAL</t>
  </si>
  <si>
    <t>Origine</t>
  </si>
  <si>
    <t>Code</t>
  </si>
  <si>
    <t>Lot 2 brassières triangles dentelle</t>
  </si>
  <si>
    <t>Lot 3 cho7 broderie</t>
  </si>
  <si>
    <t>H22 gc surchemise carreaux gris paddé</t>
  </si>
  <si>
    <t>H22 gct surchemise carreaux gris paddé</t>
  </si>
  <si>
    <t>Boots Col Fourrure Camel 30/35</t>
  </si>
  <si>
    <t>Bottine Fourrée velcro + elast Brun 24/</t>
  </si>
  <si>
    <t>TOASTER DOMO 1 LONG F. 1000W DO962T</t>
  </si>
  <si>
    <t>PLANCHA ALU 87X22 NR HOMDAY 347584</t>
  </si>
  <si>
    <t>BARRE DOUCHE ALU 110A200 CHROM</t>
  </si>
  <si>
    <t>COUSSIN D'AILLAITEMENT</t>
  </si>
  <si>
    <t>S50 TL NEUTRE 8H SPAAS</t>
  </si>
  <si>
    <t>SWIFFER DRY STARTERKIT + 2 REFILL</t>
  </si>
  <si>
    <t>FINISH DESODORISANT 2X4ML ODOR STOP</t>
  </si>
  <si>
    <t>SWIFFER WETJET REFILL 10CT</t>
  </si>
  <si>
    <t>FR_MR PROPRE 1L NETTOYANT CITRON</t>
  </si>
  <si>
    <t>CAROLIN SPRAY 650ML ONTVETTER CITROEN</t>
  </si>
  <si>
    <t>CAROLIN NETT SOL SAV MARS PROVENCE 1L</t>
  </si>
  <si>
    <t>FR_FEBREZE 500ML LENOR SOUFFLE PRECIEUX</t>
  </si>
  <si>
    <t>FR_VANISH CARPET POWDER 750G PET EXPERT</t>
  </si>
  <si>
    <t>OREILLER 50X60CM 400G PURE BASIC</t>
  </si>
  <si>
    <t>HDC HARRY POTTER FLANELLE 140x200</t>
  </si>
  <si>
    <t>HDC SEB 200x200 FLANELLE</t>
  </si>
  <si>
    <t>PLAID MASQUE GRIS 130x160 100%PE</t>
  </si>
  <si>
    <t>PLAID POLAIRE POE L130X160 VR</t>
  </si>
  <si>
    <t>PLAID KO 130x160 100%PE</t>
  </si>
  <si>
    <t>PLAID POLAIRE POE L130X160 B</t>
  </si>
  <si>
    <t>PLAID POLAIRE POE 130X160 GR</t>
  </si>
  <si>
    <t>HDC TOBIAS 200x200 FLANELLE</t>
  </si>
  <si>
    <t>HDC OTIS 200x200 FLANELLE</t>
  </si>
  <si>
    <t>PLAID MASQUE NOIR 130x160 100%PE</t>
  </si>
  <si>
    <t>HDC FRIENDS 240X220 100%CO</t>
  </si>
  <si>
    <t>COUSSIN FRIENDS 35X35CM 100% PE</t>
  </si>
  <si>
    <t>PLAID POLAIRE POE L114X140</t>
  </si>
  <si>
    <t>AMPOULE RONDE RGB CONNECTÉE COULEUR CHA</t>
  </si>
  <si>
    <t>BRANCHE TWEEDIA ORANGE 27X12X79 PLA</t>
  </si>
  <si>
    <t>BRANCHE AUTOMNAL 45CM</t>
  </si>
  <si>
    <t>BALLON ALU 41 CM HAPPY HALLOWEEN</t>
  </si>
  <si>
    <t>COMPO POT PATINE FLEURS OR D8xH20cm</t>
  </si>
  <si>
    <t>MASQUE AVEC CAPUCHE PVC</t>
  </si>
  <si>
    <t>BAS DE PORTE POPCORN 12x90CM 5ASS.</t>
  </si>
  <si>
    <t>MARVEL SPIDERMAN GREEN GOBLIN 76219</t>
  </si>
  <si>
    <t>COFFRE RANGEMENT 320L 119 x 46 x 60h cm</t>
  </si>
  <si>
    <t>BOX PLA 80L H49.5 TRANSP+COUV</t>
  </si>
  <si>
    <t>Bret's au fromage du Jura 125 gr</t>
  </si>
  <si>
    <t>LITIERE BENTONITE PARFUMEE AGRICON 7L</t>
  </si>
  <si>
    <t>FANTA PECHE 35CL</t>
  </si>
  <si>
    <t>COCA COLA VANILLE 33CL</t>
  </si>
  <si>
    <t>GB</t>
  </si>
  <si>
    <t>CHAUDFONTAINE 50CL PETILLANTE</t>
  </si>
  <si>
    <t>SCHWEPPES AGRUM PET 50CL</t>
  </si>
  <si>
    <t>BALAI BAMBOU</t>
  </si>
  <si>
    <t>Hot Wheels Coffret 10 Vehicules</t>
  </si>
  <si>
    <t>MY</t>
  </si>
  <si>
    <t>CINTRE X5 BOIS+MET L44.5X20.3</t>
  </si>
  <si>
    <t>Bret's Frites Mayo 125 gr x 10 pc</t>
  </si>
  <si>
    <t>Code Nomenclature</t>
  </si>
  <si>
    <t>Devise</t>
  </si>
  <si>
    <t>Poids 
Brut</t>
  </si>
  <si>
    <t>Poids 
Net</t>
  </si>
  <si>
    <t>Valeur</t>
  </si>
  <si>
    <t>Valeur
 douane</t>
  </si>
  <si>
    <t>TVA</t>
  </si>
  <si>
    <t>N° Facture</t>
  </si>
  <si>
    <t>Total Colis</t>
  </si>
  <si>
    <t xml:space="preserve">Poids à rajouter 
s/ last rubrique : </t>
  </si>
  <si>
    <t xml:space="preserve"> Valeur</t>
  </si>
  <si>
    <t>P. NET</t>
  </si>
  <si>
    <t>Poids Net MRN</t>
  </si>
  <si>
    <t>N° Rubrique</t>
  </si>
  <si>
    <t>Valeur douane</t>
  </si>
  <si>
    <t>Changement TVA</t>
  </si>
  <si>
    <t>Total</t>
  </si>
  <si>
    <t>SANS  DROITS DE DOUANE</t>
  </si>
  <si>
    <t>Nombre de rubrique</t>
  </si>
  <si>
    <t>10+20+20</t>
  </si>
  <si>
    <t>-150&amp;-150&amp;-100</t>
  </si>
  <si>
    <t>3*100&amp;150</t>
  </si>
  <si>
    <t>5*8+10</t>
  </si>
  <si>
    <t>5*-60&amp;-100</t>
  </si>
  <si>
    <t>6*7+8</t>
  </si>
  <si>
    <t>6*-50&amp;-100</t>
  </si>
  <si>
    <t>6*50&amp;150</t>
  </si>
  <si>
    <t>7*50&amp;100</t>
  </si>
  <si>
    <t>8*5+10</t>
  </si>
  <si>
    <t>8*-40&amp;-80</t>
  </si>
  <si>
    <t>10*4+10</t>
  </si>
  <si>
    <t>10*-30 &amp; -100</t>
  </si>
  <si>
    <t>10*40&amp;50</t>
  </si>
  <si>
    <t>11*4+6</t>
  </si>
  <si>
    <t>11*-30 &amp; -70</t>
  </si>
  <si>
    <t>11*30&amp;120</t>
  </si>
  <si>
    <t>12*3+14</t>
  </si>
  <si>
    <t>12*-30 &amp; -40</t>
  </si>
  <si>
    <t>12*30&amp;90</t>
  </si>
  <si>
    <t>13*3+11</t>
  </si>
  <si>
    <t>13*-30 &amp; -10</t>
  </si>
  <si>
    <t>13*30&amp;60</t>
  </si>
  <si>
    <t>14*3+8</t>
  </si>
  <si>
    <t>14*-25 &amp; -50</t>
  </si>
  <si>
    <t>15*3+5</t>
  </si>
  <si>
    <t>15*25 &amp; 75</t>
  </si>
  <si>
    <t>16*2+18</t>
  </si>
  <si>
    <t>16*-20 &amp; -80</t>
  </si>
  <si>
    <t>16*25 &amp; 50</t>
  </si>
  <si>
    <t>17*2+16</t>
  </si>
  <si>
    <t>17*-20 &amp; -60</t>
  </si>
  <si>
    <t>18*2+14</t>
  </si>
  <si>
    <t>18*-20 &amp; -40</t>
  </si>
  <si>
    <t>18*20 &amp; 90</t>
  </si>
  <si>
    <t>19*20 &amp; 70</t>
  </si>
  <si>
    <t>NBR</t>
  </si>
  <si>
    <t>Valeur/Unité</t>
  </si>
  <si>
    <t>04015011</t>
  </si>
  <si>
    <t>LTR</t>
  </si>
  <si>
    <t>Regarder description pour le litrage</t>
  </si>
  <si>
    <t>NAR</t>
  </si>
  <si>
    <t>Nombre de pièces</t>
  </si>
  <si>
    <t>Nar</t>
  </si>
  <si>
    <t>MTQ</t>
  </si>
  <si>
    <t>Mètre cube</t>
  </si>
  <si>
    <t>MTK</t>
  </si>
  <si>
    <t>Mètre carré</t>
  </si>
  <si>
    <t>NPR</t>
  </si>
  <si>
    <t>Nombre de paires</t>
  </si>
  <si>
    <t>Conca Valeur</t>
  </si>
  <si>
    <t>CN64029910</t>
  </si>
  <si>
    <t>CN61152200</t>
  </si>
  <si>
    <t>IT61152200</t>
  </si>
  <si>
    <t>CN61152100</t>
  </si>
  <si>
    <t>BE64069050</t>
  </si>
  <si>
    <t>ES64041910</t>
  </si>
  <si>
    <t>BE48211010</t>
  </si>
  <si>
    <t>BE48219010</t>
  </si>
  <si>
    <t>FR48191000</t>
  </si>
  <si>
    <t>BE19053199</t>
  </si>
  <si>
    <t>FR39232100</t>
  </si>
  <si>
    <t>CN33030010</t>
  </si>
  <si>
    <t>ES33043000</t>
  </si>
  <si>
    <t>BD62046390</t>
  </si>
  <si>
    <t>CN39262000</t>
  </si>
  <si>
    <t>BD62046290</t>
  </si>
  <si>
    <t>IN61152900</t>
  </si>
  <si>
    <t>IN61142000</t>
  </si>
  <si>
    <t>BD61109090</t>
  </si>
  <si>
    <t>IN61091000</t>
  </si>
  <si>
    <t>PK61101990</t>
  </si>
  <si>
    <t>CN61103010</t>
  </si>
  <si>
    <t>HK61046900</t>
  </si>
  <si>
    <t>BD62034231</t>
  </si>
  <si>
    <t>IN61034900</t>
  </si>
  <si>
    <t>PK61101910</t>
  </si>
  <si>
    <t>CN61152900</t>
  </si>
  <si>
    <t>CN61159500</t>
  </si>
  <si>
    <t>PL61152100</t>
  </si>
  <si>
    <t>CN61082100</t>
  </si>
  <si>
    <t>CN61089200</t>
  </si>
  <si>
    <t>PL61152200</t>
  </si>
  <si>
    <t>CN61082200</t>
  </si>
  <si>
    <t>CN61153090</t>
  </si>
  <si>
    <t>CN62121010</t>
  </si>
  <si>
    <t>CN62121090</t>
  </si>
  <si>
    <t>PT61159500</t>
  </si>
  <si>
    <t>BD61031090</t>
  </si>
  <si>
    <t>CN61091000</t>
  </si>
  <si>
    <t>BE61152100</t>
  </si>
  <si>
    <t>NL61159500</t>
  </si>
  <si>
    <t>CN61071100</t>
  </si>
  <si>
    <t>PL61153011</t>
  </si>
  <si>
    <t>PL61153019</t>
  </si>
  <si>
    <t>PK61032200</t>
  </si>
  <si>
    <t>CN44191900</t>
  </si>
  <si>
    <t>CN39241000</t>
  </si>
  <si>
    <t>BE39241000</t>
  </si>
  <si>
    <t>CN73239900</t>
  </si>
  <si>
    <t>BE28363000</t>
  </si>
  <si>
    <t>FR68053000</t>
  </si>
  <si>
    <t>CN63071010</t>
  </si>
  <si>
    <t>FR34025090</t>
  </si>
  <si>
    <t>NL48030090</t>
  </si>
  <si>
    <t>SY34011900</t>
  </si>
  <si>
    <t>IT70134999</t>
  </si>
  <si>
    <t>NL70132890</t>
  </si>
  <si>
    <t>IT70133799</t>
  </si>
  <si>
    <t>IT82100000</t>
  </si>
  <si>
    <t>CN76151080</t>
  </si>
  <si>
    <t>FR76151080</t>
  </si>
  <si>
    <t>CN82152010</t>
  </si>
  <si>
    <t>CN96170000</t>
  </si>
  <si>
    <t>CN39233010</t>
  </si>
  <si>
    <t>CN69120023</t>
  </si>
  <si>
    <t>CN85167970</t>
  </si>
  <si>
    <t>ES39269097</t>
  </si>
  <si>
    <t>PL39249000</t>
  </si>
  <si>
    <t>CN70109010</t>
  </si>
  <si>
    <t>TR70133799</t>
  </si>
  <si>
    <t>FR48236910</t>
  </si>
  <si>
    <t>CN70133799</t>
  </si>
  <si>
    <t>TR69111000</t>
  </si>
  <si>
    <t>CN68030090</t>
  </si>
  <si>
    <t>FR33021010</t>
  </si>
  <si>
    <t>CN85434000</t>
  </si>
  <si>
    <t>DE56012290</t>
  </si>
  <si>
    <t>DE38249996</t>
  </si>
  <si>
    <t>HU23099096</t>
  </si>
  <si>
    <t>BE23099096</t>
  </si>
  <si>
    <t>CN63079010</t>
  </si>
  <si>
    <t>CN42010000</t>
  </si>
  <si>
    <t>FR23091090</t>
  </si>
  <si>
    <t>FR33079000</t>
  </si>
  <si>
    <t>CN85094000</t>
  </si>
  <si>
    <t>CN85166070</t>
  </si>
  <si>
    <t>CN48171000</t>
  </si>
  <si>
    <t>CN39269097</t>
  </si>
  <si>
    <t>CN85444290</t>
  </si>
  <si>
    <t>CN85182100</t>
  </si>
  <si>
    <t>CN95044000</t>
  </si>
  <si>
    <t>CZ95030095</t>
  </si>
  <si>
    <t>TH95030070</t>
  </si>
  <si>
    <t>CN95030055</t>
  </si>
  <si>
    <t>CN95030070</t>
  </si>
  <si>
    <t>CZ95030035</t>
  </si>
  <si>
    <t>DE95030070</t>
  </si>
  <si>
    <t>VN95030021</t>
  </si>
  <si>
    <t>BE17049071</t>
  </si>
  <si>
    <t>BE19053119</t>
  </si>
  <si>
    <t>BE17049065</t>
  </si>
  <si>
    <t>IE17049061</t>
  </si>
  <si>
    <t>FR96081099</t>
  </si>
  <si>
    <t>IT39261000</t>
  </si>
  <si>
    <t>FR33030090</t>
  </si>
  <si>
    <t>ES48131000</t>
  </si>
  <si>
    <t>BE48201030</t>
  </si>
  <si>
    <t>CN56075011</t>
  </si>
  <si>
    <t>BE34060000</t>
  </si>
  <si>
    <t>CN33074900</t>
  </si>
  <si>
    <t>IN34060000</t>
  </si>
  <si>
    <t>CN34060000</t>
  </si>
  <si>
    <t>CN96039091</t>
  </si>
  <si>
    <t>FR34013000</t>
  </si>
  <si>
    <t>MC33012991</t>
  </si>
  <si>
    <t>ES34013000</t>
  </si>
  <si>
    <t>ES30051000</t>
  </si>
  <si>
    <t>IT48182010</t>
  </si>
  <si>
    <t>FR56012290</t>
  </si>
  <si>
    <t>CH21069051</t>
  </si>
  <si>
    <t>CN57050030</t>
  </si>
  <si>
    <t>IT64019290</t>
  </si>
  <si>
    <t>CN64041910</t>
  </si>
  <si>
    <t>TR64029931</t>
  </si>
  <si>
    <t>CN73239300</t>
  </si>
  <si>
    <t>TR63022100</t>
  </si>
  <si>
    <t>CN63023100</t>
  </si>
  <si>
    <t>PK63022290</t>
  </si>
  <si>
    <t>CN96050000</t>
  </si>
  <si>
    <t>FR33049900</t>
  </si>
  <si>
    <t>CN63029390</t>
  </si>
  <si>
    <t>ES33049900</t>
  </si>
  <si>
    <t>ES33012949</t>
  </si>
  <si>
    <t>DE33049900</t>
  </si>
  <si>
    <t>FR33059000</t>
  </si>
  <si>
    <t>CN96151900</t>
  </si>
  <si>
    <t>FR33051000</t>
  </si>
  <si>
    <t>PL34060000</t>
  </si>
  <si>
    <t>CN63014090</t>
  </si>
  <si>
    <t>TR55111000</t>
  </si>
  <si>
    <t>CN56060010</t>
  </si>
  <si>
    <t>CN63079098</t>
  </si>
  <si>
    <t>CN95030021</t>
  </si>
  <si>
    <t>CN95030049</t>
  </si>
  <si>
    <t>CN95030095</t>
  </si>
  <si>
    <t>CN95059000</t>
  </si>
  <si>
    <t>CN95030075</t>
  </si>
  <si>
    <t>US95044000</t>
  </si>
  <si>
    <t>CN62114390</t>
  </si>
  <si>
    <t>NL48114900</t>
  </si>
  <si>
    <t>CN48119000</t>
  </si>
  <si>
    <t>DE48119000</t>
  </si>
  <si>
    <t>NL48102200</t>
  </si>
  <si>
    <t>VN95030085</t>
  </si>
  <si>
    <t>CN40169200</t>
  </si>
  <si>
    <t>VN95030049</t>
  </si>
  <si>
    <t>FR62046990</t>
  </si>
  <si>
    <t>PK61046200</t>
  </si>
  <si>
    <t>FR62044990</t>
  </si>
  <si>
    <t>FR62069090</t>
  </si>
  <si>
    <t>FR62045990</t>
  </si>
  <si>
    <t>PK62034231</t>
  </si>
  <si>
    <t>BD61101910</t>
  </si>
  <si>
    <t>IN62033990</t>
  </si>
  <si>
    <t>PK61046300</t>
  </si>
  <si>
    <t>IN61044300</t>
  </si>
  <si>
    <t>FR61044300</t>
  </si>
  <si>
    <t>IN62052000</t>
  </si>
  <si>
    <t>BD61102091</t>
  </si>
  <si>
    <t>PK61109090</t>
  </si>
  <si>
    <t>ES17049065</t>
  </si>
  <si>
    <t>CN71171900</t>
  </si>
  <si>
    <t>CN39264000</t>
  </si>
  <si>
    <t>CN21069059</t>
  </si>
  <si>
    <t>IN64039996</t>
  </si>
  <si>
    <t>BD64039996</t>
  </si>
  <si>
    <t>BD64039111</t>
  </si>
  <si>
    <t>CN95030085</t>
  </si>
  <si>
    <t>VN95030070</t>
  </si>
  <si>
    <t>CN95030010</t>
  </si>
  <si>
    <t>CN69111000</t>
  </si>
  <si>
    <t>CN33049900</t>
  </si>
  <si>
    <t>IN61101910</t>
  </si>
  <si>
    <t>CN33073000</t>
  </si>
  <si>
    <t>CN44209010</t>
  </si>
  <si>
    <t>CN70139900</t>
  </si>
  <si>
    <t>CN95030041</t>
  </si>
  <si>
    <t>CN57049000</t>
  </si>
  <si>
    <t>FR55032000</t>
  </si>
  <si>
    <t>CN62143000</t>
  </si>
  <si>
    <t>IT94037000</t>
  </si>
  <si>
    <t>FR39249000</t>
  </si>
  <si>
    <t>PL94049090</t>
  </si>
  <si>
    <t>CN76151010</t>
  </si>
  <si>
    <t>CN44219100</t>
  </si>
  <si>
    <t>CN85165000</t>
  </si>
  <si>
    <t>CN84433100</t>
  </si>
  <si>
    <t>CN67029000</t>
  </si>
  <si>
    <t>CN85081100</t>
  </si>
  <si>
    <t>CN61032300</t>
  </si>
  <si>
    <t>CN61042300</t>
  </si>
  <si>
    <t>CN63039290</t>
  </si>
  <si>
    <t>CN39249000</t>
  </si>
  <si>
    <t>CN17049065</t>
  </si>
  <si>
    <t>CN69120029</t>
  </si>
  <si>
    <t>CN67021000</t>
  </si>
  <si>
    <t>CN95030030</t>
  </si>
  <si>
    <t>VN95030095</t>
  </si>
  <si>
    <t>CN42022100</t>
  </si>
  <si>
    <t>VN42022100</t>
  </si>
  <si>
    <t>CN95030099</t>
  </si>
  <si>
    <t>CN95030069</t>
  </si>
  <si>
    <t>CN96100000</t>
  </si>
  <si>
    <t>CN95049080</t>
  </si>
  <si>
    <t>IT95030070</t>
  </si>
  <si>
    <t>CN17049071</t>
  </si>
  <si>
    <t>DE18069019</t>
  </si>
  <si>
    <t>IT18069019</t>
  </si>
  <si>
    <t>BE18069019</t>
  </si>
  <si>
    <t>BE18069031</t>
  </si>
  <si>
    <t>PL18069031</t>
  </si>
  <si>
    <t>IT18069060</t>
  </si>
  <si>
    <t>DE18069039</t>
  </si>
  <si>
    <t>DE18063100</t>
  </si>
  <si>
    <t>CH18069019</t>
  </si>
  <si>
    <t>CN70134999</t>
  </si>
  <si>
    <t>CN62044300</t>
  </si>
  <si>
    <t>CN95030081</t>
  </si>
  <si>
    <t>CN70133791</t>
  </si>
  <si>
    <t>IN61051000</t>
  </si>
  <si>
    <t>CN85167200</t>
  </si>
  <si>
    <t>PT94049090</t>
  </si>
  <si>
    <t>DE63071030</t>
  </si>
  <si>
    <t>PL34025090</t>
  </si>
  <si>
    <t>IT34025090</t>
  </si>
  <si>
    <t>FR94049090</t>
  </si>
  <si>
    <t>PK63022100</t>
  </si>
  <si>
    <t>CN63041990</t>
  </si>
  <si>
    <t>TR94049090</t>
  </si>
  <si>
    <t>CN63049300</t>
  </si>
  <si>
    <t>CN85437090</t>
  </si>
  <si>
    <t>PL39269097</t>
  </si>
  <si>
    <t>FR39269097</t>
  </si>
  <si>
    <t>FR20052020</t>
  </si>
  <si>
    <t>TR44013100</t>
  </si>
  <si>
    <t>NL22021000</t>
  </si>
  <si>
    <t>GB22021000</t>
  </si>
  <si>
    <t>BE22011090</t>
  </si>
  <si>
    <t>BE22021000</t>
  </si>
  <si>
    <t>MY95030085</t>
  </si>
  <si>
    <t>CN44211000</t>
  </si>
  <si>
    <t>DE04015011</t>
  </si>
  <si>
    <t>Copier les données brutes dans un seul fichier. NE PAS PRENDRE LES PALETTES</t>
  </si>
  <si>
    <t>Vérifier si le total des données brutes = total des factures ( vérification par les totaux)</t>
  </si>
  <si>
    <t>Supprimer les colonnes vides et inutiles</t>
  </si>
  <si>
    <t>Combiner les codes et les origines avec la formule concaténer</t>
  </si>
  <si>
    <t>Faire une colonne avec la formule et une colonne avec la valeur obtenue</t>
  </si>
  <si>
    <t>Supprimer les colonnes codes, origine et formule conca</t>
  </si>
  <si>
    <t>Réduire les codes dans onglet données et consolider</t>
  </si>
  <si>
    <t>Référence = tableau Choisir case vide pour que le tableau se calcule (a coté)</t>
  </si>
  <si>
    <t>Nouvel onglet</t>
  </si>
  <si>
    <t>Séparer de les codes et les origines</t>
  </si>
  <si>
    <t>Créer une colone vide pour code ou origine</t>
  </si>
  <si>
    <t>Utiliser fonction convertir dans onglet données</t>
  </si>
  <si>
    <t>Sélectionner l'ensemble des cellules à séparer puis utiliser fonction</t>
  </si>
  <si>
    <t>Copier les données obtenues du tableau final dans le fichier infection ( pas sur le vierge !)</t>
  </si>
  <si>
    <t xml:space="preserve">Attention au valeur additionelle - s'adapter </t>
  </si>
  <si>
    <t>Valeur Addition</t>
  </si>
  <si>
    <t>Faire une colonne pour la valeur additionelle et utiliser formule recherche ( Attention, peut-être pas assez fiable)</t>
  </si>
  <si>
    <t>Pour les valeurs autre que Nar ET NPP, prendre le volume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</si>
</sst>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00_ ;_ * \-#,##0.000_ ;_ * &quot;-&quot;??_ ;_ @_ "/>
    <numFmt numFmtId="166" formatCode="_ * #,##0.000000_ ;_ * \-#,##0.00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4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right"/>
    </xf>
    <xf numFmtId="0" fontId="0" fillId="3" borderId="1" xfId="0" applyFill="1" applyBorder="1"/>
    <xf numFmtId="165" fontId="0" fillId="0" borderId="1" xfId="1" applyNumberFormat="1" applyFont="1" applyBorder="1"/>
    <xf numFmtId="0" fontId="3" fillId="0" borderId="9" xfId="0" applyFont="1" applyBorder="1" applyAlignment="1">
      <alignment horizontal="right"/>
    </xf>
    <xf numFmtId="0" fontId="0" fillId="0" borderId="1" xfId="0" applyBorder="1"/>
    <xf numFmtId="0" fontId="3" fillId="0" borderId="10" xfId="0" applyFont="1" applyBorder="1" applyAlignment="1">
      <alignment horizontal="right"/>
    </xf>
    <xf numFmtId="0" fontId="3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0" fillId="0" borderId="1" xfId="0" applyNumberFormat="1" applyBorder="1"/>
    <xf numFmtId="164" fontId="0" fillId="0" borderId="13" xfId="1" applyFont="1" applyBorder="1"/>
    <xf numFmtId="165" fontId="0" fillId="0" borderId="13" xfId="1" applyNumberFormat="1" applyFont="1" applyBorder="1"/>
    <xf numFmtId="0" fontId="2" fillId="0" borderId="0" xfId="0" applyFont="1" applyAlignment="1">
      <alignment horizontal="right"/>
    </xf>
    <xf numFmtId="164" fontId="0" fillId="0" borderId="9" xfId="0" applyNumberFormat="1" applyBorder="1"/>
    <xf numFmtId="166" fontId="0" fillId="0" borderId="9" xfId="0" applyNumberFormat="1" applyBorder="1"/>
    <xf numFmtId="16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0" fillId="0" borderId="15" xfId="0" applyNumberFormat="1" applyBorder="1"/>
    <xf numFmtId="49" fontId="0" fillId="0" borderId="0" xfId="0" applyNumberFormat="1"/>
    <xf numFmtId="9" fontId="0" fillId="0" borderId="0" xfId="0" applyNumberFormat="1"/>
  </cellXfs>
  <cellStyles count="2">
    <cellStyle name="Milliers" xfId="1" builtinId="3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</xdr:row>
      <xdr:rowOff>0</xdr:rowOff>
    </xdr:from>
    <xdr:to>
      <xdr:col>11</xdr:col>
      <xdr:colOff>581634</xdr:colOff>
      <xdr:row>16</xdr:row>
      <xdr:rowOff>143294</xdr:rowOff>
    </xdr:to>
    <xdr:pic>
      <xdr:nvPicPr>
        <xdr:cNvPr id="2" name="Image 1" descr="Consolider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50" y="190500"/>
          <a:ext cx="4363059" cy="300079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9</xdr:col>
      <xdr:colOff>362639</xdr:colOff>
      <xdr:row>44</xdr:row>
      <xdr:rowOff>152953</xdr:rowOff>
    </xdr:to>
    <xdr:pic>
      <xdr:nvPicPr>
        <xdr:cNvPr id="5" name="Image 4" descr="Séparer étape 1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34175" y="4572000"/>
          <a:ext cx="4934639" cy="39629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4963218</xdr:colOff>
      <xdr:row>47</xdr:row>
      <xdr:rowOff>124374</xdr:rowOff>
    </xdr:to>
    <xdr:pic>
      <xdr:nvPicPr>
        <xdr:cNvPr id="6" name="Image 5" descr="Séparer étape 2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0" y="5143500"/>
          <a:ext cx="4963218" cy="3934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Clients\Integra\Calcul%20INTEGRA%20-%20%20vierge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its"/>
      <sheetName val="INTEGRA - Détails"/>
      <sheetName val="INTEGRA - Résumé "/>
      <sheetName val="Feuil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R838"/>
  <sheetViews>
    <sheetView topLeftCell="H1" workbookViewId="0">
      <pane ySplit="1" topLeftCell="A2" activePane="bottomLeft" state="frozen"/>
      <selection pane="bottomLeft" activeCell="S838" sqref="S838"/>
    </sheetView>
  </sheetViews>
  <sheetFormatPr baseColWidth="10" defaultRowHeight="15" x14ac:dyDescent="0.25"/>
  <cols>
    <col min="1" max="1" width="17.28515625" hidden="1" customWidth="1"/>
    <col min="2" max="2" width="14.5703125" hidden="1" customWidth="1"/>
    <col min="3" max="4" width="11.5703125" hidden="1" customWidth="1"/>
    <col min="5" max="5" width="22" hidden="1" customWidth="1"/>
    <col min="6" max="7" width="20.85546875" hidden="1" customWidth="1"/>
    <col min="8" max="8" width="11.5703125" bestFit="1" customWidth="1"/>
    <col min="9" max="9" width="17.28515625" bestFit="1" customWidth="1"/>
    <col min="10" max="18" width="1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>
        <v>18768943</v>
      </c>
      <c r="B2">
        <v>905236</v>
      </c>
      <c r="C2" t="s">
        <v>322</v>
      </c>
      <c r="H2" t="s">
        <v>17</v>
      </c>
      <c r="I2">
        <v>64029910</v>
      </c>
      <c r="J2">
        <v>1</v>
      </c>
      <c r="K2">
        <v>16</v>
      </c>
      <c r="L2">
        <v>16</v>
      </c>
      <c r="M2">
        <v>4.266</v>
      </c>
      <c r="N2">
        <v>3.84</v>
      </c>
      <c r="O2">
        <v>5.1360000000000001</v>
      </c>
      <c r="P2">
        <v>82.176000000000002</v>
      </c>
      <c r="Q2">
        <v>3.68</v>
      </c>
      <c r="R2">
        <v>58.82</v>
      </c>
    </row>
    <row r="3" spans="1:18" x14ac:dyDescent="0.25">
      <c r="A3">
        <v>18768943</v>
      </c>
      <c r="B3">
        <v>997529</v>
      </c>
      <c r="C3" t="s">
        <v>323</v>
      </c>
      <c r="H3" t="s">
        <v>17</v>
      </c>
      <c r="I3">
        <v>61152200</v>
      </c>
      <c r="J3">
        <v>5</v>
      </c>
      <c r="K3">
        <v>4</v>
      </c>
      <c r="L3">
        <v>20</v>
      </c>
      <c r="M3">
        <v>1.48</v>
      </c>
      <c r="N3">
        <v>1.3320000000000001</v>
      </c>
      <c r="O3">
        <v>0.61699999999999999</v>
      </c>
      <c r="P3">
        <v>12.34</v>
      </c>
      <c r="Q3">
        <v>1.86</v>
      </c>
      <c r="R3">
        <v>37.200000000000003</v>
      </c>
    </row>
    <row r="4" spans="1:18" x14ac:dyDescent="0.25">
      <c r="A4">
        <v>18768943</v>
      </c>
      <c r="B4">
        <v>991982</v>
      </c>
      <c r="C4" t="s">
        <v>324</v>
      </c>
      <c r="H4" t="s">
        <v>17</v>
      </c>
      <c r="I4">
        <v>61152200</v>
      </c>
      <c r="J4">
        <v>12</v>
      </c>
      <c r="K4">
        <v>3</v>
      </c>
      <c r="L4">
        <v>36</v>
      </c>
      <c r="M4">
        <v>1.86</v>
      </c>
      <c r="N4">
        <v>1.6739999999999999</v>
      </c>
      <c r="O4">
        <v>0.63300000000000001</v>
      </c>
      <c r="P4">
        <v>22.776</v>
      </c>
      <c r="Q4">
        <v>4.01</v>
      </c>
      <c r="R4">
        <v>144.36000000000001</v>
      </c>
    </row>
    <row r="5" spans="1:18" x14ac:dyDescent="0.25">
      <c r="A5">
        <v>18768943</v>
      </c>
      <c r="B5">
        <v>709775</v>
      </c>
      <c r="C5" t="s">
        <v>325</v>
      </c>
      <c r="H5" t="s">
        <v>203</v>
      </c>
      <c r="I5">
        <v>61152200</v>
      </c>
      <c r="J5">
        <v>12</v>
      </c>
      <c r="K5">
        <v>3</v>
      </c>
      <c r="L5">
        <v>36</v>
      </c>
      <c r="M5">
        <v>2.3519999999999999</v>
      </c>
      <c r="N5">
        <v>2.117</v>
      </c>
      <c r="O5">
        <v>0.76</v>
      </c>
      <c r="P5">
        <v>27.36</v>
      </c>
      <c r="Q5">
        <v>3.71</v>
      </c>
      <c r="R5">
        <v>133.56</v>
      </c>
    </row>
    <row r="6" spans="1:18" x14ac:dyDescent="0.25">
      <c r="A6">
        <v>18768943</v>
      </c>
      <c r="B6">
        <v>793513</v>
      </c>
      <c r="C6" t="s">
        <v>326</v>
      </c>
      <c r="H6" t="s">
        <v>17</v>
      </c>
      <c r="I6">
        <v>61152100</v>
      </c>
      <c r="J6">
        <v>4</v>
      </c>
      <c r="K6">
        <v>4</v>
      </c>
      <c r="L6">
        <v>16</v>
      </c>
      <c r="M6">
        <v>1.1399999999999999</v>
      </c>
      <c r="N6">
        <v>1.026</v>
      </c>
      <c r="O6">
        <v>0.78100000000000003</v>
      </c>
      <c r="P6">
        <v>12.496</v>
      </c>
      <c r="Q6">
        <v>1.67</v>
      </c>
      <c r="R6">
        <v>26.64</v>
      </c>
    </row>
    <row r="7" spans="1:18" x14ac:dyDescent="0.25">
      <c r="A7">
        <v>18768943</v>
      </c>
      <c r="B7">
        <v>723185</v>
      </c>
      <c r="C7" t="s">
        <v>327</v>
      </c>
      <c r="E7">
        <v>3031446805734</v>
      </c>
      <c r="H7" t="s">
        <v>200</v>
      </c>
      <c r="I7">
        <v>64069050</v>
      </c>
      <c r="J7">
        <v>3</v>
      </c>
      <c r="K7">
        <v>1</v>
      </c>
      <c r="L7">
        <v>3</v>
      </c>
      <c r="M7">
        <v>0.23400000000000001</v>
      </c>
      <c r="N7">
        <v>0.21099999999999999</v>
      </c>
      <c r="O7">
        <v>1</v>
      </c>
      <c r="P7">
        <v>3</v>
      </c>
      <c r="Q7">
        <v>2.71</v>
      </c>
      <c r="R7">
        <v>8.1300000000000008</v>
      </c>
    </row>
    <row r="8" spans="1:18" x14ac:dyDescent="0.25">
      <c r="A8">
        <v>18768943</v>
      </c>
      <c r="B8">
        <v>996593</v>
      </c>
      <c r="C8" t="s">
        <v>328</v>
      </c>
      <c r="E8">
        <v>3031446805765</v>
      </c>
      <c r="H8" t="s">
        <v>200</v>
      </c>
      <c r="I8">
        <v>64069050</v>
      </c>
      <c r="J8">
        <v>3</v>
      </c>
      <c r="K8">
        <v>1</v>
      </c>
      <c r="L8">
        <v>3</v>
      </c>
      <c r="M8">
        <v>0.186</v>
      </c>
      <c r="N8">
        <v>0.16700000000000001</v>
      </c>
      <c r="O8">
        <v>0.75</v>
      </c>
      <c r="P8">
        <v>2.25</v>
      </c>
      <c r="Q8">
        <v>1.39</v>
      </c>
      <c r="R8">
        <v>4.17</v>
      </c>
    </row>
    <row r="9" spans="1:18" x14ac:dyDescent="0.25">
      <c r="A9">
        <v>18768943</v>
      </c>
      <c r="B9">
        <v>929409</v>
      </c>
      <c r="C9" t="s">
        <v>329</v>
      </c>
      <c r="E9">
        <v>3031446801743</v>
      </c>
      <c r="H9" t="s">
        <v>200</v>
      </c>
      <c r="I9">
        <v>64069050</v>
      </c>
      <c r="J9">
        <v>3</v>
      </c>
      <c r="K9">
        <v>1</v>
      </c>
      <c r="L9">
        <v>3</v>
      </c>
      <c r="M9">
        <v>8.4000000000000005E-2</v>
      </c>
      <c r="N9">
        <v>7.5999999999999998E-2</v>
      </c>
      <c r="O9">
        <v>0.41799999999999998</v>
      </c>
      <c r="P9">
        <v>1.254</v>
      </c>
      <c r="Q9">
        <v>2.11</v>
      </c>
      <c r="R9">
        <v>6.33</v>
      </c>
    </row>
    <row r="10" spans="1:18" x14ac:dyDescent="0.25">
      <c r="A10">
        <v>18768943</v>
      </c>
      <c r="B10">
        <v>723182</v>
      </c>
      <c r="C10" t="s">
        <v>330</v>
      </c>
      <c r="E10">
        <v>3031446805727</v>
      </c>
      <c r="H10" t="s">
        <v>200</v>
      </c>
      <c r="I10">
        <v>64069050</v>
      </c>
      <c r="J10">
        <v>3</v>
      </c>
      <c r="K10">
        <v>1</v>
      </c>
      <c r="L10">
        <v>3</v>
      </c>
      <c r="M10">
        <v>0.219</v>
      </c>
      <c r="N10">
        <v>0.19700000000000001</v>
      </c>
      <c r="O10">
        <v>1</v>
      </c>
      <c r="P10">
        <v>3</v>
      </c>
      <c r="Q10">
        <v>2.71</v>
      </c>
      <c r="R10">
        <v>8.1300000000000008</v>
      </c>
    </row>
    <row r="11" spans="1:18" x14ac:dyDescent="0.25">
      <c r="A11">
        <v>18768943</v>
      </c>
      <c r="B11">
        <v>723168</v>
      </c>
      <c r="C11" t="s">
        <v>331</v>
      </c>
      <c r="E11">
        <v>3031446805741</v>
      </c>
      <c r="H11" t="s">
        <v>200</v>
      </c>
      <c r="I11">
        <v>64069050</v>
      </c>
      <c r="J11">
        <v>3</v>
      </c>
      <c r="K11">
        <v>1</v>
      </c>
      <c r="L11">
        <v>3</v>
      </c>
      <c r="M11">
        <v>0.252</v>
      </c>
      <c r="N11">
        <v>0.22700000000000001</v>
      </c>
      <c r="O11">
        <v>1</v>
      </c>
      <c r="P11">
        <v>3</v>
      </c>
      <c r="Q11">
        <v>2.71</v>
      </c>
      <c r="R11">
        <v>8.1300000000000008</v>
      </c>
    </row>
    <row r="12" spans="1:18" x14ac:dyDescent="0.25">
      <c r="A12">
        <v>18768943</v>
      </c>
      <c r="B12">
        <v>996600</v>
      </c>
      <c r="C12" t="s">
        <v>332</v>
      </c>
      <c r="E12">
        <v>3031446805758</v>
      </c>
      <c r="H12" t="s">
        <v>200</v>
      </c>
      <c r="I12">
        <v>64069050</v>
      </c>
      <c r="J12">
        <v>3</v>
      </c>
      <c r="K12">
        <v>1</v>
      </c>
      <c r="L12">
        <v>3</v>
      </c>
      <c r="M12">
        <v>0.186</v>
      </c>
      <c r="N12">
        <v>0.16700000000000001</v>
      </c>
      <c r="O12">
        <v>0.75</v>
      </c>
      <c r="P12">
        <v>2.25</v>
      </c>
      <c r="Q12">
        <v>1.39</v>
      </c>
      <c r="R12">
        <v>4.17</v>
      </c>
    </row>
    <row r="13" spans="1:18" x14ac:dyDescent="0.25">
      <c r="A13">
        <v>18768943</v>
      </c>
      <c r="B13">
        <v>763302</v>
      </c>
      <c r="C13" t="s">
        <v>333</v>
      </c>
      <c r="H13" t="s">
        <v>137</v>
      </c>
      <c r="I13">
        <v>64041910</v>
      </c>
      <c r="J13">
        <v>2</v>
      </c>
      <c r="K13">
        <v>7</v>
      </c>
      <c r="L13">
        <v>14</v>
      </c>
      <c r="M13">
        <v>9.1199999999999992</v>
      </c>
      <c r="N13">
        <v>8.2080000000000002</v>
      </c>
      <c r="O13">
        <v>4.3410000000000002</v>
      </c>
      <c r="P13">
        <v>60.774000000000001</v>
      </c>
      <c r="Q13">
        <v>4.55</v>
      </c>
      <c r="R13">
        <v>63.7</v>
      </c>
    </row>
    <row r="14" spans="1:18" x14ac:dyDescent="0.25">
      <c r="A14">
        <v>18768943</v>
      </c>
      <c r="B14">
        <v>763301</v>
      </c>
      <c r="C14" t="s">
        <v>334</v>
      </c>
      <c r="H14" t="s">
        <v>137</v>
      </c>
      <c r="I14">
        <v>64041910</v>
      </c>
      <c r="J14">
        <v>2</v>
      </c>
      <c r="K14">
        <v>6</v>
      </c>
      <c r="L14">
        <v>12</v>
      </c>
      <c r="M14">
        <v>7.8719999999999999</v>
      </c>
      <c r="N14">
        <v>7.0839999999999996</v>
      </c>
      <c r="O14">
        <v>4.1349999999999998</v>
      </c>
      <c r="P14">
        <v>49.624000000000002</v>
      </c>
      <c r="Q14">
        <v>4.47</v>
      </c>
      <c r="R14">
        <v>53.66</v>
      </c>
    </row>
    <row r="15" spans="1:18" x14ac:dyDescent="0.25">
      <c r="A15">
        <v>18768943</v>
      </c>
      <c r="B15">
        <v>905233</v>
      </c>
      <c r="C15" t="s">
        <v>335</v>
      </c>
      <c r="H15" t="s">
        <v>17</v>
      </c>
      <c r="I15">
        <v>64029910</v>
      </c>
      <c r="J15">
        <v>1</v>
      </c>
      <c r="K15">
        <v>16</v>
      </c>
      <c r="L15">
        <v>16</v>
      </c>
      <c r="M15">
        <v>5.6369999999999996</v>
      </c>
      <c r="N15">
        <v>5.0739999999999998</v>
      </c>
      <c r="O15">
        <v>6.9180000000000001</v>
      </c>
      <c r="P15">
        <v>110.68</v>
      </c>
      <c r="Q15">
        <v>4.04</v>
      </c>
      <c r="R15">
        <v>64.62</v>
      </c>
    </row>
    <row r="16" spans="1:18" x14ac:dyDescent="0.25">
      <c r="A16">
        <v>18768943</v>
      </c>
      <c r="B16">
        <v>905234</v>
      </c>
      <c r="C16" t="s">
        <v>336</v>
      </c>
      <c r="H16" t="s">
        <v>17</v>
      </c>
      <c r="I16">
        <v>64029910</v>
      </c>
      <c r="J16">
        <v>1</v>
      </c>
      <c r="K16">
        <v>12</v>
      </c>
      <c r="L16">
        <v>12</v>
      </c>
      <c r="M16">
        <v>3.21</v>
      </c>
      <c r="N16">
        <v>2.891</v>
      </c>
      <c r="O16">
        <v>5.0359999999999996</v>
      </c>
      <c r="P16">
        <v>60.427999999999997</v>
      </c>
      <c r="Q16">
        <v>3.08</v>
      </c>
      <c r="R16">
        <v>36.96</v>
      </c>
    </row>
    <row r="17" spans="1:18" x14ac:dyDescent="0.25">
      <c r="A17">
        <v>18768943</v>
      </c>
      <c r="B17">
        <v>905231</v>
      </c>
      <c r="C17" t="s">
        <v>337</v>
      </c>
      <c r="H17" t="s">
        <v>17</v>
      </c>
      <c r="I17">
        <v>64029910</v>
      </c>
      <c r="J17">
        <v>1</v>
      </c>
      <c r="K17">
        <v>16</v>
      </c>
      <c r="L17">
        <v>16</v>
      </c>
      <c r="M17">
        <v>5.4960000000000004</v>
      </c>
      <c r="N17">
        <v>4.9470000000000001</v>
      </c>
      <c r="O17">
        <v>6.9020000000000001</v>
      </c>
      <c r="P17">
        <v>110.42400000000001</v>
      </c>
      <c r="Q17">
        <v>3.66</v>
      </c>
      <c r="R17">
        <v>58.51</v>
      </c>
    </row>
    <row r="18" spans="1:18" x14ac:dyDescent="0.25">
      <c r="A18">
        <v>18768943</v>
      </c>
      <c r="B18">
        <v>905235</v>
      </c>
      <c r="C18" t="s">
        <v>338</v>
      </c>
      <c r="H18" t="s">
        <v>17</v>
      </c>
      <c r="I18">
        <v>64029910</v>
      </c>
      <c r="J18">
        <v>1</v>
      </c>
      <c r="K18">
        <v>12</v>
      </c>
      <c r="L18">
        <v>12</v>
      </c>
      <c r="M18">
        <v>3.226</v>
      </c>
      <c r="N18">
        <v>2.9049999999999998</v>
      </c>
      <c r="O18">
        <v>5.1980000000000004</v>
      </c>
      <c r="P18">
        <v>62.38</v>
      </c>
      <c r="Q18">
        <v>3.25</v>
      </c>
      <c r="R18">
        <v>38.94</v>
      </c>
    </row>
    <row r="19" spans="1:18" x14ac:dyDescent="0.25">
      <c r="A19">
        <v>18832507</v>
      </c>
      <c r="B19">
        <v>901451</v>
      </c>
      <c r="C19" t="s">
        <v>339</v>
      </c>
      <c r="H19" t="s">
        <v>200</v>
      </c>
      <c r="I19">
        <v>48211010</v>
      </c>
      <c r="J19">
        <v>1</v>
      </c>
      <c r="K19">
        <v>5</v>
      </c>
      <c r="L19">
        <v>5</v>
      </c>
      <c r="M19">
        <v>0.15</v>
      </c>
      <c r="N19">
        <v>0.13500000000000001</v>
      </c>
      <c r="O19">
        <v>0.157</v>
      </c>
      <c r="P19">
        <v>0.78500000000000003</v>
      </c>
      <c r="Q19">
        <v>2</v>
      </c>
      <c r="R19">
        <v>10</v>
      </c>
    </row>
    <row r="20" spans="1:18" x14ac:dyDescent="0.25">
      <c r="A20">
        <v>18832507</v>
      </c>
      <c r="B20">
        <v>900850</v>
      </c>
      <c r="C20" t="s">
        <v>340</v>
      </c>
      <c r="E20">
        <v>5400141167900</v>
      </c>
      <c r="H20" t="s">
        <v>54</v>
      </c>
      <c r="I20">
        <v>4015011</v>
      </c>
      <c r="J20">
        <v>1</v>
      </c>
      <c r="K20">
        <v>5</v>
      </c>
      <c r="L20">
        <v>5</v>
      </c>
      <c r="M20">
        <v>1.145</v>
      </c>
      <c r="N20">
        <v>1.0309999999999999</v>
      </c>
      <c r="O20">
        <v>0.746</v>
      </c>
      <c r="P20">
        <v>3.73</v>
      </c>
      <c r="Q20">
        <v>0.57999999999999996</v>
      </c>
      <c r="R20">
        <v>2.9</v>
      </c>
    </row>
    <row r="21" spans="1:18" x14ac:dyDescent="0.25">
      <c r="A21">
        <v>18832507</v>
      </c>
      <c r="B21">
        <v>900216</v>
      </c>
      <c r="C21" t="s">
        <v>341</v>
      </c>
      <c r="H21" t="s">
        <v>200</v>
      </c>
      <c r="I21">
        <v>48219010</v>
      </c>
      <c r="J21">
        <v>1</v>
      </c>
      <c r="K21">
        <v>1</v>
      </c>
      <c r="L21">
        <v>1</v>
      </c>
      <c r="M21">
        <v>0.01</v>
      </c>
      <c r="N21">
        <v>8.9999999999999993E-3</v>
      </c>
      <c r="O21">
        <v>0.45</v>
      </c>
      <c r="P21">
        <v>0.45</v>
      </c>
      <c r="Q21">
        <v>11.02</v>
      </c>
      <c r="R21">
        <v>11.02</v>
      </c>
    </row>
    <row r="22" spans="1:18" x14ac:dyDescent="0.25">
      <c r="A22">
        <v>18832507</v>
      </c>
      <c r="B22">
        <v>900774</v>
      </c>
      <c r="C22" t="s">
        <v>342</v>
      </c>
      <c r="H22" t="s">
        <v>97</v>
      </c>
      <c r="I22">
        <v>48191000</v>
      </c>
      <c r="J22">
        <v>10</v>
      </c>
      <c r="K22">
        <v>5</v>
      </c>
      <c r="L22">
        <v>50</v>
      </c>
      <c r="M22">
        <v>10</v>
      </c>
      <c r="N22">
        <v>9</v>
      </c>
      <c r="O22">
        <v>8.5500000000000007</v>
      </c>
      <c r="P22">
        <v>427.5</v>
      </c>
      <c r="Q22">
        <v>2.58</v>
      </c>
      <c r="R22">
        <v>129</v>
      </c>
    </row>
    <row r="23" spans="1:18" x14ac:dyDescent="0.25">
      <c r="A23">
        <v>18832507</v>
      </c>
      <c r="B23">
        <v>901050</v>
      </c>
      <c r="C23" t="s">
        <v>343</v>
      </c>
      <c r="H23" t="s">
        <v>200</v>
      </c>
      <c r="I23">
        <v>19053199</v>
      </c>
      <c r="J23">
        <v>1</v>
      </c>
      <c r="K23">
        <v>5</v>
      </c>
      <c r="L23">
        <v>5</v>
      </c>
      <c r="M23">
        <v>3.13</v>
      </c>
      <c r="N23">
        <v>2.8170000000000002</v>
      </c>
      <c r="O23">
        <v>2.97</v>
      </c>
      <c r="P23">
        <v>14.85</v>
      </c>
      <c r="Q23">
        <v>2.85</v>
      </c>
      <c r="R23">
        <v>14.25</v>
      </c>
    </row>
    <row r="24" spans="1:18" x14ac:dyDescent="0.25">
      <c r="A24">
        <v>18832507</v>
      </c>
      <c r="B24">
        <v>900781</v>
      </c>
      <c r="C24" t="s">
        <v>344</v>
      </c>
      <c r="H24" t="s">
        <v>97</v>
      </c>
      <c r="I24">
        <v>39232100</v>
      </c>
      <c r="J24">
        <v>25</v>
      </c>
      <c r="K24">
        <v>3</v>
      </c>
      <c r="L24">
        <v>75</v>
      </c>
      <c r="M24">
        <v>25.125</v>
      </c>
      <c r="N24">
        <v>22.613</v>
      </c>
      <c r="O24">
        <v>3</v>
      </c>
      <c r="P24">
        <v>225</v>
      </c>
      <c r="Q24">
        <v>1.22</v>
      </c>
      <c r="R24">
        <v>91.5</v>
      </c>
    </row>
    <row r="25" spans="1:18" x14ac:dyDescent="0.25">
      <c r="A25">
        <v>18832517</v>
      </c>
      <c r="B25">
        <v>915273</v>
      </c>
      <c r="C25" t="s">
        <v>345</v>
      </c>
      <c r="E25">
        <v>8715658440048</v>
      </c>
      <c r="H25" t="s">
        <v>17</v>
      </c>
      <c r="I25">
        <v>33030010</v>
      </c>
      <c r="J25">
        <v>1</v>
      </c>
      <c r="K25">
        <v>2</v>
      </c>
      <c r="L25">
        <v>2</v>
      </c>
      <c r="M25">
        <v>2.4239999999999999</v>
      </c>
      <c r="N25">
        <v>2.1819999999999999</v>
      </c>
      <c r="O25">
        <v>4</v>
      </c>
      <c r="P25">
        <v>8</v>
      </c>
      <c r="Q25">
        <v>1.83</v>
      </c>
      <c r="R25">
        <v>3.66</v>
      </c>
    </row>
    <row r="26" spans="1:18" x14ac:dyDescent="0.25">
      <c r="A26">
        <v>18832517</v>
      </c>
      <c r="B26">
        <v>283973</v>
      </c>
      <c r="C26" t="s">
        <v>346</v>
      </c>
      <c r="E26">
        <v>8436097092703</v>
      </c>
      <c r="F26">
        <v>8437005723306</v>
      </c>
      <c r="G26">
        <v>8436097093984</v>
      </c>
      <c r="H26" t="s">
        <v>137</v>
      </c>
      <c r="I26">
        <v>33043000</v>
      </c>
      <c r="J26">
        <v>1</v>
      </c>
      <c r="K26">
        <v>5</v>
      </c>
      <c r="L26">
        <v>5</v>
      </c>
      <c r="M26">
        <v>1.335</v>
      </c>
      <c r="N26">
        <v>1.202</v>
      </c>
      <c r="O26">
        <v>0.50700000000000001</v>
      </c>
      <c r="P26">
        <v>2.5350000000000001</v>
      </c>
      <c r="Q26">
        <v>0.69</v>
      </c>
      <c r="R26">
        <v>3.45</v>
      </c>
    </row>
    <row r="27" spans="1:18" x14ac:dyDescent="0.25">
      <c r="A27">
        <v>18832651</v>
      </c>
      <c r="B27">
        <v>700322</v>
      </c>
      <c r="C27" t="s">
        <v>347</v>
      </c>
      <c r="H27" t="s">
        <v>95</v>
      </c>
      <c r="I27">
        <v>62046390</v>
      </c>
      <c r="J27">
        <v>1</v>
      </c>
      <c r="K27">
        <v>1</v>
      </c>
      <c r="L27">
        <v>1</v>
      </c>
      <c r="M27">
        <v>0.47099999999999997</v>
      </c>
      <c r="N27">
        <v>0.42399999999999999</v>
      </c>
      <c r="O27">
        <v>2.5329999999999999</v>
      </c>
      <c r="P27">
        <v>2.5329999999999999</v>
      </c>
      <c r="Q27">
        <v>7.47</v>
      </c>
      <c r="R27">
        <v>7.47</v>
      </c>
    </row>
    <row r="28" spans="1:18" x14ac:dyDescent="0.25">
      <c r="A28">
        <v>18832651</v>
      </c>
      <c r="B28">
        <v>991150</v>
      </c>
      <c r="C28" t="s">
        <v>348</v>
      </c>
      <c r="H28" t="s">
        <v>17</v>
      </c>
      <c r="I28">
        <v>39262000</v>
      </c>
      <c r="J28">
        <v>2</v>
      </c>
      <c r="K28">
        <v>1</v>
      </c>
      <c r="L28">
        <v>2</v>
      </c>
      <c r="M28">
        <v>0.24399999999999999</v>
      </c>
      <c r="N28">
        <v>0.22</v>
      </c>
      <c r="O28">
        <v>0.442</v>
      </c>
      <c r="P28">
        <v>0.88400000000000001</v>
      </c>
      <c r="Q28">
        <v>1.05</v>
      </c>
      <c r="R28">
        <v>2.1</v>
      </c>
    </row>
    <row r="29" spans="1:18" x14ac:dyDescent="0.25">
      <c r="A29">
        <v>18832651</v>
      </c>
      <c r="B29">
        <v>659963</v>
      </c>
      <c r="C29" t="s">
        <v>349</v>
      </c>
      <c r="H29" t="s">
        <v>95</v>
      </c>
      <c r="I29">
        <v>62046290</v>
      </c>
      <c r="J29">
        <v>1</v>
      </c>
      <c r="K29">
        <v>1</v>
      </c>
      <c r="L29">
        <v>1</v>
      </c>
      <c r="M29">
        <v>0.497</v>
      </c>
      <c r="N29">
        <v>0.44700000000000001</v>
      </c>
      <c r="O29">
        <v>3</v>
      </c>
      <c r="P29">
        <v>3</v>
      </c>
      <c r="Q29">
        <v>7.93</v>
      </c>
      <c r="R29">
        <v>7.93</v>
      </c>
    </row>
    <row r="30" spans="1:18" x14ac:dyDescent="0.25">
      <c r="A30">
        <v>18832651</v>
      </c>
      <c r="B30">
        <v>635597</v>
      </c>
      <c r="C30" t="s">
        <v>350</v>
      </c>
      <c r="H30" t="s">
        <v>99</v>
      </c>
      <c r="I30">
        <v>61152900</v>
      </c>
      <c r="J30">
        <v>2</v>
      </c>
      <c r="K30">
        <v>1</v>
      </c>
      <c r="L30">
        <v>2</v>
      </c>
      <c r="M30">
        <v>0.33400000000000002</v>
      </c>
      <c r="N30">
        <v>0.30099999999999999</v>
      </c>
      <c r="O30">
        <v>1.3859999999999999</v>
      </c>
      <c r="P30">
        <v>2.7719999999999998</v>
      </c>
      <c r="Q30">
        <v>2.58</v>
      </c>
      <c r="R30">
        <v>5.16</v>
      </c>
    </row>
    <row r="31" spans="1:18" x14ac:dyDescent="0.25">
      <c r="A31">
        <v>18832651</v>
      </c>
      <c r="B31">
        <v>942303</v>
      </c>
      <c r="C31" t="s">
        <v>351</v>
      </c>
      <c r="H31" t="s">
        <v>99</v>
      </c>
      <c r="I31">
        <v>61142000</v>
      </c>
      <c r="J31">
        <v>2</v>
      </c>
      <c r="K31">
        <v>1</v>
      </c>
      <c r="L31">
        <v>2</v>
      </c>
      <c r="M31">
        <v>0.35199999999999998</v>
      </c>
      <c r="N31">
        <v>0.317</v>
      </c>
      <c r="O31">
        <v>1.1759999999999999</v>
      </c>
      <c r="P31">
        <v>2.3519999999999999</v>
      </c>
      <c r="Q31">
        <v>2.5499999999999998</v>
      </c>
      <c r="R31">
        <v>5.0999999999999996</v>
      </c>
    </row>
    <row r="32" spans="1:18" x14ac:dyDescent="0.25">
      <c r="A32">
        <v>18832651</v>
      </c>
      <c r="B32">
        <v>700245</v>
      </c>
      <c r="C32" t="s">
        <v>352</v>
      </c>
      <c r="H32" t="s">
        <v>95</v>
      </c>
      <c r="I32">
        <v>61109090</v>
      </c>
      <c r="J32">
        <v>1</v>
      </c>
      <c r="K32">
        <v>1</v>
      </c>
      <c r="L32">
        <v>1</v>
      </c>
      <c r="M32">
        <v>0.13600000000000001</v>
      </c>
      <c r="N32">
        <v>0.122</v>
      </c>
      <c r="O32">
        <v>1.8</v>
      </c>
      <c r="P32">
        <v>1.8</v>
      </c>
      <c r="Q32">
        <v>2.86</v>
      </c>
      <c r="R32">
        <v>2.86</v>
      </c>
    </row>
    <row r="33" spans="1:18" x14ac:dyDescent="0.25">
      <c r="A33">
        <v>18832651</v>
      </c>
      <c r="B33">
        <v>700243</v>
      </c>
      <c r="C33" t="s">
        <v>353</v>
      </c>
      <c r="H33" t="s">
        <v>95</v>
      </c>
      <c r="I33">
        <v>61109090</v>
      </c>
      <c r="J33">
        <v>1</v>
      </c>
      <c r="K33">
        <v>1</v>
      </c>
      <c r="L33">
        <v>1</v>
      </c>
      <c r="M33">
        <v>0.20399999999999999</v>
      </c>
      <c r="N33">
        <v>0.184</v>
      </c>
      <c r="O33">
        <v>2.4</v>
      </c>
      <c r="P33">
        <v>2.4</v>
      </c>
      <c r="Q33">
        <v>2.93</v>
      </c>
      <c r="R33">
        <v>2.93</v>
      </c>
    </row>
    <row r="34" spans="1:18" x14ac:dyDescent="0.25">
      <c r="A34">
        <v>18832651</v>
      </c>
      <c r="B34">
        <v>700247</v>
      </c>
      <c r="C34" t="s">
        <v>354</v>
      </c>
      <c r="H34" t="s">
        <v>95</v>
      </c>
      <c r="I34">
        <v>61109090</v>
      </c>
      <c r="J34">
        <v>1</v>
      </c>
      <c r="K34">
        <v>1</v>
      </c>
      <c r="L34">
        <v>1</v>
      </c>
      <c r="M34">
        <v>0.33300000000000002</v>
      </c>
      <c r="N34">
        <v>0.3</v>
      </c>
      <c r="O34">
        <v>2.6659999999999999</v>
      </c>
      <c r="P34">
        <v>2.6659999999999999</v>
      </c>
      <c r="Q34">
        <v>3.6</v>
      </c>
      <c r="R34">
        <v>3.6</v>
      </c>
    </row>
    <row r="35" spans="1:18" x14ac:dyDescent="0.25">
      <c r="A35">
        <v>18832651</v>
      </c>
      <c r="B35">
        <v>380893</v>
      </c>
      <c r="C35" t="s">
        <v>355</v>
      </c>
      <c r="H35" t="s">
        <v>99</v>
      </c>
      <c r="I35">
        <v>61091000</v>
      </c>
      <c r="J35">
        <v>2</v>
      </c>
      <c r="K35">
        <v>1</v>
      </c>
      <c r="L35">
        <v>2</v>
      </c>
      <c r="M35">
        <v>0.224</v>
      </c>
      <c r="N35">
        <v>0.20200000000000001</v>
      </c>
      <c r="O35">
        <v>1.2</v>
      </c>
      <c r="P35">
        <v>2.4</v>
      </c>
      <c r="Q35">
        <v>1.03</v>
      </c>
      <c r="R35">
        <v>2.06</v>
      </c>
    </row>
    <row r="36" spans="1:18" x14ac:dyDescent="0.25">
      <c r="A36">
        <v>18832651</v>
      </c>
      <c r="B36">
        <v>991151</v>
      </c>
      <c r="C36" t="s">
        <v>356</v>
      </c>
      <c r="H36" t="s">
        <v>17</v>
      </c>
      <c r="I36">
        <v>39262000</v>
      </c>
      <c r="J36">
        <v>2</v>
      </c>
      <c r="K36">
        <v>1</v>
      </c>
      <c r="L36">
        <v>2</v>
      </c>
      <c r="M36">
        <v>0.24</v>
      </c>
      <c r="N36">
        <v>0.216</v>
      </c>
      <c r="O36">
        <v>0.442</v>
      </c>
      <c r="P36">
        <v>0.88400000000000001</v>
      </c>
      <c r="Q36">
        <v>1.05</v>
      </c>
      <c r="R36">
        <v>2.1</v>
      </c>
    </row>
    <row r="37" spans="1:18" x14ac:dyDescent="0.25">
      <c r="A37">
        <v>18832651</v>
      </c>
      <c r="B37">
        <v>745081</v>
      </c>
      <c r="C37" t="s">
        <v>357</v>
      </c>
      <c r="H37" t="s">
        <v>101</v>
      </c>
      <c r="I37">
        <v>61101990</v>
      </c>
      <c r="J37">
        <v>2</v>
      </c>
      <c r="K37">
        <v>1</v>
      </c>
      <c r="L37">
        <v>2</v>
      </c>
      <c r="M37">
        <v>0.86</v>
      </c>
      <c r="N37">
        <v>0.77400000000000002</v>
      </c>
      <c r="O37">
        <v>3.52</v>
      </c>
      <c r="P37">
        <v>7.04</v>
      </c>
      <c r="Q37">
        <v>4.7699999999999996</v>
      </c>
      <c r="R37">
        <v>9.5399999999999991</v>
      </c>
    </row>
    <row r="38" spans="1:18" x14ac:dyDescent="0.25">
      <c r="A38">
        <v>18832651</v>
      </c>
      <c r="B38">
        <v>380904</v>
      </c>
      <c r="C38" t="s">
        <v>358</v>
      </c>
      <c r="H38" t="s">
        <v>17</v>
      </c>
      <c r="I38">
        <v>61103010</v>
      </c>
      <c r="J38">
        <v>1</v>
      </c>
      <c r="K38">
        <v>1</v>
      </c>
      <c r="L38">
        <v>1</v>
      </c>
      <c r="M38">
        <v>0.35</v>
      </c>
      <c r="N38">
        <v>0.315</v>
      </c>
      <c r="O38">
        <v>3.3</v>
      </c>
      <c r="P38">
        <v>3.3</v>
      </c>
      <c r="Q38">
        <v>5.6</v>
      </c>
      <c r="R38">
        <v>5.6</v>
      </c>
    </row>
    <row r="39" spans="1:18" x14ac:dyDescent="0.25">
      <c r="A39">
        <v>18832651</v>
      </c>
      <c r="B39">
        <v>701779</v>
      </c>
      <c r="C39" t="s">
        <v>359</v>
      </c>
      <c r="H39" t="s">
        <v>360</v>
      </c>
      <c r="I39">
        <v>61046900</v>
      </c>
      <c r="J39">
        <v>1</v>
      </c>
      <c r="K39">
        <v>2</v>
      </c>
      <c r="L39">
        <v>2</v>
      </c>
      <c r="M39">
        <v>0.59199999999999997</v>
      </c>
      <c r="N39">
        <v>0.53300000000000003</v>
      </c>
      <c r="O39">
        <v>2.2850000000000001</v>
      </c>
      <c r="P39">
        <v>4.57</v>
      </c>
      <c r="Q39">
        <v>3.17</v>
      </c>
      <c r="R39">
        <v>6.34</v>
      </c>
    </row>
    <row r="40" spans="1:18" x14ac:dyDescent="0.25">
      <c r="A40">
        <v>18832651</v>
      </c>
      <c r="B40">
        <v>701621</v>
      </c>
      <c r="C40" t="s">
        <v>361</v>
      </c>
      <c r="H40" t="s">
        <v>95</v>
      </c>
      <c r="I40">
        <v>62034231</v>
      </c>
      <c r="J40">
        <v>1</v>
      </c>
      <c r="K40">
        <v>1</v>
      </c>
      <c r="L40">
        <v>1</v>
      </c>
      <c r="M40">
        <v>0.311</v>
      </c>
      <c r="N40">
        <v>0.28000000000000003</v>
      </c>
      <c r="O40">
        <v>1.2250000000000001</v>
      </c>
      <c r="P40">
        <v>1.2250000000000001</v>
      </c>
      <c r="Q40">
        <v>5.66</v>
      </c>
      <c r="R40">
        <v>5.66</v>
      </c>
    </row>
    <row r="41" spans="1:18" x14ac:dyDescent="0.25">
      <c r="A41">
        <v>18832651</v>
      </c>
      <c r="B41">
        <v>701585</v>
      </c>
      <c r="C41" t="s">
        <v>362</v>
      </c>
      <c r="H41" t="s">
        <v>95</v>
      </c>
      <c r="I41">
        <v>61109090</v>
      </c>
      <c r="J41">
        <v>1</v>
      </c>
      <c r="K41">
        <v>1</v>
      </c>
      <c r="L41">
        <v>1</v>
      </c>
      <c r="M41">
        <v>0.17499999999999999</v>
      </c>
      <c r="N41">
        <v>0.158</v>
      </c>
      <c r="O41">
        <v>2.0880000000000001</v>
      </c>
      <c r="P41">
        <v>2.0880000000000001</v>
      </c>
      <c r="Q41">
        <v>3.64</v>
      </c>
      <c r="R41">
        <v>3.64</v>
      </c>
    </row>
    <row r="42" spans="1:18" x14ac:dyDescent="0.25">
      <c r="A42">
        <v>18832651</v>
      </c>
      <c r="B42">
        <v>991165</v>
      </c>
      <c r="C42" t="s">
        <v>363</v>
      </c>
      <c r="H42" t="s">
        <v>95</v>
      </c>
      <c r="I42">
        <v>62034231</v>
      </c>
      <c r="J42">
        <v>1</v>
      </c>
      <c r="K42">
        <v>1</v>
      </c>
      <c r="L42">
        <v>1</v>
      </c>
      <c r="M42">
        <v>0.60399999999999998</v>
      </c>
      <c r="N42">
        <v>0.54400000000000004</v>
      </c>
      <c r="O42">
        <v>2.46</v>
      </c>
      <c r="P42">
        <v>2.46</v>
      </c>
      <c r="Q42">
        <v>8.3000000000000007</v>
      </c>
      <c r="R42">
        <v>8.3000000000000007</v>
      </c>
    </row>
    <row r="43" spans="1:18" x14ac:dyDescent="0.25">
      <c r="A43">
        <v>18832651</v>
      </c>
      <c r="B43">
        <v>701590</v>
      </c>
      <c r="C43" t="s">
        <v>364</v>
      </c>
      <c r="H43" t="s">
        <v>95</v>
      </c>
      <c r="I43">
        <v>61109090</v>
      </c>
      <c r="J43">
        <v>1</v>
      </c>
      <c r="K43">
        <v>3</v>
      </c>
      <c r="L43">
        <v>3</v>
      </c>
      <c r="M43">
        <v>0.64500000000000002</v>
      </c>
      <c r="N43">
        <v>0.58099999999999996</v>
      </c>
      <c r="O43">
        <v>2.5030000000000001</v>
      </c>
      <c r="P43">
        <v>7.51</v>
      </c>
      <c r="Q43">
        <v>3.64</v>
      </c>
      <c r="R43">
        <v>10.92</v>
      </c>
    </row>
    <row r="44" spans="1:18" x14ac:dyDescent="0.25">
      <c r="A44">
        <v>18832651</v>
      </c>
      <c r="B44">
        <v>596162</v>
      </c>
      <c r="C44" t="s">
        <v>365</v>
      </c>
      <c r="H44" t="s">
        <v>99</v>
      </c>
      <c r="I44">
        <v>61034900</v>
      </c>
      <c r="J44">
        <v>1</v>
      </c>
      <c r="K44">
        <v>1</v>
      </c>
      <c r="L44">
        <v>1</v>
      </c>
      <c r="M44">
        <v>0.30599999999999999</v>
      </c>
      <c r="N44">
        <v>0.27500000000000002</v>
      </c>
      <c r="O44">
        <v>1.92</v>
      </c>
      <c r="P44">
        <v>1.92</v>
      </c>
      <c r="Q44">
        <v>2.69</v>
      </c>
      <c r="R44">
        <v>2.69</v>
      </c>
    </row>
    <row r="45" spans="1:18" x14ac:dyDescent="0.25">
      <c r="A45">
        <v>18832651</v>
      </c>
      <c r="B45">
        <v>655048</v>
      </c>
      <c r="C45" t="s">
        <v>366</v>
      </c>
      <c r="H45" t="s">
        <v>95</v>
      </c>
      <c r="I45">
        <v>61109090</v>
      </c>
      <c r="J45">
        <v>1</v>
      </c>
      <c r="K45">
        <v>1</v>
      </c>
      <c r="L45">
        <v>1</v>
      </c>
      <c r="M45">
        <v>0.52600000000000002</v>
      </c>
      <c r="N45">
        <v>0.47299999999999998</v>
      </c>
      <c r="O45">
        <v>5.2919999999999998</v>
      </c>
      <c r="P45">
        <v>5.2919999999999998</v>
      </c>
      <c r="Q45">
        <v>4.82</v>
      </c>
      <c r="R45">
        <v>4.82</v>
      </c>
    </row>
    <row r="46" spans="1:18" x14ac:dyDescent="0.25">
      <c r="A46">
        <v>18832651</v>
      </c>
      <c r="B46">
        <v>700269</v>
      </c>
      <c r="C46" t="s">
        <v>367</v>
      </c>
      <c r="H46" t="s">
        <v>95</v>
      </c>
      <c r="I46">
        <v>62034231</v>
      </c>
      <c r="J46">
        <v>1</v>
      </c>
      <c r="K46">
        <v>1</v>
      </c>
      <c r="L46">
        <v>1</v>
      </c>
      <c r="M46">
        <v>0.65400000000000003</v>
      </c>
      <c r="N46">
        <v>0.58899999999999997</v>
      </c>
      <c r="O46">
        <v>2.88</v>
      </c>
      <c r="P46">
        <v>2.88</v>
      </c>
      <c r="Q46">
        <v>6.78</v>
      </c>
      <c r="R46">
        <v>6.78</v>
      </c>
    </row>
    <row r="47" spans="1:18" x14ac:dyDescent="0.25">
      <c r="A47">
        <v>18832651</v>
      </c>
      <c r="B47">
        <v>993456</v>
      </c>
      <c r="C47" t="s">
        <v>368</v>
      </c>
      <c r="H47" t="s">
        <v>101</v>
      </c>
      <c r="I47">
        <v>61101910</v>
      </c>
      <c r="J47">
        <v>1</v>
      </c>
      <c r="K47">
        <v>1</v>
      </c>
      <c r="L47">
        <v>1</v>
      </c>
      <c r="M47">
        <v>0.71699999999999997</v>
      </c>
      <c r="N47">
        <v>0.64500000000000002</v>
      </c>
      <c r="O47">
        <v>4.4800000000000004</v>
      </c>
      <c r="P47">
        <v>4.4800000000000004</v>
      </c>
      <c r="Q47">
        <v>7.73</v>
      </c>
      <c r="R47">
        <v>7.73</v>
      </c>
    </row>
    <row r="48" spans="1:18" x14ac:dyDescent="0.25">
      <c r="A48">
        <v>18832651</v>
      </c>
      <c r="B48">
        <v>700268</v>
      </c>
      <c r="C48" t="s">
        <v>369</v>
      </c>
      <c r="H48" t="s">
        <v>95</v>
      </c>
      <c r="I48">
        <v>62034231</v>
      </c>
      <c r="J48">
        <v>1</v>
      </c>
      <c r="K48">
        <v>1</v>
      </c>
      <c r="L48">
        <v>1</v>
      </c>
      <c r="M48">
        <v>0.61799999999999999</v>
      </c>
      <c r="N48">
        <v>0.55600000000000005</v>
      </c>
      <c r="O48">
        <v>2.88</v>
      </c>
      <c r="P48">
        <v>2.88</v>
      </c>
      <c r="Q48">
        <v>7.09</v>
      </c>
      <c r="R48">
        <v>7.09</v>
      </c>
    </row>
    <row r="49" spans="1:18" x14ac:dyDescent="0.25">
      <c r="A49">
        <v>18832651</v>
      </c>
      <c r="B49">
        <v>659940</v>
      </c>
      <c r="C49" t="s">
        <v>370</v>
      </c>
      <c r="H49" t="s">
        <v>99</v>
      </c>
      <c r="I49">
        <v>61091000</v>
      </c>
      <c r="J49">
        <v>2</v>
      </c>
      <c r="K49">
        <v>1</v>
      </c>
      <c r="L49">
        <v>2</v>
      </c>
      <c r="M49">
        <v>0.218</v>
      </c>
      <c r="N49">
        <v>0.19600000000000001</v>
      </c>
      <c r="O49">
        <v>0.85699999999999998</v>
      </c>
      <c r="P49">
        <v>1.714</v>
      </c>
      <c r="Q49">
        <v>1.72</v>
      </c>
      <c r="R49">
        <v>3.44</v>
      </c>
    </row>
    <row r="50" spans="1:18" x14ac:dyDescent="0.25">
      <c r="A50">
        <v>18832651</v>
      </c>
      <c r="B50">
        <v>596161</v>
      </c>
      <c r="C50" t="s">
        <v>371</v>
      </c>
      <c r="H50" t="s">
        <v>99</v>
      </c>
      <c r="I50">
        <v>61034900</v>
      </c>
      <c r="J50">
        <v>1</v>
      </c>
      <c r="K50">
        <v>1</v>
      </c>
      <c r="L50">
        <v>1</v>
      </c>
      <c r="M50">
        <v>0.23200000000000001</v>
      </c>
      <c r="N50">
        <v>0.20899999999999999</v>
      </c>
      <c r="O50">
        <v>1.92</v>
      </c>
      <c r="P50">
        <v>1.92</v>
      </c>
      <c r="Q50">
        <v>2.71</v>
      </c>
      <c r="R50">
        <v>2.71</v>
      </c>
    </row>
    <row r="51" spans="1:18" x14ac:dyDescent="0.25">
      <c r="A51">
        <v>18832651</v>
      </c>
      <c r="B51">
        <v>701642</v>
      </c>
      <c r="C51" t="s">
        <v>372</v>
      </c>
      <c r="H51" t="s">
        <v>99</v>
      </c>
      <c r="I51">
        <v>61034900</v>
      </c>
      <c r="J51">
        <v>1</v>
      </c>
      <c r="K51">
        <v>1</v>
      </c>
      <c r="L51">
        <v>1</v>
      </c>
      <c r="M51">
        <v>0.27800000000000002</v>
      </c>
      <c r="N51">
        <v>0.25</v>
      </c>
      <c r="O51">
        <v>1.92</v>
      </c>
      <c r="P51">
        <v>1.92</v>
      </c>
      <c r="Q51">
        <v>2.73</v>
      </c>
      <c r="R51">
        <v>2.73</v>
      </c>
    </row>
    <row r="52" spans="1:18" x14ac:dyDescent="0.25">
      <c r="A52">
        <v>18832651</v>
      </c>
      <c r="B52">
        <v>722660</v>
      </c>
      <c r="C52" t="s">
        <v>373</v>
      </c>
      <c r="H52" t="s">
        <v>101</v>
      </c>
      <c r="I52">
        <v>61101910</v>
      </c>
      <c r="J52">
        <v>1</v>
      </c>
      <c r="K52">
        <v>1</v>
      </c>
      <c r="L52">
        <v>1</v>
      </c>
      <c r="M52">
        <v>0.34399999999999997</v>
      </c>
      <c r="N52">
        <v>0.31</v>
      </c>
      <c r="O52">
        <v>3.5830000000000002</v>
      </c>
      <c r="P52">
        <v>3.5830000000000002</v>
      </c>
      <c r="Q52">
        <v>4.16</v>
      </c>
      <c r="R52">
        <v>4.16</v>
      </c>
    </row>
    <row r="53" spans="1:18" x14ac:dyDescent="0.25">
      <c r="A53">
        <v>18832651</v>
      </c>
      <c r="B53">
        <v>743937</v>
      </c>
      <c r="C53" t="s">
        <v>374</v>
      </c>
      <c r="H53" t="s">
        <v>17</v>
      </c>
      <c r="I53">
        <v>61152900</v>
      </c>
      <c r="J53">
        <v>1</v>
      </c>
      <c r="K53">
        <v>4</v>
      </c>
      <c r="L53">
        <v>4</v>
      </c>
      <c r="M53">
        <v>0.192</v>
      </c>
      <c r="N53">
        <v>0.17199999999999999</v>
      </c>
      <c r="O53">
        <v>0.245</v>
      </c>
      <c r="P53">
        <v>0.98</v>
      </c>
      <c r="Q53">
        <v>0.93</v>
      </c>
      <c r="R53">
        <v>3.7</v>
      </c>
    </row>
    <row r="54" spans="1:18" x14ac:dyDescent="0.25">
      <c r="A54">
        <v>18832651</v>
      </c>
      <c r="B54">
        <v>746468</v>
      </c>
      <c r="C54" t="s">
        <v>375</v>
      </c>
      <c r="H54" t="s">
        <v>17</v>
      </c>
      <c r="I54">
        <v>61152900</v>
      </c>
      <c r="J54">
        <v>1</v>
      </c>
      <c r="K54">
        <v>3</v>
      </c>
      <c r="L54">
        <v>3</v>
      </c>
      <c r="M54">
        <v>0.23200000000000001</v>
      </c>
      <c r="N54">
        <v>0.20899999999999999</v>
      </c>
      <c r="O54">
        <v>0.50700000000000001</v>
      </c>
      <c r="P54">
        <v>1.52</v>
      </c>
      <c r="Q54">
        <v>1.02</v>
      </c>
      <c r="R54">
        <v>3.06</v>
      </c>
    </row>
    <row r="55" spans="1:18" x14ac:dyDescent="0.25">
      <c r="A55">
        <v>18832651</v>
      </c>
      <c r="B55">
        <v>746469</v>
      </c>
      <c r="C55" t="s">
        <v>376</v>
      </c>
      <c r="H55" t="s">
        <v>17</v>
      </c>
      <c r="I55">
        <v>61152900</v>
      </c>
      <c r="J55">
        <v>1</v>
      </c>
      <c r="K55">
        <v>2</v>
      </c>
      <c r="L55">
        <v>2</v>
      </c>
      <c r="M55">
        <v>0.14199999999999999</v>
      </c>
      <c r="N55">
        <v>0.128</v>
      </c>
      <c r="O55">
        <v>0.48</v>
      </c>
      <c r="P55">
        <v>0.96</v>
      </c>
      <c r="Q55">
        <v>1.02</v>
      </c>
      <c r="R55">
        <v>2.04</v>
      </c>
    </row>
    <row r="56" spans="1:18" x14ac:dyDescent="0.25">
      <c r="A56">
        <v>18832651</v>
      </c>
      <c r="B56">
        <v>750726</v>
      </c>
      <c r="C56" t="s">
        <v>377</v>
      </c>
      <c r="H56" t="s">
        <v>17</v>
      </c>
      <c r="I56">
        <v>61152900</v>
      </c>
      <c r="J56">
        <v>1</v>
      </c>
      <c r="K56">
        <v>1</v>
      </c>
      <c r="L56">
        <v>1</v>
      </c>
      <c r="M56">
        <v>0.09</v>
      </c>
      <c r="N56">
        <v>8.1000000000000003E-2</v>
      </c>
      <c r="O56">
        <v>0.96</v>
      </c>
      <c r="P56">
        <v>0.96</v>
      </c>
      <c r="Q56">
        <v>1.02</v>
      </c>
      <c r="R56">
        <v>1.02</v>
      </c>
    </row>
    <row r="57" spans="1:18" x14ac:dyDescent="0.25">
      <c r="A57">
        <v>18832651</v>
      </c>
      <c r="B57">
        <v>727155</v>
      </c>
      <c r="C57" t="s">
        <v>378</v>
      </c>
      <c r="H57" t="s">
        <v>17</v>
      </c>
      <c r="I57">
        <v>61159500</v>
      </c>
      <c r="J57">
        <v>4</v>
      </c>
      <c r="K57">
        <v>1</v>
      </c>
      <c r="L57">
        <v>4</v>
      </c>
      <c r="M57">
        <v>0.58799999999999997</v>
      </c>
      <c r="N57">
        <v>0.52900000000000003</v>
      </c>
      <c r="O57">
        <v>1.0169999999999999</v>
      </c>
      <c r="P57">
        <v>4.0679999999999996</v>
      </c>
      <c r="Q57">
        <v>1.1599999999999999</v>
      </c>
      <c r="R57">
        <v>4.6399999999999997</v>
      </c>
    </row>
    <row r="58" spans="1:18" x14ac:dyDescent="0.25">
      <c r="A58">
        <v>18832651</v>
      </c>
      <c r="B58">
        <v>707862</v>
      </c>
      <c r="C58" t="s">
        <v>379</v>
      </c>
      <c r="H58" t="s">
        <v>206</v>
      </c>
      <c r="I58">
        <v>61152100</v>
      </c>
      <c r="J58">
        <v>3</v>
      </c>
      <c r="K58">
        <v>1</v>
      </c>
      <c r="L58">
        <v>3</v>
      </c>
      <c r="M58">
        <v>0.129</v>
      </c>
      <c r="N58">
        <v>0.11600000000000001</v>
      </c>
      <c r="O58">
        <v>0.45500000000000002</v>
      </c>
      <c r="P58">
        <v>1.365</v>
      </c>
      <c r="Q58">
        <v>0.87</v>
      </c>
      <c r="R58">
        <v>2.61</v>
      </c>
    </row>
    <row r="59" spans="1:18" x14ac:dyDescent="0.25">
      <c r="A59">
        <v>18832651</v>
      </c>
      <c r="B59">
        <v>991176</v>
      </c>
      <c r="C59" t="s">
        <v>380</v>
      </c>
      <c r="E59">
        <v>8720193921013</v>
      </c>
      <c r="H59" t="s">
        <v>17</v>
      </c>
      <c r="I59">
        <v>61082100</v>
      </c>
      <c r="J59">
        <v>12</v>
      </c>
      <c r="K59">
        <v>1</v>
      </c>
      <c r="L59">
        <v>12</v>
      </c>
      <c r="M59">
        <v>0.85199999999999998</v>
      </c>
      <c r="N59">
        <v>0.76700000000000002</v>
      </c>
      <c r="O59">
        <v>0.58499999999999996</v>
      </c>
      <c r="P59">
        <v>7.02</v>
      </c>
      <c r="Q59">
        <v>1.78</v>
      </c>
      <c r="R59">
        <v>21.36</v>
      </c>
    </row>
    <row r="60" spans="1:18" x14ac:dyDescent="0.25">
      <c r="A60">
        <v>18832651</v>
      </c>
      <c r="B60">
        <v>613275</v>
      </c>
      <c r="C60" t="s">
        <v>381</v>
      </c>
      <c r="H60" t="s">
        <v>17</v>
      </c>
      <c r="I60">
        <v>61089200</v>
      </c>
      <c r="J60">
        <v>2</v>
      </c>
      <c r="K60">
        <v>1</v>
      </c>
      <c r="L60">
        <v>2</v>
      </c>
      <c r="M60">
        <v>0.17199999999999999</v>
      </c>
      <c r="N60">
        <v>0.155</v>
      </c>
      <c r="O60">
        <v>0.77100000000000002</v>
      </c>
      <c r="P60">
        <v>1.542</v>
      </c>
      <c r="Q60">
        <v>1.4</v>
      </c>
      <c r="R60">
        <v>2.8</v>
      </c>
    </row>
    <row r="61" spans="1:18" x14ac:dyDescent="0.25">
      <c r="A61">
        <v>18832651</v>
      </c>
      <c r="B61">
        <v>613302</v>
      </c>
      <c r="C61" t="s">
        <v>382</v>
      </c>
      <c r="H61" t="s">
        <v>17</v>
      </c>
      <c r="I61">
        <v>61089200</v>
      </c>
      <c r="J61">
        <v>2</v>
      </c>
      <c r="K61">
        <v>1</v>
      </c>
      <c r="L61">
        <v>2</v>
      </c>
      <c r="M61">
        <v>0.14399999999999999</v>
      </c>
      <c r="N61">
        <v>0.13</v>
      </c>
      <c r="O61">
        <v>0.47199999999999998</v>
      </c>
      <c r="P61">
        <v>0.94399999999999995</v>
      </c>
      <c r="Q61">
        <v>1.37</v>
      </c>
      <c r="R61">
        <v>2.74</v>
      </c>
    </row>
    <row r="62" spans="1:18" x14ac:dyDescent="0.25">
      <c r="A62">
        <v>18832651</v>
      </c>
      <c r="B62">
        <v>664022</v>
      </c>
      <c r="C62" t="s">
        <v>383</v>
      </c>
      <c r="H62" t="s">
        <v>206</v>
      </c>
      <c r="I62">
        <v>61152200</v>
      </c>
      <c r="J62">
        <v>4</v>
      </c>
      <c r="K62">
        <v>1</v>
      </c>
      <c r="L62">
        <v>4</v>
      </c>
      <c r="M62">
        <v>0.3</v>
      </c>
      <c r="N62">
        <v>0.27</v>
      </c>
      <c r="O62">
        <v>0.54100000000000004</v>
      </c>
      <c r="P62">
        <v>2.1640000000000001</v>
      </c>
      <c r="Q62">
        <v>1.22</v>
      </c>
      <c r="R62">
        <v>4.88</v>
      </c>
    </row>
    <row r="63" spans="1:18" x14ac:dyDescent="0.25">
      <c r="A63">
        <v>18832651</v>
      </c>
      <c r="B63">
        <v>913369</v>
      </c>
      <c r="C63" t="s">
        <v>384</v>
      </c>
      <c r="E63">
        <v>2090001191348</v>
      </c>
      <c r="H63" t="s">
        <v>206</v>
      </c>
      <c r="I63">
        <v>61152100</v>
      </c>
      <c r="J63">
        <v>4</v>
      </c>
      <c r="K63">
        <v>1</v>
      </c>
      <c r="L63">
        <v>4</v>
      </c>
      <c r="M63">
        <v>0.34</v>
      </c>
      <c r="N63">
        <v>0.30599999999999999</v>
      </c>
      <c r="O63">
        <v>0.84</v>
      </c>
      <c r="P63">
        <v>3.36</v>
      </c>
      <c r="Q63">
        <v>1.27</v>
      </c>
      <c r="R63">
        <v>5.08</v>
      </c>
    </row>
    <row r="64" spans="1:18" x14ac:dyDescent="0.25">
      <c r="A64">
        <v>18832651</v>
      </c>
      <c r="B64">
        <v>663985</v>
      </c>
      <c r="C64" t="s">
        <v>385</v>
      </c>
      <c r="H64" t="s">
        <v>206</v>
      </c>
      <c r="I64">
        <v>61152100</v>
      </c>
      <c r="J64">
        <v>4</v>
      </c>
      <c r="K64">
        <v>1</v>
      </c>
      <c r="L64">
        <v>4</v>
      </c>
      <c r="M64">
        <v>0.24</v>
      </c>
      <c r="N64">
        <v>0.216</v>
      </c>
      <c r="O64">
        <v>0.57399999999999995</v>
      </c>
      <c r="P64">
        <v>2.2959999999999998</v>
      </c>
      <c r="Q64">
        <v>0.93</v>
      </c>
      <c r="R64">
        <v>3.72</v>
      </c>
    </row>
    <row r="65" spans="1:18" x14ac:dyDescent="0.25">
      <c r="A65">
        <v>18832651</v>
      </c>
      <c r="B65">
        <v>684517</v>
      </c>
      <c r="C65" t="s">
        <v>386</v>
      </c>
      <c r="H65" t="s">
        <v>17</v>
      </c>
      <c r="I65">
        <v>61082200</v>
      </c>
      <c r="J65">
        <v>1</v>
      </c>
      <c r="K65">
        <v>3</v>
      </c>
      <c r="L65">
        <v>3</v>
      </c>
      <c r="M65">
        <v>8.3000000000000004E-2</v>
      </c>
      <c r="N65">
        <v>7.3999999999999996E-2</v>
      </c>
      <c r="O65">
        <v>0.34200000000000003</v>
      </c>
      <c r="P65">
        <v>1.026</v>
      </c>
      <c r="Q65">
        <v>1.19</v>
      </c>
      <c r="R65">
        <v>3.57</v>
      </c>
    </row>
    <row r="66" spans="1:18" x14ac:dyDescent="0.25">
      <c r="A66">
        <v>18832651</v>
      </c>
      <c r="B66">
        <v>638821</v>
      </c>
      <c r="C66" t="s">
        <v>387</v>
      </c>
      <c r="H66" t="s">
        <v>17</v>
      </c>
      <c r="I66">
        <v>61082100</v>
      </c>
      <c r="J66">
        <v>1</v>
      </c>
      <c r="K66">
        <v>1</v>
      </c>
      <c r="L66">
        <v>1</v>
      </c>
      <c r="M66">
        <v>0.10299999999999999</v>
      </c>
      <c r="N66">
        <v>9.2999999999999999E-2</v>
      </c>
      <c r="O66">
        <v>1.006</v>
      </c>
      <c r="P66">
        <v>1.006</v>
      </c>
      <c r="Q66">
        <v>2.1800000000000002</v>
      </c>
      <c r="R66">
        <v>2.1800000000000002</v>
      </c>
    </row>
    <row r="67" spans="1:18" x14ac:dyDescent="0.25">
      <c r="A67">
        <v>18832651</v>
      </c>
      <c r="B67">
        <v>663875</v>
      </c>
      <c r="C67" t="s">
        <v>388</v>
      </c>
      <c r="E67">
        <v>2090000943962</v>
      </c>
      <c r="H67" t="s">
        <v>17</v>
      </c>
      <c r="I67">
        <v>61153090</v>
      </c>
      <c r="J67">
        <v>4</v>
      </c>
      <c r="K67">
        <v>1</v>
      </c>
      <c r="L67">
        <v>4</v>
      </c>
      <c r="M67">
        <v>0.248</v>
      </c>
      <c r="N67">
        <v>0.223</v>
      </c>
      <c r="O67">
        <v>0.496</v>
      </c>
      <c r="P67">
        <v>1.984</v>
      </c>
      <c r="Q67">
        <v>1.17</v>
      </c>
      <c r="R67">
        <v>4.68</v>
      </c>
    </row>
    <row r="68" spans="1:18" x14ac:dyDescent="0.25">
      <c r="A68">
        <v>18832651</v>
      </c>
      <c r="B68">
        <v>664011</v>
      </c>
      <c r="C68" t="s">
        <v>389</v>
      </c>
      <c r="H68" t="s">
        <v>17</v>
      </c>
      <c r="I68">
        <v>61152100</v>
      </c>
      <c r="J68">
        <v>4</v>
      </c>
      <c r="K68">
        <v>1</v>
      </c>
      <c r="L68">
        <v>4</v>
      </c>
      <c r="M68">
        <v>0.248</v>
      </c>
      <c r="N68">
        <v>0.223</v>
      </c>
      <c r="O68">
        <v>0.42599999999999999</v>
      </c>
      <c r="P68">
        <v>1.704</v>
      </c>
      <c r="Q68">
        <v>1.4</v>
      </c>
      <c r="R68">
        <v>5.6</v>
      </c>
    </row>
    <row r="69" spans="1:18" x14ac:dyDescent="0.25">
      <c r="A69">
        <v>18832651</v>
      </c>
      <c r="B69">
        <v>380510</v>
      </c>
      <c r="C69" t="s">
        <v>390</v>
      </c>
      <c r="H69" t="s">
        <v>17</v>
      </c>
      <c r="I69">
        <v>61082100</v>
      </c>
      <c r="J69">
        <v>4</v>
      </c>
      <c r="K69">
        <v>1</v>
      </c>
      <c r="L69">
        <v>4</v>
      </c>
      <c r="M69">
        <v>0.48399999999999999</v>
      </c>
      <c r="N69">
        <v>0.436</v>
      </c>
      <c r="O69">
        <v>0.84</v>
      </c>
      <c r="P69">
        <v>3.36</v>
      </c>
      <c r="Q69">
        <v>1.96</v>
      </c>
      <c r="R69">
        <v>7.84</v>
      </c>
    </row>
    <row r="70" spans="1:18" x14ac:dyDescent="0.25">
      <c r="A70">
        <v>18832651</v>
      </c>
      <c r="B70">
        <v>361405</v>
      </c>
      <c r="C70" t="s">
        <v>391</v>
      </c>
      <c r="H70" t="s">
        <v>17</v>
      </c>
      <c r="I70">
        <v>61082100</v>
      </c>
      <c r="J70">
        <v>1</v>
      </c>
      <c r="K70">
        <v>3</v>
      </c>
      <c r="L70">
        <v>3</v>
      </c>
      <c r="M70">
        <v>0.16800000000000001</v>
      </c>
      <c r="N70">
        <v>0.151</v>
      </c>
      <c r="O70">
        <v>0.41699999999999998</v>
      </c>
      <c r="P70">
        <v>1.2509999999999999</v>
      </c>
      <c r="Q70">
        <v>0.79</v>
      </c>
      <c r="R70">
        <v>2.37</v>
      </c>
    </row>
    <row r="71" spans="1:18" x14ac:dyDescent="0.25">
      <c r="A71">
        <v>18832651</v>
      </c>
      <c r="B71">
        <v>987061</v>
      </c>
      <c r="C71" t="s">
        <v>392</v>
      </c>
      <c r="H71" t="s">
        <v>17</v>
      </c>
      <c r="I71">
        <v>62121010</v>
      </c>
      <c r="J71">
        <v>2</v>
      </c>
      <c r="K71">
        <v>1</v>
      </c>
      <c r="L71">
        <v>2</v>
      </c>
      <c r="M71">
        <v>0.17399999999999999</v>
      </c>
      <c r="N71">
        <v>0.157</v>
      </c>
      <c r="O71">
        <v>0.58799999999999997</v>
      </c>
      <c r="P71">
        <v>1.1759999999999999</v>
      </c>
      <c r="Q71">
        <v>1.74</v>
      </c>
      <c r="R71">
        <v>3.48</v>
      </c>
    </row>
    <row r="72" spans="1:18" x14ac:dyDescent="0.25">
      <c r="A72">
        <v>18832651</v>
      </c>
      <c r="B72">
        <v>603405</v>
      </c>
      <c r="C72" t="s">
        <v>393</v>
      </c>
      <c r="H72" t="s">
        <v>17</v>
      </c>
      <c r="I72">
        <v>62121090</v>
      </c>
      <c r="J72">
        <v>1</v>
      </c>
      <c r="K72">
        <v>1</v>
      </c>
      <c r="L72">
        <v>1</v>
      </c>
      <c r="M72">
        <v>0.29499999999999998</v>
      </c>
      <c r="N72">
        <v>0.26600000000000001</v>
      </c>
      <c r="O72">
        <v>2.97</v>
      </c>
      <c r="P72">
        <v>2.97</v>
      </c>
      <c r="Q72">
        <v>5.8</v>
      </c>
      <c r="R72">
        <v>5.8</v>
      </c>
    </row>
    <row r="73" spans="1:18" x14ac:dyDescent="0.25">
      <c r="A73">
        <v>18832651</v>
      </c>
      <c r="B73">
        <v>986959</v>
      </c>
      <c r="C73" t="s">
        <v>394</v>
      </c>
      <c r="H73" t="s">
        <v>17</v>
      </c>
      <c r="I73">
        <v>62121090</v>
      </c>
      <c r="J73">
        <v>1</v>
      </c>
      <c r="K73">
        <v>1</v>
      </c>
      <c r="L73">
        <v>1</v>
      </c>
      <c r="M73">
        <v>0.10299999999999999</v>
      </c>
      <c r="N73">
        <v>9.2999999999999999E-2</v>
      </c>
      <c r="O73">
        <v>1.5329999999999999</v>
      </c>
      <c r="P73">
        <v>1.5329999999999999</v>
      </c>
      <c r="Q73">
        <v>11.76</v>
      </c>
      <c r="R73">
        <v>11.76</v>
      </c>
    </row>
    <row r="74" spans="1:18" x14ac:dyDescent="0.25">
      <c r="A74">
        <v>18832651</v>
      </c>
      <c r="B74">
        <v>755783</v>
      </c>
      <c r="C74" t="s">
        <v>395</v>
      </c>
      <c r="H74" t="s">
        <v>17</v>
      </c>
      <c r="I74">
        <v>61089200</v>
      </c>
      <c r="J74">
        <v>2</v>
      </c>
      <c r="K74">
        <v>1</v>
      </c>
      <c r="L74">
        <v>2</v>
      </c>
      <c r="M74">
        <v>0.14599999999999999</v>
      </c>
      <c r="N74">
        <v>0.13100000000000001</v>
      </c>
      <c r="O74">
        <v>0.55400000000000005</v>
      </c>
      <c r="P74">
        <v>1.1080000000000001</v>
      </c>
      <c r="Q74">
        <v>1.54</v>
      </c>
      <c r="R74">
        <v>3.08</v>
      </c>
    </row>
    <row r="75" spans="1:18" x14ac:dyDescent="0.25">
      <c r="A75">
        <v>18832651</v>
      </c>
      <c r="B75">
        <v>707645</v>
      </c>
      <c r="C75" t="s">
        <v>396</v>
      </c>
      <c r="H75" t="s">
        <v>397</v>
      </c>
      <c r="I75">
        <v>61159500</v>
      </c>
      <c r="J75">
        <v>4</v>
      </c>
      <c r="K75">
        <v>1</v>
      </c>
      <c r="L75">
        <v>4</v>
      </c>
      <c r="M75">
        <v>0.86799999999999999</v>
      </c>
      <c r="N75">
        <v>0.78100000000000003</v>
      </c>
      <c r="O75">
        <v>1.84</v>
      </c>
      <c r="P75">
        <v>7.36</v>
      </c>
      <c r="Q75">
        <v>2.4</v>
      </c>
      <c r="R75">
        <v>9.6</v>
      </c>
    </row>
    <row r="76" spans="1:18" x14ac:dyDescent="0.25">
      <c r="A76">
        <v>18832651</v>
      </c>
      <c r="B76">
        <v>725821</v>
      </c>
      <c r="C76" t="s">
        <v>398</v>
      </c>
      <c r="H76" t="s">
        <v>95</v>
      </c>
      <c r="I76">
        <v>61031090</v>
      </c>
      <c r="J76">
        <v>1</v>
      </c>
      <c r="K76">
        <v>1</v>
      </c>
      <c r="L76">
        <v>1</v>
      </c>
      <c r="M76">
        <v>0.35799999999999998</v>
      </c>
      <c r="N76">
        <v>0.32200000000000001</v>
      </c>
      <c r="O76">
        <v>1.6419999999999999</v>
      </c>
      <c r="P76">
        <v>1.6419999999999999</v>
      </c>
      <c r="Q76">
        <v>4.26</v>
      </c>
      <c r="R76">
        <v>4.26</v>
      </c>
    </row>
    <row r="77" spans="1:18" x14ac:dyDescent="0.25">
      <c r="A77">
        <v>18832651</v>
      </c>
      <c r="B77">
        <v>750120</v>
      </c>
      <c r="C77" t="s">
        <v>399</v>
      </c>
      <c r="E77">
        <v>2090001128054</v>
      </c>
      <c r="H77" t="s">
        <v>17</v>
      </c>
      <c r="I77">
        <v>61091000</v>
      </c>
      <c r="J77">
        <v>5</v>
      </c>
      <c r="K77">
        <v>1</v>
      </c>
      <c r="L77">
        <v>5</v>
      </c>
      <c r="M77">
        <v>0.63500000000000001</v>
      </c>
      <c r="N77">
        <v>0.57199999999999995</v>
      </c>
      <c r="O77">
        <v>0.5</v>
      </c>
      <c r="P77">
        <v>2.5</v>
      </c>
      <c r="Q77">
        <v>1.1000000000000001</v>
      </c>
      <c r="R77">
        <v>5.5</v>
      </c>
    </row>
    <row r="78" spans="1:18" x14ac:dyDescent="0.25">
      <c r="A78">
        <v>18832651</v>
      </c>
      <c r="B78">
        <v>659967</v>
      </c>
      <c r="C78" t="s">
        <v>400</v>
      </c>
      <c r="H78" t="s">
        <v>95</v>
      </c>
      <c r="I78">
        <v>62046290</v>
      </c>
      <c r="J78">
        <v>1</v>
      </c>
      <c r="K78">
        <v>2</v>
      </c>
      <c r="L78">
        <v>2</v>
      </c>
      <c r="M78">
        <v>1.2430000000000001</v>
      </c>
      <c r="N78">
        <v>1.119</v>
      </c>
      <c r="O78">
        <v>2.75</v>
      </c>
      <c r="P78">
        <v>5.5</v>
      </c>
      <c r="Q78">
        <v>7.4</v>
      </c>
      <c r="R78">
        <v>14.8</v>
      </c>
    </row>
    <row r="79" spans="1:18" x14ac:dyDescent="0.25">
      <c r="A79">
        <v>18832651</v>
      </c>
      <c r="B79">
        <v>655050</v>
      </c>
      <c r="C79" t="s">
        <v>401</v>
      </c>
      <c r="H79" t="s">
        <v>95</v>
      </c>
      <c r="I79">
        <v>61109090</v>
      </c>
      <c r="J79">
        <v>2</v>
      </c>
      <c r="K79">
        <v>2</v>
      </c>
      <c r="L79">
        <v>4</v>
      </c>
      <c r="M79">
        <v>1.91</v>
      </c>
      <c r="N79">
        <v>1.7190000000000001</v>
      </c>
      <c r="O79">
        <v>5.1660000000000004</v>
      </c>
      <c r="P79">
        <v>20.664000000000001</v>
      </c>
      <c r="Q79">
        <v>5.46</v>
      </c>
      <c r="R79">
        <v>21.84</v>
      </c>
    </row>
    <row r="80" spans="1:18" x14ac:dyDescent="0.25">
      <c r="A80">
        <v>18832651</v>
      </c>
      <c r="B80">
        <v>727156</v>
      </c>
      <c r="C80" t="s">
        <v>378</v>
      </c>
      <c r="H80" t="s">
        <v>17</v>
      </c>
      <c r="I80">
        <v>61159500</v>
      </c>
      <c r="J80">
        <v>4</v>
      </c>
      <c r="K80">
        <v>1</v>
      </c>
      <c r="L80">
        <v>4</v>
      </c>
      <c r="M80">
        <v>0.7</v>
      </c>
      <c r="N80">
        <v>0.63</v>
      </c>
      <c r="O80">
        <v>0.77200000000000002</v>
      </c>
      <c r="P80">
        <v>3.0880000000000001</v>
      </c>
      <c r="Q80">
        <v>1.26</v>
      </c>
      <c r="R80">
        <v>5.04</v>
      </c>
    </row>
    <row r="81" spans="1:18" x14ac:dyDescent="0.25">
      <c r="A81">
        <v>18832651</v>
      </c>
      <c r="B81">
        <v>743935</v>
      </c>
      <c r="C81" t="s">
        <v>402</v>
      </c>
      <c r="H81" t="s">
        <v>17</v>
      </c>
      <c r="I81">
        <v>61152900</v>
      </c>
      <c r="J81">
        <v>1</v>
      </c>
      <c r="K81">
        <v>2</v>
      </c>
      <c r="L81">
        <v>2</v>
      </c>
      <c r="M81">
        <v>0.108</v>
      </c>
      <c r="N81">
        <v>9.7000000000000003E-2</v>
      </c>
      <c r="O81">
        <v>0.30399999999999999</v>
      </c>
      <c r="P81">
        <v>0.60799999999999998</v>
      </c>
      <c r="Q81">
        <v>0.96</v>
      </c>
      <c r="R81">
        <v>1.92</v>
      </c>
    </row>
    <row r="82" spans="1:18" x14ac:dyDescent="0.25">
      <c r="A82">
        <v>18832651</v>
      </c>
      <c r="B82">
        <v>606328</v>
      </c>
      <c r="C82" t="s">
        <v>403</v>
      </c>
      <c r="H82" t="s">
        <v>17</v>
      </c>
      <c r="I82">
        <v>61082200</v>
      </c>
      <c r="J82">
        <v>1</v>
      </c>
      <c r="K82">
        <v>1</v>
      </c>
      <c r="L82">
        <v>1</v>
      </c>
      <c r="M82">
        <v>8.5999999999999993E-2</v>
      </c>
      <c r="N82">
        <v>7.6999999999999999E-2</v>
      </c>
      <c r="O82">
        <v>0.48899999999999999</v>
      </c>
      <c r="P82">
        <v>0.48899999999999999</v>
      </c>
      <c r="Q82">
        <v>2.88</v>
      </c>
      <c r="R82">
        <v>2.88</v>
      </c>
    </row>
    <row r="83" spans="1:18" x14ac:dyDescent="0.25">
      <c r="A83">
        <v>18832651</v>
      </c>
      <c r="B83">
        <v>692488</v>
      </c>
      <c r="C83" t="s">
        <v>404</v>
      </c>
      <c r="E83">
        <v>2090001004433</v>
      </c>
      <c r="H83" t="s">
        <v>200</v>
      </c>
      <c r="I83">
        <v>61152100</v>
      </c>
      <c r="J83">
        <v>4</v>
      </c>
      <c r="K83">
        <v>1</v>
      </c>
      <c r="L83">
        <v>4</v>
      </c>
      <c r="M83">
        <v>0.252</v>
      </c>
      <c r="N83">
        <v>0.22700000000000001</v>
      </c>
      <c r="O83">
        <v>0.63800000000000001</v>
      </c>
      <c r="P83">
        <v>2.552</v>
      </c>
      <c r="Q83">
        <v>0.82</v>
      </c>
      <c r="R83">
        <v>3.28</v>
      </c>
    </row>
    <row r="84" spans="1:18" x14ac:dyDescent="0.25">
      <c r="A84">
        <v>18832651</v>
      </c>
      <c r="B84">
        <v>725798</v>
      </c>
      <c r="C84" t="s">
        <v>405</v>
      </c>
      <c r="H84" t="s">
        <v>95</v>
      </c>
      <c r="I84">
        <v>61031090</v>
      </c>
      <c r="J84">
        <v>1</v>
      </c>
      <c r="K84">
        <v>1</v>
      </c>
      <c r="L84">
        <v>1</v>
      </c>
      <c r="M84">
        <v>0.316</v>
      </c>
      <c r="N84">
        <v>0.28399999999999997</v>
      </c>
      <c r="O84">
        <v>1.6419999999999999</v>
      </c>
      <c r="P84">
        <v>1.6419999999999999</v>
      </c>
      <c r="Q84">
        <v>4.21</v>
      </c>
      <c r="R84">
        <v>4.21</v>
      </c>
    </row>
    <row r="85" spans="1:18" x14ac:dyDescent="0.25">
      <c r="A85">
        <v>18832651</v>
      </c>
      <c r="B85">
        <v>600227</v>
      </c>
      <c r="C85" t="s">
        <v>406</v>
      </c>
      <c r="H85" t="s">
        <v>51</v>
      </c>
      <c r="I85">
        <v>61159500</v>
      </c>
      <c r="J85">
        <v>1</v>
      </c>
      <c r="K85">
        <v>3</v>
      </c>
      <c r="L85">
        <v>3</v>
      </c>
      <c r="M85">
        <v>0.69199999999999995</v>
      </c>
      <c r="N85">
        <v>0.623</v>
      </c>
      <c r="O85">
        <v>1.5329999999999999</v>
      </c>
      <c r="P85">
        <v>4.5999999999999996</v>
      </c>
      <c r="Q85">
        <v>3.5</v>
      </c>
      <c r="R85">
        <v>10.5</v>
      </c>
    </row>
    <row r="86" spans="1:18" x14ac:dyDescent="0.25">
      <c r="A86">
        <v>18832651</v>
      </c>
      <c r="B86">
        <v>752671</v>
      </c>
      <c r="C86" t="s">
        <v>407</v>
      </c>
      <c r="E86">
        <v>2090001134116</v>
      </c>
      <c r="H86" t="s">
        <v>17</v>
      </c>
      <c r="I86">
        <v>61152100</v>
      </c>
      <c r="J86">
        <v>5</v>
      </c>
      <c r="K86">
        <v>1</v>
      </c>
      <c r="L86">
        <v>5</v>
      </c>
      <c r="M86">
        <v>1.325</v>
      </c>
      <c r="N86">
        <v>1.1930000000000001</v>
      </c>
      <c r="O86">
        <v>2.1360000000000001</v>
      </c>
      <c r="P86">
        <v>10.68</v>
      </c>
      <c r="Q86">
        <v>2.13</v>
      </c>
      <c r="R86">
        <v>10.65</v>
      </c>
    </row>
    <row r="87" spans="1:18" x14ac:dyDescent="0.25">
      <c r="A87">
        <v>18832651</v>
      </c>
      <c r="B87">
        <v>683902</v>
      </c>
      <c r="C87" t="s">
        <v>408</v>
      </c>
      <c r="H87" t="s">
        <v>17</v>
      </c>
      <c r="I87">
        <v>61071100</v>
      </c>
      <c r="J87">
        <v>1</v>
      </c>
      <c r="K87">
        <v>3</v>
      </c>
      <c r="L87">
        <v>3</v>
      </c>
      <c r="M87">
        <v>0.55200000000000005</v>
      </c>
      <c r="N87">
        <v>0.497</v>
      </c>
      <c r="O87">
        <v>1.3440000000000001</v>
      </c>
      <c r="P87">
        <v>4.032</v>
      </c>
      <c r="Q87">
        <v>1.88</v>
      </c>
      <c r="R87">
        <v>5.64</v>
      </c>
    </row>
    <row r="88" spans="1:18" x14ac:dyDescent="0.25">
      <c r="A88">
        <v>18832651</v>
      </c>
      <c r="B88">
        <v>663873</v>
      </c>
      <c r="C88" t="s">
        <v>409</v>
      </c>
      <c r="E88">
        <v>2090000943955</v>
      </c>
      <c r="H88" t="s">
        <v>206</v>
      </c>
      <c r="I88">
        <v>61153011</v>
      </c>
      <c r="J88">
        <v>4</v>
      </c>
      <c r="K88">
        <v>1</v>
      </c>
      <c r="L88">
        <v>4</v>
      </c>
      <c r="M88">
        <v>0.13200000000000001</v>
      </c>
      <c r="N88">
        <v>0.11899999999999999</v>
      </c>
      <c r="O88">
        <v>0.27600000000000002</v>
      </c>
      <c r="P88">
        <v>1.1040000000000001</v>
      </c>
      <c r="Q88">
        <v>0.64</v>
      </c>
      <c r="R88">
        <v>2.56</v>
      </c>
    </row>
    <row r="89" spans="1:18" x14ac:dyDescent="0.25">
      <c r="A89">
        <v>18832651</v>
      </c>
      <c r="B89">
        <v>663864</v>
      </c>
      <c r="C89" t="s">
        <v>410</v>
      </c>
      <c r="E89">
        <v>2090000943863</v>
      </c>
      <c r="H89" t="s">
        <v>206</v>
      </c>
      <c r="I89">
        <v>61153019</v>
      </c>
      <c r="J89">
        <v>4</v>
      </c>
      <c r="K89">
        <v>1</v>
      </c>
      <c r="L89">
        <v>4</v>
      </c>
      <c r="M89">
        <v>0.108</v>
      </c>
      <c r="N89">
        <v>9.7000000000000003E-2</v>
      </c>
      <c r="O89">
        <v>0.34499999999999997</v>
      </c>
      <c r="P89">
        <v>1.38</v>
      </c>
      <c r="Q89">
        <v>0.81</v>
      </c>
      <c r="R89">
        <v>3.24</v>
      </c>
    </row>
    <row r="90" spans="1:18" x14ac:dyDescent="0.25">
      <c r="A90">
        <v>18832651</v>
      </c>
      <c r="B90">
        <v>659181</v>
      </c>
      <c r="C90" t="s">
        <v>411</v>
      </c>
      <c r="E90">
        <v>2090000925111</v>
      </c>
      <c r="H90" t="s">
        <v>17</v>
      </c>
      <c r="I90">
        <v>61159500</v>
      </c>
      <c r="J90">
        <v>10</v>
      </c>
      <c r="K90">
        <v>1</v>
      </c>
      <c r="L90">
        <v>10</v>
      </c>
      <c r="M90">
        <v>1.52</v>
      </c>
      <c r="N90">
        <v>1.3680000000000001</v>
      </c>
      <c r="O90">
        <v>1.5</v>
      </c>
      <c r="P90">
        <v>15</v>
      </c>
      <c r="Q90">
        <v>1.88</v>
      </c>
      <c r="R90">
        <v>18.8</v>
      </c>
    </row>
    <row r="91" spans="1:18" x14ac:dyDescent="0.25">
      <c r="A91">
        <v>18832651</v>
      </c>
      <c r="B91">
        <v>725822</v>
      </c>
      <c r="C91" t="s">
        <v>412</v>
      </c>
      <c r="H91" t="s">
        <v>101</v>
      </c>
      <c r="I91">
        <v>61032200</v>
      </c>
      <c r="J91">
        <v>1</v>
      </c>
      <c r="K91">
        <v>2</v>
      </c>
      <c r="L91">
        <v>2</v>
      </c>
      <c r="M91">
        <v>0.72</v>
      </c>
      <c r="N91">
        <v>0.64800000000000002</v>
      </c>
      <c r="O91">
        <v>3.2</v>
      </c>
      <c r="P91">
        <v>6.4</v>
      </c>
      <c r="Q91">
        <v>4.21</v>
      </c>
      <c r="R91">
        <v>8.42</v>
      </c>
    </row>
    <row r="92" spans="1:18" x14ac:dyDescent="0.25">
      <c r="A92">
        <v>18832916</v>
      </c>
      <c r="B92">
        <v>1020700</v>
      </c>
      <c r="C92" t="s">
        <v>413</v>
      </c>
      <c r="E92">
        <v>3560237583907</v>
      </c>
      <c r="H92" t="s">
        <v>17</v>
      </c>
      <c r="I92">
        <v>44191900</v>
      </c>
      <c r="J92">
        <v>1</v>
      </c>
      <c r="K92">
        <v>1</v>
      </c>
      <c r="L92">
        <v>1</v>
      </c>
      <c r="M92">
        <v>0.86499999999999999</v>
      </c>
      <c r="N92">
        <v>0.77900000000000003</v>
      </c>
      <c r="O92">
        <v>11.22</v>
      </c>
      <c r="P92">
        <v>11.22</v>
      </c>
      <c r="Q92">
        <v>5.08</v>
      </c>
      <c r="R92">
        <v>5.08</v>
      </c>
    </row>
    <row r="93" spans="1:18" x14ac:dyDescent="0.25">
      <c r="A93">
        <v>18832916</v>
      </c>
      <c r="B93">
        <v>682224</v>
      </c>
      <c r="C93" t="s">
        <v>414</v>
      </c>
      <c r="E93">
        <v>2090000979121</v>
      </c>
      <c r="H93" t="s">
        <v>17</v>
      </c>
      <c r="I93">
        <v>39241000</v>
      </c>
      <c r="J93">
        <v>1</v>
      </c>
      <c r="K93">
        <v>2</v>
      </c>
      <c r="L93">
        <v>2</v>
      </c>
      <c r="M93">
        <v>0.54</v>
      </c>
      <c r="N93">
        <v>0.48599999999999999</v>
      </c>
      <c r="O93">
        <v>3.2629999999999999</v>
      </c>
      <c r="P93">
        <v>6.5259999999999998</v>
      </c>
      <c r="Q93">
        <v>2.11</v>
      </c>
      <c r="R93">
        <v>4.22</v>
      </c>
    </row>
    <row r="94" spans="1:18" x14ac:dyDescent="0.25">
      <c r="A94">
        <v>18832916</v>
      </c>
      <c r="B94">
        <v>949306</v>
      </c>
      <c r="C94" t="s">
        <v>415</v>
      </c>
      <c r="E94">
        <v>5410801113000</v>
      </c>
      <c r="H94" t="s">
        <v>200</v>
      </c>
      <c r="I94">
        <v>39241000</v>
      </c>
      <c r="J94">
        <v>1</v>
      </c>
      <c r="K94">
        <v>3</v>
      </c>
      <c r="L94">
        <v>3</v>
      </c>
      <c r="M94">
        <v>0.84</v>
      </c>
      <c r="N94">
        <v>0.75600000000000001</v>
      </c>
      <c r="O94">
        <v>3.645</v>
      </c>
      <c r="P94">
        <v>10.935</v>
      </c>
      <c r="Q94">
        <v>3.7</v>
      </c>
      <c r="R94">
        <v>11.1</v>
      </c>
    </row>
    <row r="95" spans="1:18" x14ac:dyDescent="0.25">
      <c r="A95">
        <v>18832916</v>
      </c>
      <c r="B95">
        <v>1001570</v>
      </c>
      <c r="C95" t="s">
        <v>416</v>
      </c>
      <c r="E95">
        <v>3664944388197</v>
      </c>
      <c r="H95" t="s">
        <v>17</v>
      </c>
      <c r="I95">
        <v>73239900</v>
      </c>
      <c r="J95">
        <v>1</v>
      </c>
      <c r="K95">
        <v>2</v>
      </c>
      <c r="L95">
        <v>2</v>
      </c>
      <c r="M95">
        <v>0.504</v>
      </c>
      <c r="N95">
        <v>0.45400000000000001</v>
      </c>
      <c r="O95">
        <v>1.2490000000000001</v>
      </c>
      <c r="P95">
        <v>2.4980000000000002</v>
      </c>
      <c r="Q95">
        <v>1.37</v>
      </c>
      <c r="R95">
        <v>2.74</v>
      </c>
    </row>
    <row r="96" spans="1:18" x14ac:dyDescent="0.25">
      <c r="A96">
        <v>18832916</v>
      </c>
      <c r="B96">
        <v>708113</v>
      </c>
      <c r="C96" t="s">
        <v>417</v>
      </c>
      <c r="E96">
        <v>5400191808723</v>
      </c>
      <c r="H96" t="s">
        <v>200</v>
      </c>
      <c r="I96">
        <v>28363000</v>
      </c>
      <c r="J96">
        <v>1</v>
      </c>
      <c r="K96">
        <v>3</v>
      </c>
      <c r="L96">
        <v>3</v>
      </c>
      <c r="M96">
        <v>3.3180000000000001</v>
      </c>
      <c r="N96">
        <v>2.9860000000000002</v>
      </c>
      <c r="O96">
        <v>2.0569999999999999</v>
      </c>
      <c r="P96">
        <v>6.1710000000000003</v>
      </c>
      <c r="Q96">
        <v>3.35</v>
      </c>
      <c r="R96">
        <v>10.050000000000001</v>
      </c>
    </row>
    <row r="97" spans="1:18" x14ac:dyDescent="0.25">
      <c r="A97">
        <v>18832916</v>
      </c>
      <c r="B97">
        <v>986642</v>
      </c>
      <c r="C97" t="s">
        <v>418</v>
      </c>
      <c r="E97">
        <v>5410721515168</v>
      </c>
      <c r="H97" t="s">
        <v>97</v>
      </c>
      <c r="I97">
        <v>68053000</v>
      </c>
      <c r="J97">
        <v>16</v>
      </c>
      <c r="K97">
        <v>1</v>
      </c>
      <c r="L97">
        <v>16</v>
      </c>
      <c r="M97">
        <v>1.1200000000000001</v>
      </c>
      <c r="N97">
        <v>1.008</v>
      </c>
      <c r="O97">
        <v>0.58699999999999997</v>
      </c>
      <c r="P97">
        <v>9.3919999999999995</v>
      </c>
      <c r="Q97">
        <v>0.63</v>
      </c>
      <c r="R97">
        <v>10.08</v>
      </c>
    </row>
    <row r="98" spans="1:18" x14ac:dyDescent="0.25">
      <c r="A98">
        <v>18832916</v>
      </c>
      <c r="B98">
        <v>746305</v>
      </c>
      <c r="C98" t="s">
        <v>419</v>
      </c>
      <c r="E98">
        <v>4023103185975</v>
      </c>
      <c r="H98" t="s">
        <v>17</v>
      </c>
      <c r="I98">
        <v>63071010</v>
      </c>
      <c r="J98">
        <v>1</v>
      </c>
      <c r="K98">
        <v>3</v>
      </c>
      <c r="L98">
        <v>3</v>
      </c>
      <c r="M98">
        <v>0.73199999999999998</v>
      </c>
      <c r="N98">
        <v>0.65900000000000003</v>
      </c>
      <c r="O98">
        <v>2.016</v>
      </c>
      <c r="P98">
        <v>6.048</v>
      </c>
      <c r="Q98">
        <v>4.6500000000000004</v>
      </c>
      <c r="R98">
        <v>13.95</v>
      </c>
    </row>
    <row r="99" spans="1:18" x14ac:dyDescent="0.25">
      <c r="A99">
        <v>18832916</v>
      </c>
      <c r="B99">
        <v>772930</v>
      </c>
      <c r="C99" t="s">
        <v>420</v>
      </c>
      <c r="E99">
        <v>3563210022288</v>
      </c>
      <c r="H99" t="s">
        <v>97</v>
      </c>
      <c r="I99">
        <v>34025090</v>
      </c>
      <c r="J99">
        <v>1</v>
      </c>
      <c r="K99">
        <v>2</v>
      </c>
      <c r="L99">
        <v>2</v>
      </c>
      <c r="M99">
        <v>1.74</v>
      </c>
      <c r="N99">
        <v>1.5660000000000001</v>
      </c>
      <c r="O99">
        <v>1.6659999999999999</v>
      </c>
      <c r="P99">
        <v>3.3319999999999999</v>
      </c>
      <c r="Q99">
        <v>2.54</v>
      </c>
      <c r="R99">
        <v>5.08</v>
      </c>
    </row>
    <row r="100" spans="1:18" x14ac:dyDescent="0.25">
      <c r="A100">
        <v>18832916</v>
      </c>
      <c r="B100">
        <v>302565</v>
      </c>
      <c r="C100" t="s">
        <v>421</v>
      </c>
      <c r="E100">
        <v>8710648172022</v>
      </c>
      <c r="H100" t="s">
        <v>51</v>
      </c>
      <c r="I100">
        <v>48030090</v>
      </c>
      <c r="J100">
        <v>1</v>
      </c>
      <c r="K100">
        <v>6</v>
      </c>
      <c r="L100">
        <v>6</v>
      </c>
      <c r="M100">
        <v>0.33</v>
      </c>
      <c r="N100">
        <v>0.29699999999999999</v>
      </c>
      <c r="O100">
        <v>0.54500000000000004</v>
      </c>
      <c r="P100">
        <v>3.27</v>
      </c>
      <c r="Q100">
        <v>0.59</v>
      </c>
      <c r="R100">
        <v>3.54</v>
      </c>
    </row>
    <row r="101" spans="1:18" x14ac:dyDescent="0.25">
      <c r="A101">
        <v>18832916</v>
      </c>
      <c r="B101">
        <v>624895</v>
      </c>
      <c r="C101" t="s">
        <v>422</v>
      </c>
      <c r="E101">
        <v>3593290025718</v>
      </c>
      <c r="H101" t="s">
        <v>423</v>
      </c>
      <c r="I101">
        <v>34011900</v>
      </c>
      <c r="J101">
        <v>1</v>
      </c>
      <c r="K101">
        <v>2</v>
      </c>
      <c r="L101">
        <v>2</v>
      </c>
      <c r="M101">
        <v>2.306</v>
      </c>
      <c r="N101">
        <v>2.0750000000000002</v>
      </c>
      <c r="O101">
        <v>4.3330000000000002</v>
      </c>
      <c r="P101">
        <v>8.6660000000000004</v>
      </c>
      <c r="Q101">
        <v>10.02</v>
      </c>
      <c r="R101">
        <v>20.04</v>
      </c>
    </row>
    <row r="102" spans="1:18" x14ac:dyDescent="0.25">
      <c r="A102">
        <v>18832916</v>
      </c>
      <c r="B102">
        <v>342217</v>
      </c>
      <c r="C102" t="s">
        <v>424</v>
      </c>
      <c r="E102">
        <v>5400191806583</v>
      </c>
      <c r="H102" t="s">
        <v>200</v>
      </c>
      <c r="I102">
        <v>28363000</v>
      </c>
      <c r="J102">
        <v>6</v>
      </c>
      <c r="K102">
        <v>1</v>
      </c>
      <c r="L102">
        <v>6</v>
      </c>
      <c r="M102">
        <v>3.4380000000000002</v>
      </c>
      <c r="N102">
        <v>3.0939999999999999</v>
      </c>
      <c r="O102">
        <v>0.89100000000000001</v>
      </c>
      <c r="P102">
        <v>5.3460000000000001</v>
      </c>
      <c r="Q102">
        <v>1.87</v>
      </c>
      <c r="R102">
        <v>11.22</v>
      </c>
    </row>
    <row r="103" spans="1:18" x14ac:dyDescent="0.25">
      <c r="A103">
        <v>18832916</v>
      </c>
      <c r="B103">
        <v>944588</v>
      </c>
      <c r="C103" t="s">
        <v>425</v>
      </c>
      <c r="E103">
        <v>11381000626</v>
      </c>
      <c r="F103">
        <v>8001133841708</v>
      </c>
      <c r="H103" t="s">
        <v>203</v>
      </c>
      <c r="I103">
        <v>70134999</v>
      </c>
      <c r="J103">
        <v>1</v>
      </c>
      <c r="K103">
        <v>5</v>
      </c>
      <c r="L103">
        <v>5</v>
      </c>
      <c r="M103">
        <v>4.25</v>
      </c>
      <c r="N103">
        <v>3.8250000000000002</v>
      </c>
      <c r="O103">
        <v>4.375</v>
      </c>
      <c r="P103">
        <v>21.875</v>
      </c>
      <c r="Q103">
        <v>1.99</v>
      </c>
      <c r="R103">
        <v>9.9499999999999993</v>
      </c>
    </row>
    <row r="104" spans="1:18" x14ac:dyDescent="0.25">
      <c r="A104">
        <v>18832916</v>
      </c>
      <c r="B104">
        <v>943166</v>
      </c>
      <c r="C104" t="s">
        <v>426</v>
      </c>
      <c r="E104">
        <v>3491955565008</v>
      </c>
      <c r="H104" t="s">
        <v>51</v>
      </c>
      <c r="I104">
        <v>70132890</v>
      </c>
      <c r="J104">
        <v>1</v>
      </c>
      <c r="K104">
        <v>1</v>
      </c>
      <c r="L104">
        <v>1</v>
      </c>
      <c r="M104">
        <v>0.39</v>
      </c>
      <c r="N104">
        <v>0.35099999999999998</v>
      </c>
      <c r="O104">
        <v>6.1829999999999998</v>
      </c>
      <c r="P104">
        <v>6.1829999999999998</v>
      </c>
      <c r="Q104">
        <v>2.38</v>
      </c>
      <c r="R104">
        <v>2.38</v>
      </c>
    </row>
    <row r="105" spans="1:18" x14ac:dyDescent="0.25">
      <c r="A105">
        <v>18832916</v>
      </c>
      <c r="B105">
        <v>955600</v>
      </c>
      <c r="C105" t="s">
        <v>427</v>
      </c>
      <c r="E105">
        <v>8004360065022</v>
      </c>
      <c r="H105" t="s">
        <v>203</v>
      </c>
      <c r="I105">
        <v>70133799</v>
      </c>
      <c r="J105">
        <v>6</v>
      </c>
      <c r="K105">
        <v>2</v>
      </c>
      <c r="L105">
        <v>12</v>
      </c>
      <c r="M105">
        <v>3.996</v>
      </c>
      <c r="N105">
        <v>3.5960000000000001</v>
      </c>
      <c r="O105">
        <v>0.73599999999999999</v>
      </c>
      <c r="P105">
        <v>8.8320000000000007</v>
      </c>
      <c r="Q105">
        <v>1.04</v>
      </c>
      <c r="R105">
        <v>12.48</v>
      </c>
    </row>
    <row r="106" spans="1:18" x14ac:dyDescent="0.25">
      <c r="A106">
        <v>18832916</v>
      </c>
      <c r="B106">
        <v>919303</v>
      </c>
      <c r="C106" t="s">
        <v>428</v>
      </c>
      <c r="E106">
        <v>8032797730299</v>
      </c>
      <c r="H106" t="s">
        <v>203</v>
      </c>
      <c r="I106">
        <v>82100000</v>
      </c>
      <c r="J106">
        <v>1</v>
      </c>
      <c r="K106">
        <v>1</v>
      </c>
      <c r="L106">
        <v>1</v>
      </c>
      <c r="M106">
        <v>0.80300000000000005</v>
      </c>
      <c r="N106">
        <v>0.72299999999999998</v>
      </c>
      <c r="O106">
        <v>10.5</v>
      </c>
      <c r="P106">
        <v>10.5</v>
      </c>
      <c r="Q106">
        <v>11.16</v>
      </c>
      <c r="R106">
        <v>11.16</v>
      </c>
    </row>
    <row r="107" spans="1:18" x14ac:dyDescent="0.25">
      <c r="A107">
        <v>18832916</v>
      </c>
      <c r="B107">
        <v>743974</v>
      </c>
      <c r="C107" t="s">
        <v>429</v>
      </c>
      <c r="E107">
        <v>3560238519424</v>
      </c>
      <c r="H107" t="s">
        <v>17</v>
      </c>
      <c r="I107">
        <v>39241000</v>
      </c>
      <c r="J107">
        <v>1</v>
      </c>
      <c r="K107">
        <v>6</v>
      </c>
      <c r="L107">
        <v>6</v>
      </c>
      <c r="M107">
        <v>1.278</v>
      </c>
      <c r="N107">
        <v>1.1499999999999999</v>
      </c>
      <c r="O107">
        <v>1.5289999999999999</v>
      </c>
      <c r="P107">
        <v>9.1739999999999995</v>
      </c>
      <c r="Q107">
        <v>2.0299999999999998</v>
      </c>
      <c r="R107">
        <v>12.18</v>
      </c>
    </row>
    <row r="108" spans="1:18" x14ac:dyDescent="0.25">
      <c r="A108">
        <v>18832916</v>
      </c>
      <c r="B108">
        <v>915281</v>
      </c>
      <c r="C108" t="s">
        <v>430</v>
      </c>
      <c r="E108">
        <v>8711252170251</v>
      </c>
      <c r="H108" t="s">
        <v>17</v>
      </c>
      <c r="I108">
        <v>39241000</v>
      </c>
      <c r="J108">
        <v>1</v>
      </c>
      <c r="K108">
        <v>9</v>
      </c>
      <c r="L108">
        <v>9</v>
      </c>
      <c r="M108">
        <v>0.88200000000000001</v>
      </c>
      <c r="N108">
        <v>0.79400000000000004</v>
      </c>
      <c r="O108">
        <v>0.53200000000000003</v>
      </c>
      <c r="P108">
        <v>4.7880000000000003</v>
      </c>
      <c r="Q108">
        <v>1.17</v>
      </c>
      <c r="R108">
        <v>10.53</v>
      </c>
    </row>
    <row r="109" spans="1:18" x14ac:dyDescent="0.25">
      <c r="A109">
        <v>18832916</v>
      </c>
      <c r="B109">
        <v>383537</v>
      </c>
      <c r="C109" t="s">
        <v>431</v>
      </c>
      <c r="E109">
        <v>2090000694062</v>
      </c>
      <c r="H109" t="s">
        <v>17</v>
      </c>
      <c r="I109">
        <v>76151080</v>
      </c>
      <c r="J109">
        <v>3</v>
      </c>
      <c r="K109">
        <v>1</v>
      </c>
      <c r="L109">
        <v>3</v>
      </c>
      <c r="M109">
        <v>2.5379999999999998</v>
      </c>
      <c r="N109">
        <v>2.2839999999999998</v>
      </c>
      <c r="O109">
        <v>6.02</v>
      </c>
      <c r="P109">
        <v>18.059999999999999</v>
      </c>
      <c r="Q109">
        <v>5.42</v>
      </c>
      <c r="R109">
        <v>16.260000000000002</v>
      </c>
    </row>
    <row r="110" spans="1:18" x14ac:dyDescent="0.25">
      <c r="A110">
        <v>18832916</v>
      </c>
      <c r="B110">
        <v>1021417</v>
      </c>
      <c r="C110" t="s">
        <v>432</v>
      </c>
      <c r="E110">
        <v>3168430344037</v>
      </c>
      <c r="H110" t="s">
        <v>97</v>
      </c>
      <c r="I110">
        <v>76151080</v>
      </c>
      <c r="J110">
        <v>1</v>
      </c>
      <c r="K110">
        <v>2</v>
      </c>
      <c r="L110">
        <v>2</v>
      </c>
      <c r="M110">
        <v>2.7719999999999998</v>
      </c>
      <c r="N110">
        <v>2.4950000000000001</v>
      </c>
      <c r="O110">
        <v>9.25</v>
      </c>
      <c r="P110">
        <v>18.5</v>
      </c>
      <c r="Q110">
        <v>21.47</v>
      </c>
      <c r="R110">
        <v>42.94</v>
      </c>
    </row>
    <row r="111" spans="1:18" x14ac:dyDescent="0.25">
      <c r="A111">
        <v>18832916</v>
      </c>
      <c r="B111">
        <v>609054</v>
      </c>
      <c r="C111" t="s">
        <v>433</v>
      </c>
      <c r="E111">
        <v>3560239397731</v>
      </c>
      <c r="H111" t="s">
        <v>17</v>
      </c>
      <c r="I111">
        <v>73239900</v>
      </c>
      <c r="J111">
        <v>1</v>
      </c>
      <c r="K111">
        <v>3</v>
      </c>
      <c r="L111">
        <v>3</v>
      </c>
      <c r="M111">
        <v>1.6080000000000001</v>
      </c>
      <c r="N111">
        <v>1.4470000000000001</v>
      </c>
      <c r="O111">
        <v>7.02</v>
      </c>
      <c r="P111">
        <v>21.06</v>
      </c>
      <c r="Q111">
        <v>2.65</v>
      </c>
      <c r="R111">
        <v>7.95</v>
      </c>
    </row>
    <row r="112" spans="1:18" x14ac:dyDescent="0.25">
      <c r="A112">
        <v>18832916</v>
      </c>
      <c r="B112">
        <v>372328</v>
      </c>
      <c r="C112" t="s">
        <v>434</v>
      </c>
      <c r="E112">
        <v>2090000642827</v>
      </c>
      <c r="H112" t="s">
        <v>17</v>
      </c>
      <c r="I112">
        <v>82152010</v>
      </c>
      <c r="J112">
        <v>10</v>
      </c>
      <c r="K112">
        <v>1</v>
      </c>
      <c r="L112">
        <v>10</v>
      </c>
      <c r="M112">
        <v>1.49</v>
      </c>
      <c r="N112">
        <v>1.341</v>
      </c>
      <c r="O112">
        <v>0.184</v>
      </c>
      <c r="P112">
        <v>1.84</v>
      </c>
      <c r="Q112">
        <v>1.3</v>
      </c>
      <c r="R112">
        <v>13</v>
      </c>
    </row>
    <row r="113" spans="1:18" x14ac:dyDescent="0.25">
      <c r="A113">
        <v>18832916</v>
      </c>
      <c r="B113">
        <v>716998</v>
      </c>
      <c r="C113" t="s">
        <v>435</v>
      </c>
      <c r="E113">
        <v>3491955115005</v>
      </c>
      <c r="H113" t="s">
        <v>17</v>
      </c>
      <c r="I113">
        <v>39241000</v>
      </c>
      <c r="J113">
        <v>12</v>
      </c>
      <c r="K113">
        <v>1</v>
      </c>
      <c r="L113">
        <v>12</v>
      </c>
      <c r="M113">
        <v>0.93600000000000005</v>
      </c>
      <c r="N113">
        <v>0.84199999999999997</v>
      </c>
      <c r="O113">
        <v>0.156</v>
      </c>
      <c r="P113">
        <v>1.8720000000000001</v>
      </c>
      <c r="Q113">
        <v>0.53</v>
      </c>
      <c r="R113">
        <v>6.36</v>
      </c>
    </row>
    <row r="114" spans="1:18" x14ac:dyDescent="0.25">
      <c r="A114">
        <v>18832916</v>
      </c>
      <c r="B114">
        <v>969231</v>
      </c>
      <c r="C114" t="s">
        <v>436</v>
      </c>
      <c r="E114">
        <v>5400370127379</v>
      </c>
      <c r="H114" t="s">
        <v>17</v>
      </c>
      <c r="I114">
        <v>96170000</v>
      </c>
      <c r="J114">
        <v>1</v>
      </c>
      <c r="K114">
        <v>3</v>
      </c>
      <c r="L114">
        <v>3</v>
      </c>
      <c r="M114">
        <v>1.7490000000000001</v>
      </c>
      <c r="N114">
        <v>1.5740000000000001</v>
      </c>
      <c r="O114">
        <v>3.2170000000000001</v>
      </c>
      <c r="P114">
        <v>9.6509999999999998</v>
      </c>
      <c r="Q114">
        <v>6.48</v>
      </c>
      <c r="R114">
        <v>19.440000000000001</v>
      </c>
    </row>
    <row r="115" spans="1:18" x14ac:dyDescent="0.25">
      <c r="A115">
        <v>18832916</v>
      </c>
      <c r="B115">
        <v>905014</v>
      </c>
      <c r="C115" t="s">
        <v>437</v>
      </c>
      <c r="E115">
        <v>8412497168323</v>
      </c>
      <c r="H115" t="s">
        <v>17</v>
      </c>
      <c r="I115">
        <v>39233010</v>
      </c>
      <c r="J115">
        <v>1</v>
      </c>
      <c r="K115">
        <v>3</v>
      </c>
      <c r="L115">
        <v>3</v>
      </c>
      <c r="M115">
        <v>0.22500000000000001</v>
      </c>
      <c r="N115">
        <v>0.20300000000000001</v>
      </c>
      <c r="O115">
        <v>1.127</v>
      </c>
      <c r="P115">
        <v>3.3809999999999998</v>
      </c>
      <c r="Q115">
        <v>1.03</v>
      </c>
      <c r="R115">
        <v>3.09</v>
      </c>
    </row>
    <row r="116" spans="1:18" x14ac:dyDescent="0.25">
      <c r="A116">
        <v>18832916</v>
      </c>
      <c r="B116">
        <v>1005294</v>
      </c>
      <c r="C116" t="s">
        <v>438</v>
      </c>
      <c r="E116">
        <v>8412497078516</v>
      </c>
      <c r="H116" t="s">
        <v>17</v>
      </c>
      <c r="I116">
        <v>69120023</v>
      </c>
      <c r="J116">
        <v>1</v>
      </c>
      <c r="K116">
        <v>4</v>
      </c>
      <c r="L116">
        <v>4</v>
      </c>
      <c r="M116">
        <v>1.484</v>
      </c>
      <c r="N116">
        <v>1.3360000000000001</v>
      </c>
      <c r="O116">
        <v>1.4279999999999999</v>
      </c>
      <c r="P116">
        <v>5.7119999999999997</v>
      </c>
      <c r="Q116">
        <v>2.1</v>
      </c>
      <c r="R116">
        <v>8.4</v>
      </c>
    </row>
    <row r="117" spans="1:18" x14ac:dyDescent="0.25">
      <c r="A117">
        <v>18832916</v>
      </c>
      <c r="B117">
        <v>924601</v>
      </c>
      <c r="C117" t="s">
        <v>439</v>
      </c>
      <c r="E117">
        <v>3664944108559</v>
      </c>
      <c r="H117" t="s">
        <v>17</v>
      </c>
      <c r="I117">
        <v>73239900</v>
      </c>
      <c r="J117">
        <v>1</v>
      </c>
      <c r="K117">
        <v>2</v>
      </c>
      <c r="L117">
        <v>2</v>
      </c>
      <c r="M117">
        <v>0.58199999999999996</v>
      </c>
      <c r="N117">
        <v>0.52400000000000002</v>
      </c>
      <c r="O117">
        <v>3.3330000000000002</v>
      </c>
      <c r="P117">
        <v>6.6660000000000004</v>
      </c>
      <c r="Q117">
        <v>1.37</v>
      </c>
      <c r="R117">
        <v>2.74</v>
      </c>
    </row>
    <row r="118" spans="1:18" x14ac:dyDescent="0.25">
      <c r="A118">
        <v>18832916</v>
      </c>
      <c r="B118">
        <v>1005086</v>
      </c>
      <c r="C118" t="s">
        <v>440</v>
      </c>
      <c r="E118">
        <v>3760115718845</v>
      </c>
      <c r="H118" t="s">
        <v>17</v>
      </c>
      <c r="I118">
        <v>85167970</v>
      </c>
      <c r="J118">
        <v>1</v>
      </c>
      <c r="K118">
        <v>1</v>
      </c>
      <c r="L118">
        <v>1</v>
      </c>
      <c r="M118">
        <v>0.56000000000000005</v>
      </c>
      <c r="N118">
        <v>0.504</v>
      </c>
      <c r="O118">
        <v>4.5330000000000004</v>
      </c>
      <c r="P118">
        <v>4.5330000000000004</v>
      </c>
      <c r="Q118">
        <v>4.7699999999999996</v>
      </c>
      <c r="R118">
        <v>4.7699999999999996</v>
      </c>
    </row>
    <row r="119" spans="1:18" x14ac:dyDescent="0.25">
      <c r="A119">
        <v>18832916</v>
      </c>
      <c r="B119">
        <v>325306</v>
      </c>
      <c r="C119" t="s">
        <v>441</v>
      </c>
      <c r="E119">
        <v>8429429169013</v>
      </c>
      <c r="H119" t="s">
        <v>137</v>
      </c>
      <c r="I119">
        <v>39269097</v>
      </c>
      <c r="J119">
        <v>12</v>
      </c>
      <c r="K119">
        <v>1</v>
      </c>
      <c r="L119">
        <v>12</v>
      </c>
      <c r="M119">
        <v>0.9</v>
      </c>
      <c r="N119">
        <v>0.81</v>
      </c>
      <c r="O119">
        <v>0.5</v>
      </c>
      <c r="P119">
        <v>6</v>
      </c>
      <c r="Q119">
        <v>0.54</v>
      </c>
      <c r="R119">
        <v>6.48</v>
      </c>
    </row>
    <row r="120" spans="1:18" x14ac:dyDescent="0.25">
      <c r="A120">
        <v>18832916</v>
      </c>
      <c r="B120">
        <v>591111</v>
      </c>
      <c r="C120" t="s">
        <v>442</v>
      </c>
      <c r="E120">
        <v>5701922517304</v>
      </c>
      <c r="H120" t="s">
        <v>206</v>
      </c>
      <c r="I120">
        <v>39249000</v>
      </c>
      <c r="J120">
        <v>1</v>
      </c>
      <c r="K120">
        <v>3</v>
      </c>
      <c r="L120">
        <v>3</v>
      </c>
      <c r="M120">
        <v>0.75900000000000001</v>
      </c>
      <c r="N120">
        <v>0.68300000000000005</v>
      </c>
      <c r="O120">
        <v>3.5230000000000001</v>
      </c>
      <c r="P120">
        <v>10.569000000000001</v>
      </c>
      <c r="Q120">
        <v>1.79</v>
      </c>
      <c r="R120">
        <v>5.37</v>
      </c>
    </row>
    <row r="121" spans="1:18" x14ac:dyDescent="0.25">
      <c r="A121">
        <v>18832916</v>
      </c>
      <c r="B121">
        <v>714293</v>
      </c>
      <c r="C121" t="s">
        <v>443</v>
      </c>
      <c r="E121">
        <v>3568350160371</v>
      </c>
      <c r="H121" t="s">
        <v>17</v>
      </c>
      <c r="I121">
        <v>70109010</v>
      </c>
      <c r="J121">
        <v>1</v>
      </c>
      <c r="K121">
        <v>4</v>
      </c>
      <c r="L121">
        <v>4</v>
      </c>
      <c r="M121">
        <v>3.6120000000000001</v>
      </c>
      <c r="N121">
        <v>3.2509999999999999</v>
      </c>
      <c r="O121">
        <v>4.9400000000000004</v>
      </c>
      <c r="P121">
        <v>19.760000000000002</v>
      </c>
      <c r="Q121">
        <v>2.12</v>
      </c>
      <c r="R121">
        <v>8.48</v>
      </c>
    </row>
    <row r="122" spans="1:18" x14ac:dyDescent="0.25">
      <c r="A122">
        <v>18832916</v>
      </c>
      <c r="B122">
        <v>795657</v>
      </c>
      <c r="C122" t="s">
        <v>444</v>
      </c>
      <c r="E122">
        <v>3664944181606</v>
      </c>
      <c r="H122" t="s">
        <v>17</v>
      </c>
      <c r="I122">
        <v>39241000</v>
      </c>
      <c r="J122">
        <v>12</v>
      </c>
      <c r="K122">
        <v>1</v>
      </c>
      <c r="L122">
        <v>12</v>
      </c>
      <c r="M122">
        <v>0.81599999999999995</v>
      </c>
      <c r="N122">
        <v>0.73399999999999999</v>
      </c>
      <c r="O122">
        <v>0.27300000000000002</v>
      </c>
      <c r="P122">
        <v>3.2759999999999998</v>
      </c>
      <c r="Q122">
        <v>1.37</v>
      </c>
      <c r="R122">
        <v>16.440000000000001</v>
      </c>
    </row>
    <row r="123" spans="1:18" x14ac:dyDescent="0.25">
      <c r="A123">
        <v>18832916</v>
      </c>
      <c r="B123">
        <v>682219</v>
      </c>
      <c r="C123" t="s">
        <v>445</v>
      </c>
      <c r="E123">
        <v>2090000979107</v>
      </c>
      <c r="H123" t="s">
        <v>17</v>
      </c>
      <c r="I123">
        <v>39241000</v>
      </c>
      <c r="J123">
        <v>1</v>
      </c>
      <c r="K123">
        <v>2</v>
      </c>
      <c r="L123">
        <v>2</v>
      </c>
      <c r="M123">
        <v>0.34599999999999997</v>
      </c>
      <c r="N123">
        <v>0.311</v>
      </c>
      <c r="O123">
        <v>2.1</v>
      </c>
      <c r="P123">
        <v>4.2</v>
      </c>
      <c r="Q123">
        <v>1.28</v>
      </c>
      <c r="R123">
        <v>2.56</v>
      </c>
    </row>
    <row r="124" spans="1:18" x14ac:dyDescent="0.25">
      <c r="A124">
        <v>18832916</v>
      </c>
      <c r="B124">
        <v>745986</v>
      </c>
      <c r="C124" t="s">
        <v>446</v>
      </c>
      <c r="E124">
        <v>3560239229735</v>
      </c>
      <c r="H124" t="s">
        <v>17</v>
      </c>
      <c r="I124">
        <v>73239900</v>
      </c>
      <c r="J124">
        <v>1</v>
      </c>
      <c r="K124">
        <v>2</v>
      </c>
      <c r="L124">
        <v>2</v>
      </c>
      <c r="M124">
        <v>1.4059999999999999</v>
      </c>
      <c r="N124">
        <v>1.2649999999999999</v>
      </c>
      <c r="O124">
        <v>4.2</v>
      </c>
      <c r="P124">
        <v>8.4</v>
      </c>
      <c r="Q124">
        <v>3.75</v>
      </c>
      <c r="R124">
        <v>7.5</v>
      </c>
    </row>
    <row r="125" spans="1:18" x14ac:dyDescent="0.25">
      <c r="A125">
        <v>18832916</v>
      </c>
      <c r="B125">
        <v>940546</v>
      </c>
      <c r="C125" t="s">
        <v>447</v>
      </c>
      <c r="E125">
        <v>3568350101244</v>
      </c>
      <c r="H125" t="s">
        <v>448</v>
      </c>
      <c r="I125">
        <v>70133799</v>
      </c>
      <c r="J125">
        <v>1</v>
      </c>
      <c r="K125">
        <v>2</v>
      </c>
      <c r="L125">
        <v>2</v>
      </c>
      <c r="M125">
        <v>1.4159999999999999</v>
      </c>
      <c r="N125">
        <v>1.274</v>
      </c>
      <c r="O125">
        <v>6.8559999999999999</v>
      </c>
      <c r="P125">
        <v>13.712</v>
      </c>
      <c r="Q125">
        <v>3.34</v>
      </c>
      <c r="R125">
        <v>6.68</v>
      </c>
    </row>
    <row r="126" spans="1:18" x14ac:dyDescent="0.25">
      <c r="A126">
        <v>18832916</v>
      </c>
      <c r="B126">
        <v>943007</v>
      </c>
      <c r="C126" t="s">
        <v>449</v>
      </c>
      <c r="E126">
        <v>8001691575008</v>
      </c>
      <c r="H126" t="s">
        <v>203</v>
      </c>
      <c r="I126">
        <v>70134999</v>
      </c>
      <c r="J126">
        <v>1</v>
      </c>
      <c r="K126">
        <v>5</v>
      </c>
      <c r="L126">
        <v>5</v>
      </c>
      <c r="M126">
        <v>3.7650000000000001</v>
      </c>
      <c r="N126">
        <v>3.3889999999999998</v>
      </c>
      <c r="O126">
        <v>2.6179999999999999</v>
      </c>
      <c r="P126">
        <v>13.09</v>
      </c>
      <c r="Q126">
        <v>2.74</v>
      </c>
      <c r="R126">
        <v>13.7</v>
      </c>
    </row>
    <row r="127" spans="1:18" x14ac:dyDescent="0.25">
      <c r="A127">
        <v>18832916</v>
      </c>
      <c r="B127">
        <v>791844</v>
      </c>
      <c r="C127" t="s">
        <v>450</v>
      </c>
      <c r="E127">
        <v>3353890795066</v>
      </c>
      <c r="F127">
        <v>3491953961666</v>
      </c>
      <c r="H127" t="s">
        <v>97</v>
      </c>
      <c r="I127">
        <v>48236910</v>
      </c>
      <c r="J127">
        <v>1</v>
      </c>
      <c r="K127">
        <v>5</v>
      </c>
      <c r="L127">
        <v>5</v>
      </c>
      <c r="M127">
        <v>4.9000000000000004</v>
      </c>
      <c r="N127">
        <v>4.41</v>
      </c>
      <c r="O127">
        <v>3.5710000000000002</v>
      </c>
      <c r="P127">
        <v>17.855</v>
      </c>
      <c r="Q127">
        <v>2.02</v>
      </c>
      <c r="R127">
        <v>10.1</v>
      </c>
    </row>
    <row r="128" spans="1:18" x14ac:dyDescent="0.25">
      <c r="A128">
        <v>18832916</v>
      </c>
      <c r="B128">
        <v>949963</v>
      </c>
      <c r="C128" t="s">
        <v>451</v>
      </c>
      <c r="E128">
        <v>8412497189045</v>
      </c>
      <c r="H128" t="s">
        <v>17</v>
      </c>
      <c r="I128">
        <v>39241000</v>
      </c>
      <c r="J128">
        <v>1</v>
      </c>
      <c r="K128">
        <v>2</v>
      </c>
      <c r="L128">
        <v>2</v>
      </c>
      <c r="M128">
        <v>0.15</v>
      </c>
      <c r="N128">
        <v>0.13500000000000001</v>
      </c>
      <c r="O128">
        <v>0.85499999999999998</v>
      </c>
      <c r="P128">
        <v>1.71</v>
      </c>
      <c r="Q128">
        <v>1.22</v>
      </c>
      <c r="R128">
        <v>2.44</v>
      </c>
    </row>
    <row r="129" spans="1:18" x14ac:dyDescent="0.25">
      <c r="A129">
        <v>18832916</v>
      </c>
      <c r="B129">
        <v>983320</v>
      </c>
      <c r="C129" t="s">
        <v>452</v>
      </c>
      <c r="E129">
        <v>8412497080748</v>
      </c>
      <c r="H129" t="s">
        <v>17</v>
      </c>
      <c r="I129">
        <v>39241000</v>
      </c>
      <c r="J129">
        <v>1</v>
      </c>
      <c r="K129">
        <v>2</v>
      </c>
      <c r="L129">
        <v>2</v>
      </c>
      <c r="M129">
        <v>0.22600000000000001</v>
      </c>
      <c r="N129">
        <v>0.20300000000000001</v>
      </c>
      <c r="O129">
        <v>1.8049999999999999</v>
      </c>
      <c r="P129">
        <v>3.61</v>
      </c>
      <c r="Q129">
        <v>1.28</v>
      </c>
      <c r="R129">
        <v>2.56</v>
      </c>
    </row>
    <row r="130" spans="1:18" x14ac:dyDescent="0.25">
      <c r="A130">
        <v>18832916</v>
      </c>
      <c r="B130">
        <v>1022200</v>
      </c>
      <c r="C130" t="s">
        <v>453</v>
      </c>
      <c r="E130">
        <v>3560231617745</v>
      </c>
      <c r="H130" t="s">
        <v>17</v>
      </c>
      <c r="I130">
        <v>69120023</v>
      </c>
      <c r="J130">
        <v>1</v>
      </c>
      <c r="K130">
        <v>4</v>
      </c>
      <c r="L130">
        <v>4</v>
      </c>
      <c r="M130">
        <v>4.24</v>
      </c>
      <c r="N130">
        <v>3.8159999999999998</v>
      </c>
      <c r="O130">
        <v>3.5</v>
      </c>
      <c r="P130">
        <v>14</v>
      </c>
      <c r="Q130">
        <v>6.09</v>
      </c>
      <c r="R130">
        <v>24.36</v>
      </c>
    </row>
    <row r="131" spans="1:18" x14ac:dyDescent="0.25">
      <c r="A131">
        <v>18832916</v>
      </c>
      <c r="B131">
        <v>1022194</v>
      </c>
      <c r="C131" t="s">
        <v>454</v>
      </c>
      <c r="E131">
        <v>3560231617424</v>
      </c>
      <c r="H131" t="s">
        <v>17</v>
      </c>
      <c r="I131">
        <v>70133799</v>
      </c>
      <c r="J131">
        <v>1</v>
      </c>
      <c r="K131">
        <v>6</v>
      </c>
      <c r="L131">
        <v>6</v>
      </c>
      <c r="M131">
        <v>1.89</v>
      </c>
      <c r="N131">
        <v>1.702</v>
      </c>
      <c r="O131">
        <v>1.75</v>
      </c>
      <c r="P131">
        <v>10.5</v>
      </c>
      <c r="Q131">
        <v>3.81</v>
      </c>
      <c r="R131">
        <v>22.86</v>
      </c>
    </row>
    <row r="132" spans="1:18" x14ac:dyDescent="0.25">
      <c r="A132">
        <v>18832916</v>
      </c>
      <c r="B132">
        <v>916099</v>
      </c>
      <c r="C132" t="s">
        <v>455</v>
      </c>
      <c r="E132">
        <v>3491955496104</v>
      </c>
      <c r="H132" t="s">
        <v>448</v>
      </c>
      <c r="I132">
        <v>69111000</v>
      </c>
      <c r="J132">
        <v>6</v>
      </c>
      <c r="K132">
        <v>1</v>
      </c>
      <c r="L132">
        <v>6</v>
      </c>
      <c r="M132">
        <v>4.1459999999999999</v>
      </c>
      <c r="N132">
        <v>3.7309999999999999</v>
      </c>
      <c r="O132">
        <v>1.5</v>
      </c>
      <c r="P132">
        <v>9</v>
      </c>
      <c r="Q132">
        <v>1.28</v>
      </c>
      <c r="R132">
        <v>7.68</v>
      </c>
    </row>
    <row r="133" spans="1:18" x14ac:dyDescent="0.25">
      <c r="A133">
        <v>18832916</v>
      </c>
      <c r="B133">
        <v>643836</v>
      </c>
      <c r="C133" t="s">
        <v>456</v>
      </c>
      <c r="E133">
        <v>3491952740019</v>
      </c>
      <c r="H133" t="s">
        <v>17</v>
      </c>
      <c r="I133">
        <v>68030090</v>
      </c>
      <c r="J133">
        <v>12</v>
      </c>
      <c r="K133">
        <v>1</v>
      </c>
      <c r="L133">
        <v>12</v>
      </c>
      <c r="M133">
        <v>10.8</v>
      </c>
      <c r="N133">
        <v>9.7200000000000006</v>
      </c>
      <c r="O133">
        <v>0.78900000000000003</v>
      </c>
      <c r="P133">
        <v>9.468</v>
      </c>
      <c r="Q133">
        <v>0.78</v>
      </c>
      <c r="R133">
        <v>9.36</v>
      </c>
    </row>
    <row r="134" spans="1:18" x14ac:dyDescent="0.25">
      <c r="A134">
        <v>18832916</v>
      </c>
      <c r="B134">
        <v>1022191</v>
      </c>
      <c r="C134" t="s">
        <v>457</v>
      </c>
      <c r="E134">
        <v>3560237578507</v>
      </c>
      <c r="H134" t="s">
        <v>17</v>
      </c>
      <c r="I134">
        <v>69120023</v>
      </c>
      <c r="J134">
        <v>1</v>
      </c>
      <c r="K134">
        <v>6</v>
      </c>
      <c r="L134">
        <v>6</v>
      </c>
      <c r="M134">
        <v>4.92</v>
      </c>
      <c r="N134">
        <v>4.4279999999999999</v>
      </c>
      <c r="O134">
        <v>2.8050000000000002</v>
      </c>
      <c r="P134">
        <v>16.829999999999998</v>
      </c>
      <c r="Q134">
        <v>5.58</v>
      </c>
      <c r="R134">
        <v>33.479999999999997</v>
      </c>
    </row>
    <row r="135" spans="1:18" x14ac:dyDescent="0.25">
      <c r="A135">
        <v>18832916</v>
      </c>
      <c r="B135">
        <v>1022195</v>
      </c>
      <c r="C135" t="s">
        <v>458</v>
      </c>
      <c r="E135">
        <v>3560237544212</v>
      </c>
      <c r="H135" t="s">
        <v>17</v>
      </c>
      <c r="I135">
        <v>69120023</v>
      </c>
      <c r="J135">
        <v>6</v>
      </c>
      <c r="K135">
        <v>1</v>
      </c>
      <c r="L135">
        <v>6</v>
      </c>
      <c r="M135">
        <v>3.9359999999999999</v>
      </c>
      <c r="N135">
        <v>3.5419999999999998</v>
      </c>
      <c r="O135">
        <v>2.907</v>
      </c>
      <c r="P135">
        <v>17.442</v>
      </c>
      <c r="Q135">
        <v>5.08</v>
      </c>
      <c r="R135">
        <v>30.48</v>
      </c>
    </row>
    <row r="136" spans="1:18" x14ac:dyDescent="0.25">
      <c r="A136">
        <v>18832917</v>
      </c>
      <c r="B136">
        <v>775303</v>
      </c>
      <c r="C136" t="s">
        <v>459</v>
      </c>
      <c r="E136">
        <v>3700652901959</v>
      </c>
      <c r="H136" t="s">
        <v>97</v>
      </c>
      <c r="I136">
        <v>33021010</v>
      </c>
      <c r="J136">
        <v>1</v>
      </c>
      <c r="K136">
        <v>3</v>
      </c>
      <c r="L136">
        <v>3</v>
      </c>
      <c r="M136">
        <v>6.9000000000000006E-2</v>
      </c>
      <c r="N136">
        <v>6.2E-2</v>
      </c>
      <c r="O136">
        <v>7.4999999999999997E-2</v>
      </c>
      <c r="P136">
        <v>0.22500000000000001</v>
      </c>
      <c r="Q136">
        <v>2.48</v>
      </c>
      <c r="R136">
        <v>7.44</v>
      </c>
    </row>
    <row r="137" spans="1:18" x14ac:dyDescent="0.25">
      <c r="A137">
        <v>18832917</v>
      </c>
      <c r="B137">
        <v>1000236</v>
      </c>
      <c r="C137" t="s">
        <v>460</v>
      </c>
      <c r="E137">
        <v>3663159044331</v>
      </c>
      <c r="H137" t="s">
        <v>17</v>
      </c>
      <c r="I137">
        <v>85434000</v>
      </c>
      <c r="J137">
        <v>1</v>
      </c>
      <c r="K137">
        <v>2</v>
      </c>
      <c r="L137">
        <v>2</v>
      </c>
      <c r="M137">
        <v>7.3999999999999996E-2</v>
      </c>
      <c r="N137">
        <v>6.7000000000000004E-2</v>
      </c>
      <c r="O137">
        <v>9.5000000000000001E-2</v>
      </c>
      <c r="P137">
        <v>0.19</v>
      </c>
      <c r="Q137">
        <v>2.95</v>
      </c>
      <c r="R137">
        <v>5.9</v>
      </c>
    </row>
    <row r="138" spans="1:18" x14ac:dyDescent="0.25">
      <c r="A138">
        <v>18832917</v>
      </c>
      <c r="B138">
        <v>328206</v>
      </c>
      <c r="C138" t="s">
        <v>461</v>
      </c>
      <c r="E138">
        <v>4046871000059</v>
      </c>
      <c r="F138">
        <v>4046871003661</v>
      </c>
      <c r="H138" t="s">
        <v>54</v>
      </c>
      <c r="I138">
        <v>56012290</v>
      </c>
      <c r="J138">
        <v>21</v>
      </c>
      <c r="K138">
        <v>1</v>
      </c>
      <c r="L138">
        <v>21</v>
      </c>
      <c r="M138">
        <v>0.92400000000000004</v>
      </c>
      <c r="N138">
        <v>0.83199999999999996</v>
      </c>
      <c r="O138">
        <v>0.84299999999999997</v>
      </c>
      <c r="P138">
        <v>17.702999999999999</v>
      </c>
      <c r="Q138">
        <v>0.39</v>
      </c>
      <c r="R138">
        <v>8.19</v>
      </c>
    </row>
    <row r="139" spans="1:18" x14ac:dyDescent="0.25">
      <c r="A139">
        <v>18832917</v>
      </c>
      <c r="B139">
        <v>923865</v>
      </c>
      <c r="C139" t="s">
        <v>462</v>
      </c>
      <c r="E139">
        <v>4008429130359</v>
      </c>
      <c r="H139" t="s">
        <v>54</v>
      </c>
      <c r="I139">
        <v>38249996</v>
      </c>
      <c r="J139">
        <v>1</v>
      </c>
      <c r="K139">
        <v>8</v>
      </c>
      <c r="L139">
        <v>8</v>
      </c>
      <c r="M139">
        <v>35.200000000000003</v>
      </c>
      <c r="N139">
        <v>31.68</v>
      </c>
      <c r="O139">
        <v>12</v>
      </c>
      <c r="P139">
        <v>96</v>
      </c>
      <c r="Q139">
        <v>3.35</v>
      </c>
      <c r="R139">
        <v>26.8</v>
      </c>
    </row>
    <row r="140" spans="1:18" x14ac:dyDescent="0.25">
      <c r="A140">
        <v>18832917</v>
      </c>
      <c r="B140">
        <v>216677</v>
      </c>
      <c r="C140" t="s">
        <v>463</v>
      </c>
      <c r="E140">
        <v>3166780138818</v>
      </c>
      <c r="H140" t="s">
        <v>464</v>
      </c>
      <c r="I140">
        <v>23099096</v>
      </c>
      <c r="J140">
        <v>1</v>
      </c>
      <c r="K140">
        <v>4</v>
      </c>
      <c r="L140">
        <v>4</v>
      </c>
      <c r="M140">
        <v>6.4</v>
      </c>
      <c r="N140">
        <v>5.76</v>
      </c>
      <c r="O140">
        <v>5.6</v>
      </c>
      <c r="P140">
        <v>22.4</v>
      </c>
      <c r="Q140">
        <v>2.69</v>
      </c>
      <c r="R140">
        <v>10.76</v>
      </c>
    </row>
    <row r="141" spans="1:18" x14ac:dyDescent="0.25">
      <c r="A141">
        <v>18832917</v>
      </c>
      <c r="B141">
        <v>773828</v>
      </c>
      <c r="C141" t="s">
        <v>465</v>
      </c>
      <c r="E141">
        <v>3166780054316</v>
      </c>
      <c r="H141" t="s">
        <v>200</v>
      </c>
      <c r="I141">
        <v>23099096</v>
      </c>
      <c r="J141">
        <v>1</v>
      </c>
      <c r="K141">
        <v>2</v>
      </c>
      <c r="L141">
        <v>2</v>
      </c>
      <c r="M141">
        <v>1.968</v>
      </c>
      <c r="N141">
        <v>1.7709999999999999</v>
      </c>
      <c r="O141">
        <v>2.2400000000000002</v>
      </c>
      <c r="P141">
        <v>4.4800000000000004</v>
      </c>
      <c r="Q141">
        <v>1.78</v>
      </c>
      <c r="R141">
        <v>3.56</v>
      </c>
    </row>
    <row r="142" spans="1:18" x14ac:dyDescent="0.25">
      <c r="A142">
        <v>18832917</v>
      </c>
      <c r="B142">
        <v>980440</v>
      </c>
      <c r="C142" t="s">
        <v>466</v>
      </c>
      <c r="E142">
        <v>3491955295745</v>
      </c>
      <c r="H142" t="s">
        <v>17</v>
      </c>
      <c r="I142">
        <v>63079010</v>
      </c>
      <c r="J142">
        <v>1</v>
      </c>
      <c r="K142">
        <v>1</v>
      </c>
      <c r="L142">
        <v>1</v>
      </c>
      <c r="M142">
        <v>0.83699999999999997</v>
      </c>
      <c r="N142">
        <v>0.753</v>
      </c>
      <c r="O142">
        <v>12.09</v>
      </c>
      <c r="P142">
        <v>12.09</v>
      </c>
      <c r="Q142">
        <v>7.57</v>
      </c>
      <c r="R142">
        <v>7.57</v>
      </c>
    </row>
    <row r="143" spans="1:18" x14ac:dyDescent="0.25">
      <c r="A143">
        <v>18832917</v>
      </c>
      <c r="B143">
        <v>980441</v>
      </c>
      <c r="C143" t="s">
        <v>467</v>
      </c>
      <c r="E143">
        <v>3491954852796</v>
      </c>
      <c r="H143" t="s">
        <v>17</v>
      </c>
      <c r="I143">
        <v>42010000</v>
      </c>
      <c r="J143">
        <v>1</v>
      </c>
      <c r="K143">
        <v>2</v>
      </c>
      <c r="L143">
        <v>2</v>
      </c>
      <c r="M143">
        <v>0.27600000000000002</v>
      </c>
      <c r="N143">
        <v>0.248</v>
      </c>
      <c r="O143">
        <v>0.83</v>
      </c>
      <c r="P143">
        <v>1.66</v>
      </c>
      <c r="Q143">
        <v>1.87</v>
      </c>
      <c r="R143">
        <v>3.74</v>
      </c>
    </row>
    <row r="144" spans="1:18" x14ac:dyDescent="0.25">
      <c r="A144">
        <v>18832917</v>
      </c>
      <c r="B144">
        <v>942473</v>
      </c>
      <c r="C144" t="s">
        <v>468</v>
      </c>
      <c r="E144">
        <v>3166780060010</v>
      </c>
      <c r="H144" t="s">
        <v>97</v>
      </c>
      <c r="I144">
        <v>23091090</v>
      </c>
      <c r="J144">
        <v>1</v>
      </c>
      <c r="K144">
        <v>5</v>
      </c>
      <c r="L144">
        <v>5</v>
      </c>
      <c r="M144">
        <v>0.57999999999999996</v>
      </c>
      <c r="N144">
        <v>0.52200000000000002</v>
      </c>
      <c r="O144">
        <v>0.75600000000000001</v>
      </c>
      <c r="P144">
        <v>3.78</v>
      </c>
      <c r="Q144">
        <v>1.69</v>
      </c>
      <c r="R144">
        <v>8.4499999999999993</v>
      </c>
    </row>
    <row r="145" spans="1:18" x14ac:dyDescent="0.25">
      <c r="A145">
        <v>18832917</v>
      </c>
      <c r="B145">
        <v>1015786</v>
      </c>
      <c r="C145" t="s">
        <v>469</v>
      </c>
      <c r="E145">
        <v>3332590912942</v>
      </c>
      <c r="H145" t="s">
        <v>97</v>
      </c>
      <c r="I145">
        <v>33079000</v>
      </c>
      <c r="J145">
        <v>1</v>
      </c>
      <c r="K145">
        <v>2</v>
      </c>
      <c r="L145">
        <v>2</v>
      </c>
      <c r="M145">
        <v>0.376</v>
      </c>
      <c r="N145">
        <v>0.33800000000000002</v>
      </c>
      <c r="O145">
        <v>0.41499999999999998</v>
      </c>
      <c r="P145">
        <v>0.83</v>
      </c>
      <c r="Q145">
        <v>2.2799999999999998</v>
      </c>
      <c r="R145">
        <v>4.5599999999999996</v>
      </c>
    </row>
    <row r="146" spans="1:18" x14ac:dyDescent="0.25">
      <c r="A146">
        <v>18832917</v>
      </c>
      <c r="B146">
        <v>372819</v>
      </c>
      <c r="C146" t="s">
        <v>470</v>
      </c>
      <c r="E146">
        <v>5996413181908</v>
      </c>
      <c r="H146" t="s">
        <v>464</v>
      </c>
      <c r="I146">
        <v>23099096</v>
      </c>
      <c r="J146">
        <v>10</v>
      </c>
      <c r="K146">
        <v>1</v>
      </c>
      <c r="L146">
        <v>10</v>
      </c>
      <c r="M146">
        <v>1.18</v>
      </c>
      <c r="N146">
        <v>1.0620000000000001</v>
      </c>
      <c r="O146">
        <v>0.378</v>
      </c>
      <c r="P146">
        <v>3.78</v>
      </c>
      <c r="Q146">
        <v>0.74</v>
      </c>
      <c r="R146">
        <v>7.4</v>
      </c>
    </row>
    <row r="147" spans="1:18" x14ac:dyDescent="0.25">
      <c r="A147">
        <v>18832917</v>
      </c>
      <c r="B147">
        <v>947058</v>
      </c>
      <c r="C147" t="s">
        <v>471</v>
      </c>
      <c r="E147">
        <v>3491955620424</v>
      </c>
      <c r="H147" t="s">
        <v>17</v>
      </c>
      <c r="I147">
        <v>85167970</v>
      </c>
      <c r="J147">
        <v>1</v>
      </c>
      <c r="K147">
        <v>1</v>
      </c>
      <c r="L147">
        <v>1</v>
      </c>
      <c r="M147">
        <v>1.1100000000000001</v>
      </c>
      <c r="N147">
        <v>0.999</v>
      </c>
      <c r="O147">
        <v>5.88</v>
      </c>
      <c r="P147">
        <v>5.88</v>
      </c>
      <c r="Q147">
        <v>5.16</v>
      </c>
      <c r="R147">
        <v>5.16</v>
      </c>
    </row>
    <row r="148" spans="1:18" x14ac:dyDescent="0.25">
      <c r="A148">
        <v>18832917</v>
      </c>
      <c r="B148">
        <v>727020</v>
      </c>
      <c r="C148" t="s">
        <v>472</v>
      </c>
      <c r="E148">
        <v>3760115718241</v>
      </c>
      <c r="H148" t="s">
        <v>17</v>
      </c>
      <c r="I148">
        <v>85094000</v>
      </c>
      <c r="J148">
        <v>1</v>
      </c>
      <c r="K148">
        <v>1</v>
      </c>
      <c r="L148">
        <v>1</v>
      </c>
      <c r="M148">
        <v>1.3160000000000001</v>
      </c>
      <c r="N148">
        <v>1.1839999999999999</v>
      </c>
      <c r="O148">
        <v>8.58</v>
      </c>
      <c r="P148">
        <v>8.58</v>
      </c>
      <c r="Q148">
        <v>9.5299999999999994</v>
      </c>
      <c r="R148">
        <v>9.5299999999999994</v>
      </c>
    </row>
    <row r="149" spans="1:18" x14ac:dyDescent="0.25">
      <c r="A149">
        <v>18832917</v>
      </c>
      <c r="B149">
        <v>759039</v>
      </c>
      <c r="C149" t="s">
        <v>473</v>
      </c>
      <c r="E149">
        <v>3491955537135</v>
      </c>
      <c r="F149">
        <v>3491954109012</v>
      </c>
      <c r="G149">
        <v>3491955524845</v>
      </c>
      <c r="H149" t="s">
        <v>17</v>
      </c>
      <c r="I149">
        <v>85167970</v>
      </c>
      <c r="J149">
        <v>1</v>
      </c>
      <c r="K149">
        <v>1</v>
      </c>
      <c r="L149">
        <v>1</v>
      </c>
      <c r="M149">
        <v>1.7829999999999999</v>
      </c>
      <c r="N149">
        <v>1.605</v>
      </c>
      <c r="O149">
        <v>15.2</v>
      </c>
      <c r="P149">
        <v>15.2</v>
      </c>
      <c r="Q149">
        <v>10.63</v>
      </c>
      <c r="R149">
        <v>10.63</v>
      </c>
    </row>
    <row r="150" spans="1:18" x14ac:dyDescent="0.25">
      <c r="A150">
        <v>18832917</v>
      </c>
      <c r="B150">
        <v>991787</v>
      </c>
      <c r="C150" t="s">
        <v>474</v>
      </c>
      <c r="E150">
        <v>3700342431131</v>
      </c>
      <c r="H150" t="s">
        <v>17</v>
      </c>
      <c r="I150">
        <v>85166070</v>
      </c>
      <c r="J150">
        <v>1</v>
      </c>
      <c r="K150">
        <v>1</v>
      </c>
      <c r="L150">
        <v>1</v>
      </c>
      <c r="M150">
        <v>5.77</v>
      </c>
      <c r="N150">
        <v>5.1929999999999996</v>
      </c>
      <c r="O150">
        <v>39.479999999999997</v>
      </c>
      <c r="P150">
        <v>39.479999999999997</v>
      </c>
      <c r="Q150">
        <v>112.42</v>
      </c>
      <c r="R150">
        <v>112.42</v>
      </c>
    </row>
    <row r="151" spans="1:18" x14ac:dyDescent="0.25">
      <c r="A151">
        <v>18832917</v>
      </c>
      <c r="B151">
        <v>679607</v>
      </c>
      <c r="C151" t="s">
        <v>475</v>
      </c>
      <c r="E151">
        <v>3760196097594</v>
      </c>
      <c r="H151" t="s">
        <v>17</v>
      </c>
      <c r="I151">
        <v>85094000</v>
      </c>
      <c r="J151">
        <v>1</v>
      </c>
      <c r="K151">
        <v>1</v>
      </c>
      <c r="L151">
        <v>1</v>
      </c>
      <c r="M151">
        <v>2.536</v>
      </c>
      <c r="N151">
        <v>2.282</v>
      </c>
      <c r="O151">
        <v>12.654</v>
      </c>
      <c r="P151">
        <v>12.654</v>
      </c>
      <c r="Q151">
        <v>14.77</v>
      </c>
      <c r="R151">
        <v>14.77</v>
      </c>
    </row>
    <row r="152" spans="1:18" x14ac:dyDescent="0.25">
      <c r="A152">
        <v>18832917</v>
      </c>
      <c r="B152">
        <v>372257</v>
      </c>
      <c r="C152" t="s">
        <v>476</v>
      </c>
      <c r="E152">
        <v>5412556121248</v>
      </c>
      <c r="H152" t="s">
        <v>17</v>
      </c>
      <c r="I152">
        <v>48171000</v>
      </c>
      <c r="J152">
        <v>10</v>
      </c>
      <c r="K152">
        <v>1</v>
      </c>
      <c r="L152">
        <v>10</v>
      </c>
      <c r="M152">
        <v>2.08</v>
      </c>
      <c r="N152">
        <v>1.8720000000000001</v>
      </c>
      <c r="O152">
        <v>0.63700000000000001</v>
      </c>
      <c r="P152">
        <v>6.37</v>
      </c>
      <c r="Q152">
        <v>0.9</v>
      </c>
      <c r="R152">
        <v>9</v>
      </c>
    </row>
    <row r="153" spans="1:18" x14ac:dyDescent="0.25">
      <c r="A153">
        <v>18832917</v>
      </c>
      <c r="B153">
        <v>995692</v>
      </c>
      <c r="C153" t="s">
        <v>477</v>
      </c>
      <c r="E153">
        <v>5900495919281</v>
      </c>
      <c r="H153" t="s">
        <v>17</v>
      </c>
      <c r="I153">
        <v>39269097</v>
      </c>
      <c r="J153">
        <v>1</v>
      </c>
      <c r="K153">
        <v>2</v>
      </c>
      <c r="L153">
        <v>2</v>
      </c>
      <c r="M153">
        <v>0.216</v>
      </c>
      <c r="N153">
        <v>0.19400000000000001</v>
      </c>
      <c r="O153">
        <v>0.93600000000000005</v>
      </c>
      <c r="P153">
        <v>1.8720000000000001</v>
      </c>
      <c r="Q153">
        <v>2.94</v>
      </c>
      <c r="R153">
        <v>5.88</v>
      </c>
    </row>
    <row r="154" spans="1:18" x14ac:dyDescent="0.25">
      <c r="A154">
        <v>18832917</v>
      </c>
      <c r="B154">
        <v>780262</v>
      </c>
      <c r="C154" t="s">
        <v>478</v>
      </c>
      <c r="E154">
        <v>8711332258954</v>
      </c>
      <c r="H154" t="s">
        <v>17</v>
      </c>
      <c r="I154">
        <v>85444290</v>
      </c>
      <c r="J154">
        <v>1</v>
      </c>
      <c r="K154">
        <v>3</v>
      </c>
      <c r="L154">
        <v>3</v>
      </c>
      <c r="M154">
        <v>0.19800000000000001</v>
      </c>
      <c r="N154">
        <v>0.17799999999999999</v>
      </c>
      <c r="O154">
        <v>0.44</v>
      </c>
      <c r="P154">
        <v>1.32</v>
      </c>
      <c r="Q154">
        <v>1.3</v>
      </c>
      <c r="R154">
        <v>3.9</v>
      </c>
    </row>
    <row r="155" spans="1:18" x14ac:dyDescent="0.25">
      <c r="A155">
        <v>18832917</v>
      </c>
      <c r="B155">
        <v>948576</v>
      </c>
      <c r="C155" t="s">
        <v>479</v>
      </c>
      <c r="E155">
        <v>4894367014109</v>
      </c>
      <c r="F155">
        <v>4894367019616</v>
      </c>
      <c r="H155" t="s">
        <v>17</v>
      </c>
      <c r="I155">
        <v>85182100</v>
      </c>
      <c r="J155">
        <v>1</v>
      </c>
      <c r="K155">
        <v>1</v>
      </c>
      <c r="L155">
        <v>1</v>
      </c>
      <c r="M155">
        <v>0.6</v>
      </c>
      <c r="N155">
        <v>0.54</v>
      </c>
      <c r="O155">
        <v>5.3159999999999998</v>
      </c>
      <c r="P155">
        <v>5.3159999999999998</v>
      </c>
      <c r="Q155">
        <v>5.9</v>
      </c>
      <c r="R155">
        <v>5.9</v>
      </c>
    </row>
    <row r="156" spans="1:18" x14ac:dyDescent="0.25">
      <c r="A156">
        <v>18832917</v>
      </c>
      <c r="B156">
        <v>904753</v>
      </c>
      <c r="C156" t="s">
        <v>480</v>
      </c>
      <c r="E156">
        <v>3491955442217</v>
      </c>
      <c r="H156" t="s">
        <v>17</v>
      </c>
      <c r="I156">
        <v>95044000</v>
      </c>
      <c r="J156">
        <v>1</v>
      </c>
      <c r="K156">
        <v>1</v>
      </c>
      <c r="L156">
        <v>1</v>
      </c>
      <c r="M156">
        <v>0.45800000000000002</v>
      </c>
      <c r="N156">
        <v>0.41199999999999998</v>
      </c>
      <c r="O156">
        <v>3.375</v>
      </c>
      <c r="P156">
        <v>3.375</v>
      </c>
      <c r="Q156">
        <v>1.3</v>
      </c>
      <c r="R156">
        <v>1.3</v>
      </c>
    </row>
    <row r="157" spans="1:18" x14ac:dyDescent="0.25">
      <c r="A157">
        <v>18832917</v>
      </c>
      <c r="B157">
        <v>998213</v>
      </c>
      <c r="C157" t="s">
        <v>481</v>
      </c>
      <c r="E157">
        <v>4006942841509</v>
      </c>
      <c r="H157" t="s">
        <v>482</v>
      </c>
      <c r="I157">
        <v>95030095</v>
      </c>
      <c r="J157">
        <v>1</v>
      </c>
      <c r="K157">
        <v>2</v>
      </c>
      <c r="L157">
        <v>2</v>
      </c>
      <c r="M157">
        <v>0.63200000000000001</v>
      </c>
      <c r="N157">
        <v>0.56799999999999995</v>
      </c>
      <c r="O157">
        <v>4.84</v>
      </c>
      <c r="P157">
        <v>9.68</v>
      </c>
      <c r="Q157">
        <v>3.8</v>
      </c>
      <c r="R157">
        <v>7.6</v>
      </c>
    </row>
    <row r="158" spans="1:18" x14ac:dyDescent="0.25">
      <c r="A158">
        <v>18832917</v>
      </c>
      <c r="B158">
        <v>997536</v>
      </c>
      <c r="C158" t="s">
        <v>483</v>
      </c>
      <c r="E158">
        <v>887961993806</v>
      </c>
      <c r="F158">
        <v>887961977776</v>
      </c>
      <c r="H158" t="s">
        <v>484</v>
      </c>
      <c r="I158">
        <v>95030070</v>
      </c>
      <c r="J158">
        <v>1</v>
      </c>
      <c r="K158">
        <v>1</v>
      </c>
      <c r="L158">
        <v>1</v>
      </c>
      <c r="M158">
        <v>0.17499999999999999</v>
      </c>
      <c r="N158">
        <v>0.158</v>
      </c>
      <c r="O158">
        <v>0.86199999999999999</v>
      </c>
      <c r="P158">
        <v>0.86199999999999999</v>
      </c>
      <c r="Q158">
        <v>10.51</v>
      </c>
      <c r="R158">
        <v>10.51</v>
      </c>
    </row>
    <row r="159" spans="1:18" x14ac:dyDescent="0.25">
      <c r="A159">
        <v>18832917</v>
      </c>
      <c r="B159">
        <v>654443</v>
      </c>
      <c r="C159" t="s">
        <v>485</v>
      </c>
      <c r="E159">
        <v>3417765021053</v>
      </c>
      <c r="H159" t="s">
        <v>17</v>
      </c>
      <c r="I159">
        <v>95030055</v>
      </c>
      <c r="J159">
        <v>1</v>
      </c>
      <c r="K159">
        <v>1</v>
      </c>
      <c r="L159">
        <v>1</v>
      </c>
      <c r="M159">
        <v>0.61599999999999999</v>
      </c>
      <c r="N159">
        <v>0.55400000000000005</v>
      </c>
      <c r="O159">
        <v>8.0289999999999999</v>
      </c>
      <c r="P159">
        <v>8.0289999999999999</v>
      </c>
      <c r="Q159">
        <v>11.69</v>
      </c>
      <c r="R159">
        <v>11.69</v>
      </c>
    </row>
    <row r="160" spans="1:18" x14ac:dyDescent="0.25">
      <c r="A160">
        <v>18832917</v>
      </c>
      <c r="B160">
        <v>239171</v>
      </c>
      <c r="C160" t="s">
        <v>486</v>
      </c>
      <c r="E160">
        <v>4006592515393</v>
      </c>
      <c r="H160" t="s">
        <v>17</v>
      </c>
      <c r="I160">
        <v>95030070</v>
      </c>
      <c r="J160">
        <v>1</v>
      </c>
      <c r="K160">
        <v>1</v>
      </c>
      <c r="L160">
        <v>1</v>
      </c>
      <c r="M160">
        <v>0.46200000000000002</v>
      </c>
      <c r="N160">
        <v>0.41599999999999998</v>
      </c>
      <c r="O160">
        <v>6.3869999999999996</v>
      </c>
      <c r="P160">
        <v>6.3869999999999996</v>
      </c>
      <c r="Q160">
        <v>6.01</v>
      </c>
      <c r="R160">
        <v>6.01</v>
      </c>
    </row>
    <row r="161" spans="1:18" x14ac:dyDescent="0.25">
      <c r="A161">
        <v>18832917</v>
      </c>
      <c r="B161">
        <v>975377</v>
      </c>
      <c r="C161" t="s">
        <v>487</v>
      </c>
      <c r="E161">
        <v>5702017161037</v>
      </c>
      <c r="H161" t="s">
        <v>482</v>
      </c>
      <c r="I161">
        <v>95030035</v>
      </c>
      <c r="J161">
        <v>1</v>
      </c>
      <c r="K161">
        <v>1</v>
      </c>
      <c r="L161">
        <v>1</v>
      </c>
      <c r="M161">
        <v>0.65</v>
      </c>
      <c r="N161">
        <v>0.58499999999999996</v>
      </c>
      <c r="O161">
        <v>4.8929999999999998</v>
      </c>
      <c r="P161">
        <v>4.8929999999999998</v>
      </c>
      <c r="Q161">
        <v>16.059999999999999</v>
      </c>
      <c r="R161">
        <v>16.059999999999999</v>
      </c>
    </row>
    <row r="162" spans="1:18" x14ac:dyDescent="0.25">
      <c r="A162">
        <v>18832917</v>
      </c>
      <c r="B162">
        <v>953795</v>
      </c>
      <c r="C162" t="s">
        <v>488</v>
      </c>
      <c r="E162">
        <v>4006592007430</v>
      </c>
      <c r="H162" t="s">
        <v>17</v>
      </c>
      <c r="I162">
        <v>95030070</v>
      </c>
      <c r="J162">
        <v>1</v>
      </c>
      <c r="K162">
        <v>1</v>
      </c>
      <c r="L162">
        <v>1</v>
      </c>
      <c r="M162">
        <v>0.51700000000000002</v>
      </c>
      <c r="N162">
        <v>0.46500000000000002</v>
      </c>
      <c r="O162">
        <v>6.5</v>
      </c>
      <c r="P162">
        <v>6.5</v>
      </c>
      <c r="Q162">
        <v>7.47</v>
      </c>
      <c r="R162">
        <v>7.47</v>
      </c>
    </row>
    <row r="163" spans="1:18" x14ac:dyDescent="0.25">
      <c r="A163">
        <v>18832917</v>
      </c>
      <c r="B163">
        <v>912740</v>
      </c>
      <c r="C163" t="s">
        <v>489</v>
      </c>
      <c r="E163">
        <v>4008789704535</v>
      </c>
      <c r="H163" t="s">
        <v>54</v>
      </c>
      <c r="I163">
        <v>95030070</v>
      </c>
      <c r="J163">
        <v>1</v>
      </c>
      <c r="K163">
        <v>2</v>
      </c>
      <c r="L163">
        <v>2</v>
      </c>
      <c r="M163">
        <v>0.6</v>
      </c>
      <c r="N163">
        <v>0.54</v>
      </c>
      <c r="O163">
        <v>3.952</v>
      </c>
      <c r="P163">
        <v>7.9039999999999999</v>
      </c>
      <c r="Q163">
        <v>13.27</v>
      </c>
      <c r="R163">
        <v>26.54</v>
      </c>
    </row>
    <row r="164" spans="1:18" x14ac:dyDescent="0.25">
      <c r="A164">
        <v>18832917</v>
      </c>
      <c r="B164">
        <v>660478</v>
      </c>
      <c r="C164" t="s">
        <v>490</v>
      </c>
      <c r="E164">
        <v>5010993785940</v>
      </c>
      <c r="F164">
        <v>5010994950125</v>
      </c>
      <c r="G164">
        <v>5010994950118</v>
      </c>
      <c r="H164" t="s">
        <v>69</v>
      </c>
      <c r="I164">
        <v>95030021</v>
      </c>
      <c r="J164">
        <v>1</v>
      </c>
      <c r="K164">
        <v>1</v>
      </c>
      <c r="L164">
        <v>1</v>
      </c>
      <c r="M164">
        <v>0.20499999999999999</v>
      </c>
      <c r="N164">
        <v>0.185</v>
      </c>
      <c r="O164">
        <v>2.64</v>
      </c>
      <c r="P164">
        <v>2.64</v>
      </c>
      <c r="Q164">
        <v>9.42</v>
      </c>
      <c r="R164">
        <v>9.42</v>
      </c>
    </row>
    <row r="165" spans="1:18" x14ac:dyDescent="0.25">
      <c r="A165">
        <v>18832917</v>
      </c>
      <c r="B165">
        <v>975400</v>
      </c>
      <c r="C165" t="s">
        <v>491</v>
      </c>
      <c r="E165">
        <v>5702017154190</v>
      </c>
      <c r="H165" t="s">
        <v>482</v>
      </c>
      <c r="I165">
        <v>95030035</v>
      </c>
      <c r="J165">
        <v>1</v>
      </c>
      <c r="K165">
        <v>2</v>
      </c>
      <c r="L165">
        <v>2</v>
      </c>
      <c r="M165">
        <v>0.3</v>
      </c>
      <c r="N165">
        <v>0.27</v>
      </c>
      <c r="O165">
        <v>1.44</v>
      </c>
      <c r="P165">
        <v>2.88</v>
      </c>
      <c r="Q165">
        <v>5.54</v>
      </c>
      <c r="R165">
        <v>11.08</v>
      </c>
    </row>
    <row r="166" spans="1:18" x14ac:dyDescent="0.25">
      <c r="A166">
        <v>18832917</v>
      </c>
      <c r="B166">
        <v>975402</v>
      </c>
      <c r="C166" t="s">
        <v>492</v>
      </c>
      <c r="E166">
        <v>5702016911664</v>
      </c>
      <c r="H166" t="s">
        <v>482</v>
      </c>
      <c r="I166">
        <v>95030035</v>
      </c>
      <c r="J166">
        <v>1</v>
      </c>
      <c r="K166">
        <v>1</v>
      </c>
      <c r="L166">
        <v>1</v>
      </c>
      <c r="M166">
        <v>0.215</v>
      </c>
      <c r="N166">
        <v>0.19400000000000001</v>
      </c>
      <c r="O166">
        <v>2.08</v>
      </c>
      <c r="P166">
        <v>2.08</v>
      </c>
      <c r="Q166">
        <v>8.3000000000000007</v>
      </c>
      <c r="R166">
        <v>8.3000000000000007</v>
      </c>
    </row>
    <row r="167" spans="1:18" x14ac:dyDescent="0.25">
      <c r="A167">
        <v>18832917</v>
      </c>
      <c r="B167">
        <v>975380</v>
      </c>
      <c r="C167" t="s">
        <v>493</v>
      </c>
      <c r="E167">
        <v>5702017161884</v>
      </c>
      <c r="H167" t="s">
        <v>482</v>
      </c>
      <c r="I167">
        <v>95030035</v>
      </c>
      <c r="J167">
        <v>1</v>
      </c>
      <c r="K167">
        <v>1</v>
      </c>
      <c r="L167">
        <v>1</v>
      </c>
      <c r="M167">
        <v>0.16</v>
      </c>
      <c r="N167">
        <v>0.14399999999999999</v>
      </c>
      <c r="O167">
        <v>1.2110000000000001</v>
      </c>
      <c r="P167">
        <v>1.2110000000000001</v>
      </c>
      <c r="Q167">
        <v>5.43</v>
      </c>
      <c r="R167">
        <v>5.43</v>
      </c>
    </row>
    <row r="168" spans="1:18" x14ac:dyDescent="0.25">
      <c r="A168">
        <v>18832917</v>
      </c>
      <c r="B168">
        <v>638803</v>
      </c>
      <c r="C168" t="s">
        <v>494</v>
      </c>
      <c r="E168">
        <v>5413128348346</v>
      </c>
      <c r="F168">
        <v>5413128342696</v>
      </c>
      <c r="H168" t="s">
        <v>200</v>
      </c>
      <c r="I168">
        <v>17049071</v>
      </c>
      <c r="J168">
        <v>6</v>
      </c>
      <c r="K168">
        <v>1</v>
      </c>
      <c r="L168">
        <v>6</v>
      </c>
      <c r="M168">
        <v>1.476</v>
      </c>
      <c r="N168">
        <v>1.3280000000000001</v>
      </c>
      <c r="O168">
        <v>0.88400000000000001</v>
      </c>
      <c r="P168">
        <v>5.3040000000000003</v>
      </c>
      <c r="Q168">
        <v>1.34</v>
      </c>
      <c r="R168">
        <v>8.0399999999999991</v>
      </c>
    </row>
    <row r="169" spans="1:18" x14ac:dyDescent="0.25">
      <c r="A169">
        <v>18832917</v>
      </c>
      <c r="B169">
        <v>618729</v>
      </c>
      <c r="C169" t="s">
        <v>495</v>
      </c>
      <c r="E169">
        <v>7622210124357</v>
      </c>
      <c r="H169" t="s">
        <v>200</v>
      </c>
      <c r="I169">
        <v>19053119</v>
      </c>
      <c r="J169">
        <v>20</v>
      </c>
      <c r="K169">
        <v>1</v>
      </c>
      <c r="L169">
        <v>20</v>
      </c>
      <c r="M169">
        <v>1.34</v>
      </c>
      <c r="N169">
        <v>1.206</v>
      </c>
      <c r="O169">
        <v>0.22800000000000001</v>
      </c>
      <c r="P169">
        <v>4.5599999999999996</v>
      </c>
      <c r="Q169">
        <v>0.44</v>
      </c>
      <c r="R169">
        <v>8.8000000000000007</v>
      </c>
    </row>
    <row r="170" spans="1:18" x14ac:dyDescent="0.25">
      <c r="A170">
        <v>18832917</v>
      </c>
      <c r="B170">
        <v>338931</v>
      </c>
      <c r="C170" t="s">
        <v>496</v>
      </c>
      <c r="E170">
        <v>5413128342580</v>
      </c>
      <c r="H170" t="s">
        <v>200</v>
      </c>
      <c r="I170">
        <v>17049065</v>
      </c>
      <c r="J170">
        <v>6</v>
      </c>
      <c r="K170">
        <v>1</v>
      </c>
      <c r="L170">
        <v>6</v>
      </c>
      <c r="M170">
        <v>1.536</v>
      </c>
      <c r="N170">
        <v>1.3819999999999999</v>
      </c>
      <c r="O170">
        <v>0.97199999999999998</v>
      </c>
      <c r="P170">
        <v>5.8319999999999999</v>
      </c>
      <c r="Q170">
        <v>0.99</v>
      </c>
      <c r="R170">
        <v>5.94</v>
      </c>
    </row>
    <row r="171" spans="1:18" x14ac:dyDescent="0.25">
      <c r="A171">
        <v>18832917</v>
      </c>
      <c r="B171">
        <v>602862</v>
      </c>
      <c r="C171" t="s">
        <v>497</v>
      </c>
      <c r="E171">
        <v>8000500184219</v>
      </c>
      <c r="F171">
        <v>8000500355237</v>
      </c>
      <c r="H171" t="s">
        <v>498</v>
      </c>
      <c r="I171">
        <v>17049061</v>
      </c>
      <c r="J171">
        <v>16</v>
      </c>
      <c r="K171">
        <v>1</v>
      </c>
      <c r="L171">
        <v>16</v>
      </c>
      <c r="M171">
        <v>1.04</v>
      </c>
      <c r="N171">
        <v>0.93600000000000005</v>
      </c>
      <c r="O171">
        <v>0.111</v>
      </c>
      <c r="P171">
        <v>1.776</v>
      </c>
      <c r="Q171">
        <v>1.21</v>
      </c>
      <c r="R171">
        <v>19.36</v>
      </c>
    </row>
    <row r="172" spans="1:18" x14ac:dyDescent="0.25">
      <c r="A172">
        <v>18832917</v>
      </c>
      <c r="B172">
        <v>999221</v>
      </c>
      <c r="C172" t="s">
        <v>499</v>
      </c>
      <c r="E172">
        <v>5400787047376</v>
      </c>
      <c r="H172" t="s">
        <v>200</v>
      </c>
      <c r="I172">
        <v>17049065</v>
      </c>
      <c r="J172">
        <v>1</v>
      </c>
      <c r="K172">
        <v>5</v>
      </c>
      <c r="L172">
        <v>5</v>
      </c>
      <c r="M172">
        <v>0.5</v>
      </c>
      <c r="N172">
        <v>0.45</v>
      </c>
      <c r="O172">
        <v>0.48299999999999998</v>
      </c>
      <c r="P172">
        <v>2.415</v>
      </c>
      <c r="Q172">
        <v>0.78</v>
      </c>
      <c r="R172">
        <v>3.9</v>
      </c>
    </row>
    <row r="173" spans="1:18" x14ac:dyDescent="0.25">
      <c r="A173">
        <v>18832917</v>
      </c>
      <c r="B173">
        <v>250216</v>
      </c>
      <c r="C173" t="s">
        <v>500</v>
      </c>
      <c r="E173">
        <v>70330100749</v>
      </c>
      <c r="H173" t="s">
        <v>97</v>
      </c>
      <c r="I173">
        <v>96081099</v>
      </c>
      <c r="J173">
        <v>1</v>
      </c>
      <c r="K173">
        <v>10</v>
      </c>
      <c r="L173">
        <v>10</v>
      </c>
      <c r="M173">
        <v>0.33</v>
      </c>
      <c r="N173">
        <v>0.29699999999999999</v>
      </c>
      <c r="O173">
        <v>0.16800000000000001</v>
      </c>
      <c r="P173">
        <v>1.68</v>
      </c>
      <c r="Q173">
        <v>1.4</v>
      </c>
      <c r="R173">
        <v>14</v>
      </c>
    </row>
    <row r="174" spans="1:18" x14ac:dyDescent="0.25">
      <c r="A174">
        <v>18832917</v>
      </c>
      <c r="B174">
        <v>252188</v>
      </c>
      <c r="C174" t="s">
        <v>501</v>
      </c>
      <c r="E174">
        <v>8006919002144</v>
      </c>
      <c r="H174" t="s">
        <v>203</v>
      </c>
      <c r="I174">
        <v>39261000</v>
      </c>
      <c r="J174">
        <v>1</v>
      </c>
      <c r="K174">
        <v>3</v>
      </c>
      <c r="L174">
        <v>3</v>
      </c>
      <c r="M174">
        <v>0.27300000000000002</v>
      </c>
      <c r="N174">
        <v>0.246</v>
      </c>
      <c r="O174">
        <v>1</v>
      </c>
      <c r="P174">
        <v>3</v>
      </c>
      <c r="Q174">
        <v>0.89</v>
      </c>
      <c r="R174">
        <v>2.67</v>
      </c>
    </row>
    <row r="175" spans="1:18" x14ac:dyDescent="0.25">
      <c r="A175">
        <v>18832917</v>
      </c>
      <c r="B175">
        <v>1000238</v>
      </c>
      <c r="C175" t="s">
        <v>502</v>
      </c>
      <c r="E175">
        <v>3663159044218</v>
      </c>
      <c r="H175" t="s">
        <v>17</v>
      </c>
      <c r="I175">
        <v>85434000</v>
      </c>
      <c r="J175">
        <v>1</v>
      </c>
      <c r="K175">
        <v>4</v>
      </c>
      <c r="L175">
        <v>4</v>
      </c>
      <c r="M175">
        <v>0.14799999999999999</v>
      </c>
      <c r="N175">
        <v>0.13300000000000001</v>
      </c>
      <c r="O175">
        <v>9.5000000000000001E-2</v>
      </c>
      <c r="P175">
        <v>0.38</v>
      </c>
      <c r="Q175">
        <v>2.95</v>
      </c>
      <c r="R175">
        <v>11.8</v>
      </c>
    </row>
    <row r="176" spans="1:18" x14ac:dyDescent="0.25">
      <c r="A176">
        <v>18832917</v>
      </c>
      <c r="B176">
        <v>1000239</v>
      </c>
      <c r="C176" t="s">
        <v>503</v>
      </c>
      <c r="E176">
        <v>3663159044393</v>
      </c>
      <c r="H176" t="s">
        <v>17</v>
      </c>
      <c r="I176">
        <v>85434000</v>
      </c>
      <c r="J176">
        <v>1</v>
      </c>
      <c r="K176">
        <v>3</v>
      </c>
      <c r="L176">
        <v>3</v>
      </c>
      <c r="M176">
        <v>0.111</v>
      </c>
      <c r="N176">
        <v>0.1</v>
      </c>
      <c r="O176">
        <v>9.5000000000000001E-2</v>
      </c>
      <c r="P176">
        <v>0.28499999999999998</v>
      </c>
      <c r="Q176">
        <v>2.99</v>
      </c>
      <c r="R176">
        <v>8.9700000000000006</v>
      </c>
    </row>
    <row r="177" spans="1:18" x14ac:dyDescent="0.25">
      <c r="A177">
        <v>18832917</v>
      </c>
      <c r="B177">
        <v>1000260</v>
      </c>
      <c r="C177" t="s">
        <v>504</v>
      </c>
      <c r="E177">
        <v>3663159044416</v>
      </c>
      <c r="H177" t="s">
        <v>17</v>
      </c>
      <c r="I177">
        <v>85434000</v>
      </c>
      <c r="J177">
        <v>1</v>
      </c>
      <c r="K177">
        <v>4</v>
      </c>
      <c r="L177">
        <v>4</v>
      </c>
      <c r="M177">
        <v>0.14799999999999999</v>
      </c>
      <c r="N177">
        <v>0.13300000000000001</v>
      </c>
      <c r="O177">
        <v>9.5000000000000001E-2</v>
      </c>
      <c r="P177">
        <v>0.38</v>
      </c>
      <c r="Q177">
        <v>2.95</v>
      </c>
      <c r="R177">
        <v>11.8</v>
      </c>
    </row>
    <row r="178" spans="1:18" x14ac:dyDescent="0.25">
      <c r="A178">
        <v>18832917</v>
      </c>
      <c r="B178">
        <v>636148</v>
      </c>
      <c r="C178" t="s">
        <v>505</v>
      </c>
      <c r="E178">
        <v>3331840871732</v>
      </c>
      <c r="H178" t="s">
        <v>97</v>
      </c>
      <c r="I178">
        <v>33030090</v>
      </c>
      <c r="J178">
        <v>6</v>
      </c>
      <c r="K178">
        <v>1</v>
      </c>
      <c r="L178">
        <v>6</v>
      </c>
      <c r="M178">
        <v>1.278</v>
      </c>
      <c r="N178">
        <v>1.1499999999999999</v>
      </c>
      <c r="O178">
        <v>0.504</v>
      </c>
      <c r="P178">
        <v>3.024</v>
      </c>
      <c r="Q178">
        <v>2.96</v>
      </c>
      <c r="R178">
        <v>17.760000000000002</v>
      </c>
    </row>
    <row r="179" spans="1:18" x14ac:dyDescent="0.25">
      <c r="A179">
        <v>18832917</v>
      </c>
      <c r="B179">
        <v>588781</v>
      </c>
      <c r="C179" t="s">
        <v>506</v>
      </c>
      <c r="E179">
        <v>3700652901034</v>
      </c>
      <c r="H179" t="s">
        <v>97</v>
      </c>
      <c r="I179">
        <v>33021010</v>
      </c>
      <c r="J179">
        <v>1</v>
      </c>
      <c r="K179">
        <v>4</v>
      </c>
      <c r="L179">
        <v>4</v>
      </c>
      <c r="M179">
        <v>4.3999999999999997E-2</v>
      </c>
      <c r="N179">
        <v>0.04</v>
      </c>
      <c r="O179">
        <v>6.5000000000000002E-2</v>
      </c>
      <c r="P179">
        <v>0.26</v>
      </c>
      <c r="Q179">
        <v>2.4500000000000002</v>
      </c>
      <c r="R179">
        <v>9.8000000000000007</v>
      </c>
    </row>
    <row r="180" spans="1:18" x14ac:dyDescent="0.25">
      <c r="A180">
        <v>18832917</v>
      </c>
      <c r="B180">
        <v>1000231</v>
      </c>
      <c r="C180" t="s">
        <v>507</v>
      </c>
      <c r="E180">
        <v>3663159044119</v>
      </c>
      <c r="H180" t="s">
        <v>17</v>
      </c>
      <c r="I180">
        <v>85434000</v>
      </c>
      <c r="J180">
        <v>1</v>
      </c>
      <c r="K180">
        <v>2</v>
      </c>
      <c r="L180">
        <v>2</v>
      </c>
      <c r="M180">
        <v>7.3999999999999996E-2</v>
      </c>
      <c r="N180">
        <v>6.7000000000000004E-2</v>
      </c>
      <c r="O180">
        <v>9.5000000000000001E-2</v>
      </c>
      <c r="P180">
        <v>0.19</v>
      </c>
      <c r="Q180">
        <v>2.98</v>
      </c>
      <c r="R180">
        <v>5.96</v>
      </c>
    </row>
    <row r="181" spans="1:18" x14ac:dyDescent="0.25">
      <c r="A181">
        <v>18832917</v>
      </c>
      <c r="B181">
        <v>1000235</v>
      </c>
      <c r="C181" t="s">
        <v>508</v>
      </c>
      <c r="E181">
        <v>3663159044256</v>
      </c>
      <c r="H181" t="s">
        <v>17</v>
      </c>
      <c r="I181">
        <v>85434000</v>
      </c>
      <c r="J181">
        <v>1</v>
      </c>
      <c r="K181">
        <v>2</v>
      </c>
      <c r="L181">
        <v>2</v>
      </c>
      <c r="M181">
        <v>7.3999999999999996E-2</v>
      </c>
      <c r="N181">
        <v>6.7000000000000004E-2</v>
      </c>
      <c r="O181">
        <v>9.5000000000000001E-2</v>
      </c>
      <c r="P181">
        <v>0.19</v>
      </c>
      <c r="Q181">
        <v>2.95</v>
      </c>
      <c r="R181">
        <v>5.9</v>
      </c>
    </row>
    <row r="182" spans="1:18" x14ac:dyDescent="0.25">
      <c r="A182">
        <v>18832917</v>
      </c>
      <c r="B182">
        <v>1006624</v>
      </c>
      <c r="C182" t="s">
        <v>509</v>
      </c>
      <c r="E182">
        <v>3663159048551</v>
      </c>
      <c r="F182">
        <v>3663159048544</v>
      </c>
      <c r="G182">
        <v>3663159023572</v>
      </c>
      <c r="H182" t="s">
        <v>17</v>
      </c>
      <c r="I182">
        <v>85434000</v>
      </c>
      <c r="J182">
        <v>1</v>
      </c>
      <c r="K182">
        <v>5</v>
      </c>
      <c r="L182">
        <v>5</v>
      </c>
      <c r="M182">
        <v>0.18</v>
      </c>
      <c r="N182">
        <v>0.16200000000000001</v>
      </c>
      <c r="O182">
        <v>8.4000000000000005E-2</v>
      </c>
      <c r="P182">
        <v>0.42</v>
      </c>
      <c r="Q182">
        <v>2.95</v>
      </c>
      <c r="R182">
        <v>14.75</v>
      </c>
    </row>
    <row r="183" spans="1:18" x14ac:dyDescent="0.25">
      <c r="A183">
        <v>18832917</v>
      </c>
      <c r="B183">
        <v>1000234</v>
      </c>
      <c r="C183" t="s">
        <v>510</v>
      </c>
      <c r="E183">
        <v>3663159044638</v>
      </c>
      <c r="H183" t="s">
        <v>17</v>
      </c>
      <c r="I183">
        <v>85434000</v>
      </c>
      <c r="J183">
        <v>1</v>
      </c>
      <c r="K183">
        <v>2</v>
      </c>
      <c r="L183">
        <v>2</v>
      </c>
      <c r="M183">
        <v>7.3999999999999996E-2</v>
      </c>
      <c r="N183">
        <v>6.7000000000000004E-2</v>
      </c>
      <c r="O183">
        <v>9.5000000000000001E-2</v>
      </c>
      <c r="P183">
        <v>0.19</v>
      </c>
      <c r="Q183">
        <v>2.95</v>
      </c>
      <c r="R183">
        <v>5.9</v>
      </c>
    </row>
    <row r="184" spans="1:18" x14ac:dyDescent="0.25">
      <c r="A184">
        <v>18832917</v>
      </c>
      <c r="B184">
        <v>982253</v>
      </c>
      <c r="C184" t="s">
        <v>511</v>
      </c>
      <c r="E184">
        <v>8414775015787</v>
      </c>
      <c r="H184" t="s">
        <v>137</v>
      </c>
      <c r="I184">
        <v>48131000</v>
      </c>
      <c r="J184">
        <v>1</v>
      </c>
      <c r="K184">
        <v>8</v>
      </c>
      <c r="L184">
        <v>8</v>
      </c>
      <c r="M184">
        <v>0.496</v>
      </c>
      <c r="N184">
        <v>0.44600000000000001</v>
      </c>
      <c r="O184">
        <v>0.36199999999999999</v>
      </c>
      <c r="P184">
        <v>2.8959999999999999</v>
      </c>
      <c r="Q184">
        <v>0.7</v>
      </c>
      <c r="R184">
        <v>5.6</v>
      </c>
    </row>
    <row r="185" spans="1:18" x14ac:dyDescent="0.25">
      <c r="A185">
        <v>18832917</v>
      </c>
      <c r="B185">
        <v>360203</v>
      </c>
      <c r="C185" t="s">
        <v>512</v>
      </c>
      <c r="E185">
        <v>2090000631791</v>
      </c>
      <c r="H185" t="s">
        <v>200</v>
      </c>
      <c r="I185">
        <v>48201030</v>
      </c>
      <c r="J185">
        <v>10</v>
      </c>
      <c r="K185">
        <v>1</v>
      </c>
      <c r="L185">
        <v>10</v>
      </c>
      <c r="M185">
        <v>4.2</v>
      </c>
      <c r="N185">
        <v>3.78</v>
      </c>
      <c r="O185">
        <v>0.66</v>
      </c>
      <c r="P185">
        <v>6.6</v>
      </c>
      <c r="Q185">
        <v>0.77</v>
      </c>
      <c r="R185">
        <v>7.7</v>
      </c>
    </row>
    <row r="186" spans="1:18" x14ac:dyDescent="0.25">
      <c r="A186">
        <v>18832917</v>
      </c>
      <c r="B186">
        <v>708193</v>
      </c>
      <c r="C186" t="s">
        <v>513</v>
      </c>
      <c r="E186">
        <v>8711252861982</v>
      </c>
      <c r="H186" t="s">
        <v>17</v>
      </c>
      <c r="I186">
        <v>56075011</v>
      </c>
      <c r="J186">
        <v>1</v>
      </c>
      <c r="K186">
        <v>3</v>
      </c>
      <c r="L186">
        <v>3</v>
      </c>
      <c r="M186">
        <v>0.51</v>
      </c>
      <c r="N186">
        <v>0.45900000000000002</v>
      </c>
      <c r="O186">
        <v>1.127</v>
      </c>
      <c r="P186">
        <v>3.3809999999999998</v>
      </c>
      <c r="Q186">
        <v>1.47</v>
      </c>
      <c r="R186">
        <v>4.41</v>
      </c>
    </row>
    <row r="187" spans="1:18" x14ac:dyDescent="0.25">
      <c r="A187">
        <v>18832918</v>
      </c>
      <c r="B187">
        <v>959360</v>
      </c>
      <c r="C187" t="s">
        <v>514</v>
      </c>
      <c r="E187">
        <v>5411708178048</v>
      </c>
      <c r="H187" t="s">
        <v>200</v>
      </c>
      <c r="I187">
        <v>34060000</v>
      </c>
      <c r="J187">
        <v>1</v>
      </c>
      <c r="K187">
        <v>4</v>
      </c>
      <c r="L187">
        <v>4</v>
      </c>
      <c r="M187">
        <v>4.7039999999999997</v>
      </c>
      <c r="N187">
        <v>4.234</v>
      </c>
      <c r="O187">
        <v>3.6280000000000001</v>
      </c>
      <c r="P187">
        <v>14.512</v>
      </c>
      <c r="Q187">
        <v>3.59</v>
      </c>
      <c r="R187">
        <v>14.36</v>
      </c>
    </row>
    <row r="188" spans="1:18" x14ac:dyDescent="0.25">
      <c r="A188">
        <v>18832918</v>
      </c>
      <c r="B188">
        <v>925992</v>
      </c>
      <c r="C188" t="s">
        <v>515</v>
      </c>
      <c r="E188">
        <v>3560238665701</v>
      </c>
      <c r="H188" t="s">
        <v>17</v>
      </c>
      <c r="I188">
        <v>33074900</v>
      </c>
      <c r="J188">
        <v>1</v>
      </c>
      <c r="K188">
        <v>1</v>
      </c>
      <c r="L188">
        <v>1</v>
      </c>
      <c r="M188">
        <v>0.70799999999999996</v>
      </c>
      <c r="N188">
        <v>0.63700000000000001</v>
      </c>
      <c r="O188">
        <v>4.032</v>
      </c>
      <c r="P188">
        <v>4.032</v>
      </c>
      <c r="Q188">
        <v>3.55</v>
      </c>
      <c r="R188">
        <v>3.55</v>
      </c>
    </row>
    <row r="189" spans="1:18" x14ac:dyDescent="0.25">
      <c r="A189">
        <v>18832918</v>
      </c>
      <c r="B189">
        <v>960003</v>
      </c>
      <c r="C189" t="s">
        <v>516</v>
      </c>
      <c r="E189">
        <v>3560238679838</v>
      </c>
      <c r="H189" t="s">
        <v>99</v>
      </c>
      <c r="I189">
        <v>34060000</v>
      </c>
      <c r="J189">
        <v>1</v>
      </c>
      <c r="K189">
        <v>1</v>
      </c>
      <c r="L189">
        <v>1</v>
      </c>
      <c r="M189">
        <v>1.073</v>
      </c>
      <c r="N189">
        <v>0.96599999999999997</v>
      </c>
      <c r="O189">
        <v>2.3660000000000001</v>
      </c>
      <c r="P189">
        <v>2.3660000000000001</v>
      </c>
      <c r="Q189">
        <v>5</v>
      </c>
      <c r="R189">
        <v>5</v>
      </c>
    </row>
    <row r="190" spans="1:18" x14ac:dyDescent="0.25">
      <c r="A190">
        <v>18832918</v>
      </c>
      <c r="B190">
        <v>960004</v>
      </c>
      <c r="C190" t="s">
        <v>517</v>
      </c>
      <c r="E190">
        <v>3560238679876</v>
      </c>
      <c r="H190" t="s">
        <v>99</v>
      </c>
      <c r="I190">
        <v>34060000</v>
      </c>
      <c r="J190">
        <v>1</v>
      </c>
      <c r="K190">
        <v>2</v>
      </c>
      <c r="L190">
        <v>5</v>
      </c>
      <c r="M190">
        <v>5.35</v>
      </c>
      <c r="N190">
        <v>4.8150000000000004</v>
      </c>
      <c r="O190">
        <v>2.3660000000000001</v>
      </c>
      <c r="P190">
        <v>11.83</v>
      </c>
      <c r="Q190">
        <v>5.05</v>
      </c>
      <c r="R190">
        <v>25.25</v>
      </c>
    </row>
    <row r="191" spans="1:18" x14ac:dyDescent="0.25">
      <c r="A191">
        <v>18832918</v>
      </c>
      <c r="B191">
        <v>990838</v>
      </c>
      <c r="C191" t="s">
        <v>518</v>
      </c>
      <c r="E191">
        <v>3560233820167</v>
      </c>
      <c r="H191" t="s">
        <v>17</v>
      </c>
      <c r="I191">
        <v>34060000</v>
      </c>
      <c r="J191">
        <v>1</v>
      </c>
      <c r="K191">
        <v>3</v>
      </c>
      <c r="L191">
        <v>3</v>
      </c>
      <c r="M191">
        <v>2.3340000000000001</v>
      </c>
      <c r="N191">
        <v>2.101</v>
      </c>
      <c r="O191">
        <v>2.004</v>
      </c>
      <c r="P191">
        <v>6.0119999999999996</v>
      </c>
      <c r="Q191">
        <v>3.55</v>
      </c>
      <c r="R191">
        <v>10.65</v>
      </c>
    </row>
    <row r="192" spans="1:18" x14ac:dyDescent="0.25">
      <c r="A192">
        <v>18832918</v>
      </c>
      <c r="B192">
        <v>959338</v>
      </c>
      <c r="C192" t="s">
        <v>519</v>
      </c>
      <c r="E192">
        <v>5411708155575</v>
      </c>
      <c r="H192" t="s">
        <v>200</v>
      </c>
      <c r="I192">
        <v>34060000</v>
      </c>
      <c r="J192">
        <v>1</v>
      </c>
      <c r="K192">
        <v>2</v>
      </c>
      <c r="L192">
        <v>2</v>
      </c>
      <c r="M192">
        <v>0.41199999999999998</v>
      </c>
      <c r="N192">
        <v>0.371</v>
      </c>
      <c r="O192">
        <v>0.54100000000000004</v>
      </c>
      <c r="P192">
        <v>1.0820000000000001</v>
      </c>
      <c r="Q192">
        <v>0.95</v>
      </c>
      <c r="R192">
        <v>1.9</v>
      </c>
    </row>
    <row r="193" spans="1:18" x14ac:dyDescent="0.25">
      <c r="A193">
        <v>18832918</v>
      </c>
      <c r="B193">
        <v>951043</v>
      </c>
      <c r="C193" t="s">
        <v>520</v>
      </c>
      <c r="E193">
        <v>5411708182106</v>
      </c>
      <c r="H193" t="s">
        <v>200</v>
      </c>
      <c r="I193">
        <v>34060000</v>
      </c>
      <c r="J193">
        <v>1</v>
      </c>
      <c r="K193">
        <v>4</v>
      </c>
      <c r="L193">
        <v>4</v>
      </c>
      <c r="M193">
        <v>1.0640000000000001</v>
      </c>
      <c r="N193">
        <v>0.95799999999999996</v>
      </c>
      <c r="O193">
        <v>0.66</v>
      </c>
      <c r="P193">
        <v>2.64</v>
      </c>
      <c r="Q193">
        <v>1.18</v>
      </c>
      <c r="R193">
        <v>4.72</v>
      </c>
    </row>
    <row r="194" spans="1:18" x14ac:dyDescent="0.25">
      <c r="A194">
        <v>18832918</v>
      </c>
      <c r="B194">
        <v>960023</v>
      </c>
      <c r="C194" t="s">
        <v>521</v>
      </c>
      <c r="E194">
        <v>3560238700075</v>
      </c>
      <c r="H194" t="s">
        <v>17</v>
      </c>
      <c r="I194">
        <v>33074900</v>
      </c>
      <c r="J194">
        <v>1</v>
      </c>
      <c r="K194">
        <v>4</v>
      </c>
      <c r="L194">
        <v>4</v>
      </c>
      <c r="M194">
        <v>0.53200000000000003</v>
      </c>
      <c r="N194">
        <v>0.47899999999999998</v>
      </c>
      <c r="O194">
        <v>0.94499999999999995</v>
      </c>
      <c r="P194">
        <v>3.78</v>
      </c>
      <c r="Q194">
        <v>1.52</v>
      </c>
      <c r="R194">
        <v>6.08</v>
      </c>
    </row>
    <row r="195" spans="1:18" x14ac:dyDescent="0.25">
      <c r="A195">
        <v>18832918</v>
      </c>
      <c r="B195">
        <v>793322</v>
      </c>
      <c r="C195" t="s">
        <v>522</v>
      </c>
      <c r="E195">
        <v>3491955513054</v>
      </c>
      <c r="H195" t="s">
        <v>17</v>
      </c>
      <c r="I195">
        <v>96039091</v>
      </c>
      <c r="J195">
        <v>1</v>
      </c>
      <c r="K195">
        <v>3</v>
      </c>
      <c r="L195">
        <v>3</v>
      </c>
      <c r="M195">
        <v>0.45</v>
      </c>
      <c r="N195">
        <v>0.40500000000000003</v>
      </c>
      <c r="O195">
        <v>0.8</v>
      </c>
      <c r="P195">
        <v>2.4</v>
      </c>
      <c r="Q195">
        <v>0.82</v>
      </c>
      <c r="R195">
        <v>2.46</v>
      </c>
    </row>
    <row r="196" spans="1:18" x14ac:dyDescent="0.25">
      <c r="A196">
        <v>18832918</v>
      </c>
      <c r="B196">
        <v>785634</v>
      </c>
      <c r="C196" t="s">
        <v>523</v>
      </c>
      <c r="E196">
        <v>3760100193718</v>
      </c>
      <c r="H196" t="s">
        <v>97</v>
      </c>
      <c r="I196">
        <v>34013000</v>
      </c>
      <c r="J196">
        <v>1</v>
      </c>
      <c r="K196">
        <v>2</v>
      </c>
      <c r="L196">
        <v>2</v>
      </c>
      <c r="M196">
        <v>2.36</v>
      </c>
      <c r="N196">
        <v>2.1240000000000001</v>
      </c>
      <c r="O196">
        <v>2.08</v>
      </c>
      <c r="P196">
        <v>4.16</v>
      </c>
      <c r="Q196">
        <v>1.98</v>
      </c>
      <c r="R196">
        <v>3.96</v>
      </c>
    </row>
    <row r="197" spans="1:18" x14ac:dyDescent="0.25">
      <c r="A197">
        <v>18832918</v>
      </c>
      <c r="B197">
        <v>948442</v>
      </c>
      <c r="C197" t="s">
        <v>524</v>
      </c>
      <c r="E197">
        <v>3031443126955</v>
      </c>
      <c r="H197" t="s">
        <v>525</v>
      </c>
      <c r="I197">
        <v>33012991</v>
      </c>
      <c r="J197">
        <v>1</v>
      </c>
      <c r="K197">
        <v>3</v>
      </c>
      <c r="L197">
        <v>3</v>
      </c>
      <c r="M197">
        <v>6.3E-2</v>
      </c>
      <c r="N197">
        <v>5.7000000000000002E-2</v>
      </c>
      <c r="O197">
        <v>5.7000000000000002E-2</v>
      </c>
      <c r="P197">
        <v>0.17100000000000001</v>
      </c>
      <c r="Q197">
        <v>2.1</v>
      </c>
      <c r="R197">
        <v>6.3</v>
      </c>
    </row>
    <row r="198" spans="1:18" x14ac:dyDescent="0.25">
      <c r="A198">
        <v>18832918</v>
      </c>
      <c r="B198">
        <v>288329</v>
      </c>
      <c r="C198" t="s">
        <v>526</v>
      </c>
      <c r="E198">
        <v>8436097092307</v>
      </c>
      <c r="F198">
        <v>8436097091171</v>
      </c>
      <c r="G198">
        <v>8436097093595</v>
      </c>
      <c r="H198" t="s">
        <v>137</v>
      </c>
      <c r="I198">
        <v>34013000</v>
      </c>
      <c r="J198">
        <v>1</v>
      </c>
      <c r="K198">
        <v>3</v>
      </c>
      <c r="L198">
        <v>3</v>
      </c>
      <c r="M198">
        <v>1.764</v>
      </c>
      <c r="N198">
        <v>1.587</v>
      </c>
      <c r="O198">
        <v>1.155</v>
      </c>
      <c r="P198">
        <v>3.4649999999999999</v>
      </c>
      <c r="Q198">
        <v>0.85</v>
      </c>
      <c r="R198">
        <v>2.5499999999999998</v>
      </c>
    </row>
    <row r="199" spans="1:18" x14ac:dyDescent="0.25">
      <c r="A199">
        <v>18832918</v>
      </c>
      <c r="B199">
        <v>285893</v>
      </c>
      <c r="C199" t="s">
        <v>527</v>
      </c>
      <c r="E199">
        <v>4005800431258</v>
      </c>
      <c r="H199" t="s">
        <v>137</v>
      </c>
      <c r="I199">
        <v>30051000</v>
      </c>
      <c r="J199">
        <v>1</v>
      </c>
      <c r="K199">
        <v>4</v>
      </c>
      <c r="L199">
        <v>4</v>
      </c>
      <c r="M199">
        <v>0.104</v>
      </c>
      <c r="N199">
        <v>9.4E-2</v>
      </c>
      <c r="O199">
        <v>0.26900000000000002</v>
      </c>
      <c r="P199">
        <v>1.0760000000000001</v>
      </c>
      <c r="Q199">
        <v>2.1800000000000002</v>
      </c>
      <c r="R199">
        <v>8.7200000000000006</v>
      </c>
    </row>
    <row r="200" spans="1:18" x14ac:dyDescent="0.25">
      <c r="A200">
        <v>18832918</v>
      </c>
      <c r="B200">
        <v>777049</v>
      </c>
      <c r="C200" t="s">
        <v>528</v>
      </c>
      <c r="E200">
        <v>8053853182609</v>
      </c>
      <c r="H200" t="s">
        <v>203</v>
      </c>
      <c r="I200">
        <v>48182010</v>
      </c>
      <c r="J200">
        <v>1</v>
      </c>
      <c r="K200">
        <v>3</v>
      </c>
      <c r="L200">
        <v>3</v>
      </c>
      <c r="M200">
        <v>0.81</v>
      </c>
      <c r="N200">
        <v>0.72899999999999998</v>
      </c>
      <c r="O200">
        <v>1.8</v>
      </c>
      <c r="P200">
        <v>5.4</v>
      </c>
      <c r="Q200">
        <v>1.01</v>
      </c>
      <c r="R200">
        <v>3.03</v>
      </c>
    </row>
    <row r="201" spans="1:18" x14ac:dyDescent="0.25">
      <c r="A201">
        <v>18832918</v>
      </c>
      <c r="B201">
        <v>793634</v>
      </c>
      <c r="C201" t="s">
        <v>529</v>
      </c>
      <c r="E201">
        <v>4046871009625</v>
      </c>
      <c r="F201">
        <v>4046871003029</v>
      </c>
      <c r="H201" t="s">
        <v>97</v>
      </c>
      <c r="I201">
        <v>56012290</v>
      </c>
      <c r="J201">
        <v>24</v>
      </c>
      <c r="K201">
        <v>1</v>
      </c>
      <c r="L201">
        <v>24</v>
      </c>
      <c r="M201">
        <v>2.04</v>
      </c>
      <c r="N201">
        <v>1.8360000000000001</v>
      </c>
      <c r="O201">
        <v>0.59499999999999997</v>
      </c>
      <c r="P201">
        <v>14.28</v>
      </c>
      <c r="Q201">
        <v>0.3</v>
      </c>
      <c r="R201">
        <v>7.2</v>
      </c>
    </row>
    <row r="202" spans="1:18" x14ac:dyDescent="0.25">
      <c r="A202">
        <v>18832918</v>
      </c>
      <c r="B202">
        <v>348023</v>
      </c>
      <c r="C202" t="s">
        <v>530</v>
      </c>
      <c r="E202">
        <v>3031443127129</v>
      </c>
      <c r="H202" t="s">
        <v>296</v>
      </c>
      <c r="I202">
        <v>21069051</v>
      </c>
      <c r="J202">
        <v>1</v>
      </c>
      <c r="K202">
        <v>2</v>
      </c>
      <c r="L202">
        <v>2</v>
      </c>
      <c r="M202">
        <v>0.08</v>
      </c>
      <c r="N202">
        <v>7.1999999999999995E-2</v>
      </c>
      <c r="O202">
        <v>0.23899999999999999</v>
      </c>
      <c r="P202">
        <v>0.47799999999999998</v>
      </c>
      <c r="Q202">
        <v>1.4</v>
      </c>
      <c r="R202">
        <v>2.8</v>
      </c>
    </row>
    <row r="203" spans="1:18" x14ac:dyDescent="0.25">
      <c r="A203">
        <v>18832918</v>
      </c>
      <c r="B203">
        <v>643659</v>
      </c>
      <c r="C203" t="s">
        <v>531</v>
      </c>
      <c r="E203">
        <v>3491955034733</v>
      </c>
      <c r="F203">
        <v>3491953809494</v>
      </c>
      <c r="G203">
        <v>3491955546090</v>
      </c>
      <c r="H203" t="s">
        <v>17</v>
      </c>
      <c r="I203">
        <v>57050030</v>
      </c>
      <c r="J203">
        <v>1</v>
      </c>
      <c r="K203">
        <v>2</v>
      </c>
      <c r="L203">
        <v>2</v>
      </c>
      <c r="M203">
        <v>0.746</v>
      </c>
      <c r="N203">
        <v>0.67100000000000004</v>
      </c>
      <c r="O203">
        <v>3.0489999999999999</v>
      </c>
      <c r="P203">
        <v>6.0979999999999999</v>
      </c>
      <c r="Q203">
        <v>2.02</v>
      </c>
      <c r="R203">
        <v>4.04</v>
      </c>
    </row>
    <row r="204" spans="1:18" x14ac:dyDescent="0.25">
      <c r="A204">
        <v>18832918</v>
      </c>
      <c r="B204">
        <v>986843</v>
      </c>
      <c r="C204" t="s">
        <v>532</v>
      </c>
      <c r="E204">
        <v>3560231533977</v>
      </c>
      <c r="H204" t="s">
        <v>17</v>
      </c>
      <c r="I204">
        <v>44191900</v>
      </c>
      <c r="J204">
        <v>1</v>
      </c>
      <c r="K204">
        <v>1</v>
      </c>
      <c r="L204">
        <v>1</v>
      </c>
      <c r="M204">
        <v>0.35499999999999998</v>
      </c>
      <c r="N204">
        <v>0.32</v>
      </c>
      <c r="O204">
        <v>3.12</v>
      </c>
      <c r="P204">
        <v>3.12</v>
      </c>
      <c r="Q204">
        <v>2.78</v>
      </c>
      <c r="R204">
        <v>2.78</v>
      </c>
    </row>
    <row r="205" spans="1:18" x14ac:dyDescent="0.25">
      <c r="A205">
        <v>18832918</v>
      </c>
      <c r="B205">
        <v>683169</v>
      </c>
      <c r="C205" t="s">
        <v>533</v>
      </c>
      <c r="H205" t="s">
        <v>203</v>
      </c>
      <c r="I205">
        <v>64019290</v>
      </c>
      <c r="J205">
        <v>2</v>
      </c>
      <c r="K205">
        <v>1</v>
      </c>
      <c r="L205">
        <v>2</v>
      </c>
      <c r="M205">
        <v>1.9039999999999999</v>
      </c>
      <c r="N205">
        <v>1.714</v>
      </c>
      <c r="O205">
        <v>6.2190000000000003</v>
      </c>
      <c r="P205">
        <v>12.438000000000001</v>
      </c>
      <c r="Q205">
        <v>4.32</v>
      </c>
      <c r="R205">
        <v>8.64</v>
      </c>
    </row>
    <row r="206" spans="1:18" x14ac:dyDescent="0.25">
      <c r="A206">
        <v>18832918</v>
      </c>
      <c r="B206">
        <v>293149</v>
      </c>
      <c r="C206" t="s">
        <v>534</v>
      </c>
      <c r="H206" t="s">
        <v>203</v>
      </c>
      <c r="I206">
        <v>64019290</v>
      </c>
      <c r="J206">
        <v>1</v>
      </c>
      <c r="K206">
        <v>2</v>
      </c>
      <c r="L206">
        <v>2</v>
      </c>
      <c r="M206">
        <v>3.0390000000000001</v>
      </c>
      <c r="N206">
        <v>2.7349999999999999</v>
      </c>
      <c r="O206">
        <v>9</v>
      </c>
      <c r="P206">
        <v>18</v>
      </c>
      <c r="Q206">
        <v>5.09</v>
      </c>
      <c r="R206">
        <v>10.18</v>
      </c>
    </row>
    <row r="207" spans="1:18" x14ac:dyDescent="0.25">
      <c r="A207">
        <v>18832918</v>
      </c>
      <c r="B207">
        <v>303318</v>
      </c>
      <c r="C207" t="s">
        <v>535</v>
      </c>
      <c r="H207" t="s">
        <v>137</v>
      </c>
      <c r="I207">
        <v>64041910</v>
      </c>
      <c r="J207">
        <v>1</v>
      </c>
      <c r="K207">
        <v>1</v>
      </c>
      <c r="L207">
        <v>1</v>
      </c>
      <c r="M207">
        <v>0.59499999999999997</v>
      </c>
      <c r="N207">
        <v>0.53600000000000003</v>
      </c>
      <c r="O207">
        <v>4.3410000000000002</v>
      </c>
      <c r="P207">
        <v>4.3410000000000002</v>
      </c>
      <c r="Q207">
        <v>3.2</v>
      </c>
      <c r="R207">
        <v>3.2</v>
      </c>
    </row>
    <row r="208" spans="1:18" x14ac:dyDescent="0.25">
      <c r="A208">
        <v>18832918</v>
      </c>
      <c r="B208">
        <v>679169</v>
      </c>
      <c r="C208" t="s">
        <v>536</v>
      </c>
      <c r="H208" t="s">
        <v>17</v>
      </c>
      <c r="I208">
        <v>64041910</v>
      </c>
      <c r="J208">
        <v>2</v>
      </c>
      <c r="K208">
        <v>1</v>
      </c>
      <c r="L208">
        <v>2</v>
      </c>
      <c r="M208">
        <v>0.61799999999999999</v>
      </c>
      <c r="N208">
        <v>0.55600000000000005</v>
      </c>
      <c r="O208">
        <v>3.0249999999999999</v>
      </c>
      <c r="P208">
        <v>6.05</v>
      </c>
      <c r="Q208">
        <v>2.78</v>
      </c>
      <c r="R208">
        <v>5.56</v>
      </c>
    </row>
    <row r="209" spans="1:18" x14ac:dyDescent="0.25">
      <c r="A209">
        <v>18832918</v>
      </c>
      <c r="B209">
        <v>318753</v>
      </c>
      <c r="C209" t="s">
        <v>537</v>
      </c>
      <c r="H209" t="s">
        <v>448</v>
      </c>
      <c r="I209">
        <v>64029931</v>
      </c>
      <c r="J209">
        <v>1</v>
      </c>
      <c r="K209">
        <v>1</v>
      </c>
      <c r="L209">
        <v>1</v>
      </c>
      <c r="M209">
        <v>0.34699999999999998</v>
      </c>
      <c r="N209">
        <v>0.312</v>
      </c>
      <c r="O209">
        <v>4.2629999999999999</v>
      </c>
      <c r="P209">
        <v>4.2629999999999999</v>
      </c>
      <c r="Q209">
        <v>2.61</v>
      </c>
      <c r="R209">
        <v>2.61</v>
      </c>
    </row>
    <row r="210" spans="1:18" x14ac:dyDescent="0.25">
      <c r="A210">
        <v>18832918</v>
      </c>
      <c r="B210">
        <v>962957</v>
      </c>
      <c r="C210" t="s">
        <v>538</v>
      </c>
      <c r="E210">
        <v>3491955149178</v>
      </c>
      <c r="H210" t="s">
        <v>17</v>
      </c>
      <c r="I210">
        <v>73239300</v>
      </c>
      <c r="J210">
        <v>1</v>
      </c>
      <c r="K210">
        <v>2</v>
      </c>
      <c r="L210">
        <v>2</v>
      </c>
      <c r="M210">
        <v>1.1419999999999999</v>
      </c>
      <c r="N210">
        <v>1.028</v>
      </c>
      <c r="O210">
        <v>7.3280000000000003</v>
      </c>
      <c r="P210">
        <v>14.656000000000001</v>
      </c>
      <c r="Q210">
        <v>5.97</v>
      </c>
      <c r="R210">
        <v>11.94</v>
      </c>
    </row>
    <row r="211" spans="1:18" x14ac:dyDescent="0.25">
      <c r="A211">
        <v>18832918</v>
      </c>
      <c r="B211">
        <v>354301</v>
      </c>
      <c r="C211" t="s">
        <v>539</v>
      </c>
      <c r="H211" t="s">
        <v>17</v>
      </c>
      <c r="I211">
        <v>64041910</v>
      </c>
      <c r="J211">
        <v>2</v>
      </c>
      <c r="K211">
        <v>1</v>
      </c>
      <c r="L211">
        <v>2</v>
      </c>
      <c r="M211">
        <v>0.44</v>
      </c>
      <c r="N211">
        <v>0.39600000000000002</v>
      </c>
      <c r="O211">
        <v>2.8410000000000002</v>
      </c>
      <c r="P211">
        <v>5.6820000000000004</v>
      </c>
      <c r="Q211">
        <v>2.21</v>
      </c>
      <c r="R211">
        <v>4.42</v>
      </c>
    </row>
    <row r="212" spans="1:18" x14ac:dyDescent="0.25">
      <c r="A212">
        <v>18832918</v>
      </c>
      <c r="B212">
        <v>1019071</v>
      </c>
      <c r="C212" t="s">
        <v>540</v>
      </c>
      <c r="E212">
        <v>5407007987467</v>
      </c>
      <c r="H212" t="s">
        <v>448</v>
      </c>
      <c r="I212">
        <v>63022100</v>
      </c>
      <c r="J212">
        <v>1</v>
      </c>
      <c r="K212">
        <v>2</v>
      </c>
      <c r="L212">
        <v>2</v>
      </c>
      <c r="M212">
        <v>1.94</v>
      </c>
      <c r="N212">
        <v>1.746</v>
      </c>
      <c r="O212">
        <v>4.9850000000000003</v>
      </c>
      <c r="P212">
        <v>9.9700000000000006</v>
      </c>
      <c r="Q212">
        <v>3.07</v>
      </c>
      <c r="R212">
        <v>6.14</v>
      </c>
    </row>
    <row r="213" spans="1:18" x14ac:dyDescent="0.25">
      <c r="A213">
        <v>18832918</v>
      </c>
      <c r="B213">
        <v>393357</v>
      </c>
      <c r="C213" t="s">
        <v>541</v>
      </c>
      <c r="E213">
        <v>2090000725346</v>
      </c>
      <c r="H213" t="s">
        <v>17</v>
      </c>
      <c r="I213">
        <v>63023100</v>
      </c>
      <c r="J213">
        <v>1</v>
      </c>
      <c r="K213">
        <v>1</v>
      </c>
      <c r="L213">
        <v>1</v>
      </c>
      <c r="M213">
        <v>0.628</v>
      </c>
      <c r="N213">
        <v>0.56499999999999995</v>
      </c>
      <c r="O213">
        <v>4.32</v>
      </c>
      <c r="P213">
        <v>4.32</v>
      </c>
      <c r="Q213">
        <v>4.82</v>
      </c>
      <c r="R213">
        <v>4.82</v>
      </c>
    </row>
    <row r="214" spans="1:18" x14ac:dyDescent="0.25">
      <c r="A214">
        <v>18832918</v>
      </c>
      <c r="B214">
        <v>981811</v>
      </c>
      <c r="C214" t="s">
        <v>542</v>
      </c>
      <c r="E214">
        <v>5414987432511</v>
      </c>
      <c r="H214" t="s">
        <v>101</v>
      </c>
      <c r="I214">
        <v>63022290</v>
      </c>
      <c r="J214">
        <v>1</v>
      </c>
      <c r="K214">
        <v>2</v>
      </c>
      <c r="L214">
        <v>2</v>
      </c>
      <c r="M214">
        <v>1.6</v>
      </c>
      <c r="N214">
        <v>1.44</v>
      </c>
      <c r="O214">
        <v>5.3659999999999997</v>
      </c>
      <c r="P214">
        <v>10.731999999999999</v>
      </c>
      <c r="Q214">
        <v>6.29</v>
      </c>
      <c r="R214">
        <v>12.58</v>
      </c>
    </row>
    <row r="215" spans="1:18" x14ac:dyDescent="0.25">
      <c r="A215">
        <v>18832918</v>
      </c>
      <c r="B215">
        <v>929133</v>
      </c>
      <c r="C215" t="s">
        <v>543</v>
      </c>
      <c r="E215">
        <v>3700003575778</v>
      </c>
      <c r="H215" t="s">
        <v>17</v>
      </c>
      <c r="I215">
        <v>96050000</v>
      </c>
      <c r="J215">
        <v>1</v>
      </c>
      <c r="K215">
        <v>3</v>
      </c>
      <c r="L215">
        <v>3</v>
      </c>
      <c r="M215">
        <v>0.219</v>
      </c>
      <c r="N215">
        <v>0.19700000000000001</v>
      </c>
      <c r="O215">
        <v>0.9</v>
      </c>
      <c r="P215">
        <v>2.7</v>
      </c>
      <c r="Q215">
        <v>1.8</v>
      </c>
      <c r="R215">
        <v>5.4</v>
      </c>
    </row>
    <row r="216" spans="1:18" x14ac:dyDescent="0.25">
      <c r="A216">
        <v>18832918</v>
      </c>
      <c r="B216">
        <v>1016557</v>
      </c>
      <c r="C216" t="s">
        <v>544</v>
      </c>
      <c r="E216">
        <v>3331849020483</v>
      </c>
      <c r="H216" t="s">
        <v>97</v>
      </c>
      <c r="I216">
        <v>33049900</v>
      </c>
      <c r="J216">
        <v>1</v>
      </c>
      <c r="K216">
        <v>4</v>
      </c>
      <c r="L216">
        <v>4</v>
      </c>
      <c r="M216">
        <v>0.13200000000000001</v>
      </c>
      <c r="N216">
        <v>0.11899999999999999</v>
      </c>
      <c r="O216">
        <v>0.14799999999999999</v>
      </c>
      <c r="P216">
        <v>0.59199999999999997</v>
      </c>
      <c r="Q216">
        <v>3.69</v>
      </c>
      <c r="R216">
        <v>14.76</v>
      </c>
    </row>
    <row r="217" spans="1:18" x14ac:dyDescent="0.25">
      <c r="A217">
        <v>18832918</v>
      </c>
      <c r="B217">
        <v>707053</v>
      </c>
      <c r="C217" t="s">
        <v>545</v>
      </c>
      <c r="E217">
        <v>3491953710691</v>
      </c>
      <c r="H217" t="s">
        <v>17</v>
      </c>
      <c r="I217">
        <v>63029390</v>
      </c>
      <c r="J217">
        <v>1</v>
      </c>
      <c r="K217">
        <v>5</v>
      </c>
      <c r="L217">
        <v>5</v>
      </c>
      <c r="M217">
        <v>0.25</v>
      </c>
      <c r="N217">
        <v>0.22500000000000001</v>
      </c>
      <c r="O217">
        <v>0.64900000000000002</v>
      </c>
      <c r="P217">
        <v>3.2450000000000001</v>
      </c>
      <c r="Q217">
        <v>0.21</v>
      </c>
      <c r="R217">
        <v>1.05</v>
      </c>
    </row>
    <row r="218" spans="1:18" x14ac:dyDescent="0.25">
      <c r="A218">
        <v>18832918</v>
      </c>
      <c r="B218">
        <v>348194</v>
      </c>
      <c r="C218" t="s">
        <v>546</v>
      </c>
      <c r="E218">
        <v>3700003512063</v>
      </c>
      <c r="H218" t="s">
        <v>17</v>
      </c>
      <c r="I218">
        <v>63029390</v>
      </c>
      <c r="J218">
        <v>1</v>
      </c>
      <c r="K218">
        <v>8</v>
      </c>
      <c r="L218">
        <v>8</v>
      </c>
      <c r="M218">
        <v>0.26400000000000001</v>
      </c>
      <c r="N218">
        <v>0.23799999999999999</v>
      </c>
      <c r="O218">
        <v>0.5</v>
      </c>
      <c r="P218">
        <v>4</v>
      </c>
      <c r="Q218">
        <v>0.81</v>
      </c>
      <c r="R218">
        <v>6.48</v>
      </c>
    </row>
    <row r="219" spans="1:18" x14ac:dyDescent="0.25">
      <c r="A219">
        <v>18832918</v>
      </c>
      <c r="B219">
        <v>682645</v>
      </c>
      <c r="C219" t="s">
        <v>547</v>
      </c>
      <c r="E219">
        <v>8436097093656</v>
      </c>
      <c r="H219" t="s">
        <v>137</v>
      </c>
      <c r="I219">
        <v>33049900</v>
      </c>
      <c r="J219">
        <v>1</v>
      </c>
      <c r="K219">
        <v>4</v>
      </c>
      <c r="L219">
        <v>4</v>
      </c>
      <c r="M219">
        <v>0.53200000000000003</v>
      </c>
      <c r="N219">
        <v>0.47899999999999998</v>
      </c>
      <c r="O219">
        <v>0.26</v>
      </c>
      <c r="P219">
        <v>1.04</v>
      </c>
      <c r="Q219">
        <v>0.66</v>
      </c>
      <c r="R219">
        <v>2.64</v>
      </c>
    </row>
    <row r="220" spans="1:18" x14ac:dyDescent="0.25">
      <c r="A220">
        <v>18832918</v>
      </c>
      <c r="B220">
        <v>1020052</v>
      </c>
      <c r="C220" t="s">
        <v>548</v>
      </c>
      <c r="E220">
        <v>3563210035233</v>
      </c>
      <c r="F220">
        <v>3563210032188</v>
      </c>
      <c r="H220" t="s">
        <v>137</v>
      </c>
      <c r="I220">
        <v>33012949</v>
      </c>
      <c r="J220">
        <v>1</v>
      </c>
      <c r="K220">
        <v>2</v>
      </c>
      <c r="L220">
        <v>7</v>
      </c>
      <c r="M220">
        <v>0.38500000000000001</v>
      </c>
      <c r="N220">
        <v>0.34699999999999998</v>
      </c>
      <c r="O220">
        <v>0.14199999999999999</v>
      </c>
      <c r="P220">
        <v>0.99399999999999999</v>
      </c>
      <c r="Q220">
        <v>2.11</v>
      </c>
      <c r="R220">
        <v>14.77</v>
      </c>
    </row>
    <row r="221" spans="1:18" x14ac:dyDescent="0.25">
      <c r="A221">
        <v>18832918</v>
      </c>
      <c r="B221">
        <v>625318</v>
      </c>
      <c r="C221" t="s">
        <v>549</v>
      </c>
      <c r="E221">
        <v>3563210013743</v>
      </c>
      <c r="H221" t="s">
        <v>97</v>
      </c>
      <c r="I221">
        <v>33079000</v>
      </c>
      <c r="J221">
        <v>1</v>
      </c>
      <c r="K221">
        <v>4</v>
      </c>
      <c r="L221">
        <v>4</v>
      </c>
      <c r="M221">
        <v>1.0840000000000001</v>
      </c>
      <c r="N221">
        <v>0.97599999999999998</v>
      </c>
      <c r="O221">
        <v>0.46100000000000002</v>
      </c>
      <c r="P221">
        <v>1.8440000000000001</v>
      </c>
      <c r="Q221">
        <v>4.63</v>
      </c>
      <c r="R221">
        <v>18.52</v>
      </c>
    </row>
    <row r="222" spans="1:18" x14ac:dyDescent="0.25">
      <c r="A222">
        <v>18832918</v>
      </c>
      <c r="B222">
        <v>661610</v>
      </c>
      <c r="C222" t="s">
        <v>550</v>
      </c>
      <c r="E222">
        <v>40058153</v>
      </c>
      <c r="F222">
        <v>42429449</v>
      </c>
      <c r="H222" t="s">
        <v>54</v>
      </c>
      <c r="I222">
        <v>33049900</v>
      </c>
      <c r="J222">
        <v>10</v>
      </c>
      <c r="K222">
        <v>1</v>
      </c>
      <c r="L222">
        <v>10</v>
      </c>
      <c r="M222">
        <v>0.36</v>
      </c>
      <c r="N222">
        <v>0.32400000000000001</v>
      </c>
      <c r="O222">
        <v>6.4000000000000001E-2</v>
      </c>
      <c r="P222">
        <v>0.64</v>
      </c>
      <c r="Q222">
        <v>0.43</v>
      </c>
      <c r="R222">
        <v>4.3</v>
      </c>
    </row>
    <row r="223" spans="1:18" x14ac:dyDescent="0.25">
      <c r="A223">
        <v>18832918</v>
      </c>
      <c r="B223">
        <v>617280</v>
      </c>
      <c r="C223" t="s">
        <v>551</v>
      </c>
      <c r="E223">
        <v>3549620007039</v>
      </c>
      <c r="H223" t="s">
        <v>97</v>
      </c>
      <c r="I223">
        <v>33059000</v>
      </c>
      <c r="J223">
        <v>1</v>
      </c>
      <c r="K223">
        <v>2</v>
      </c>
      <c r="L223">
        <v>2</v>
      </c>
      <c r="M223">
        <v>1.1359999999999999</v>
      </c>
      <c r="N223">
        <v>1.022</v>
      </c>
      <c r="O223">
        <v>0.96</v>
      </c>
      <c r="P223">
        <v>1.92</v>
      </c>
      <c r="Q223">
        <v>2.3199999999999998</v>
      </c>
      <c r="R223">
        <v>4.6399999999999997</v>
      </c>
    </row>
    <row r="224" spans="1:18" x14ac:dyDescent="0.25">
      <c r="A224">
        <v>18832918</v>
      </c>
      <c r="B224">
        <v>789198</v>
      </c>
      <c r="C224" t="s">
        <v>552</v>
      </c>
      <c r="E224">
        <v>3031440002368</v>
      </c>
      <c r="H224" t="s">
        <v>17</v>
      </c>
      <c r="I224">
        <v>96151900</v>
      </c>
      <c r="J224">
        <v>5</v>
      </c>
      <c r="K224">
        <v>1</v>
      </c>
      <c r="L224">
        <v>5</v>
      </c>
      <c r="M224">
        <v>0.11</v>
      </c>
      <c r="N224">
        <v>9.9000000000000005E-2</v>
      </c>
      <c r="O224">
        <v>0.24</v>
      </c>
      <c r="P224">
        <v>1.2</v>
      </c>
      <c r="Q224">
        <v>1.22</v>
      </c>
      <c r="R224">
        <v>6.1</v>
      </c>
    </row>
    <row r="225" spans="1:18" x14ac:dyDescent="0.25">
      <c r="A225">
        <v>18832918</v>
      </c>
      <c r="B225">
        <v>785625</v>
      </c>
      <c r="C225" t="s">
        <v>553</v>
      </c>
      <c r="E225">
        <v>3760100183450</v>
      </c>
      <c r="H225" t="s">
        <v>97</v>
      </c>
      <c r="I225">
        <v>33051000</v>
      </c>
      <c r="J225">
        <v>1</v>
      </c>
      <c r="K225">
        <v>2</v>
      </c>
      <c r="L225">
        <v>2</v>
      </c>
      <c r="M225">
        <v>2.3319999999999999</v>
      </c>
      <c r="N225">
        <v>2.0990000000000002</v>
      </c>
      <c r="O225">
        <v>2.08</v>
      </c>
      <c r="P225">
        <v>4.16</v>
      </c>
      <c r="Q225">
        <v>1.98</v>
      </c>
      <c r="R225">
        <v>3.96</v>
      </c>
    </row>
    <row r="226" spans="1:18" x14ac:dyDescent="0.25">
      <c r="A226">
        <v>18832918</v>
      </c>
      <c r="B226">
        <v>953554</v>
      </c>
      <c r="C226" t="s">
        <v>554</v>
      </c>
      <c r="E226">
        <v>3760100203783</v>
      </c>
      <c r="H226" t="s">
        <v>97</v>
      </c>
      <c r="I226">
        <v>33051000</v>
      </c>
      <c r="J226">
        <v>1</v>
      </c>
      <c r="K226">
        <v>2</v>
      </c>
      <c r="L226">
        <v>2</v>
      </c>
      <c r="M226">
        <v>2.3260000000000001</v>
      </c>
      <c r="N226">
        <v>2.093</v>
      </c>
      <c r="O226">
        <v>2.2749999999999999</v>
      </c>
      <c r="P226">
        <v>4.55</v>
      </c>
      <c r="Q226">
        <v>1.97</v>
      </c>
      <c r="R226">
        <v>3.94</v>
      </c>
    </row>
    <row r="227" spans="1:18" x14ac:dyDescent="0.25">
      <c r="A227">
        <v>18832918</v>
      </c>
      <c r="B227">
        <v>592995</v>
      </c>
      <c r="C227" t="s">
        <v>555</v>
      </c>
      <c r="E227">
        <v>3760100682625</v>
      </c>
      <c r="H227" t="s">
        <v>97</v>
      </c>
      <c r="I227">
        <v>33049900</v>
      </c>
      <c r="J227">
        <v>1</v>
      </c>
      <c r="K227">
        <v>2</v>
      </c>
      <c r="L227">
        <v>2</v>
      </c>
      <c r="M227">
        <v>2.6760000000000002</v>
      </c>
      <c r="N227">
        <v>2.4079999999999999</v>
      </c>
      <c r="O227">
        <v>2.3159999999999998</v>
      </c>
      <c r="P227">
        <v>4.6319999999999997</v>
      </c>
      <c r="Q227">
        <v>1.56</v>
      </c>
      <c r="R227">
        <v>3.12</v>
      </c>
    </row>
    <row r="228" spans="1:18" x14ac:dyDescent="0.25">
      <c r="A228">
        <v>18832918</v>
      </c>
      <c r="B228">
        <v>317447</v>
      </c>
      <c r="C228" t="s">
        <v>556</v>
      </c>
      <c r="E228">
        <v>3760100680577</v>
      </c>
      <c r="H228" t="s">
        <v>97</v>
      </c>
      <c r="I228">
        <v>33049900</v>
      </c>
      <c r="J228">
        <v>1</v>
      </c>
      <c r="K228">
        <v>3</v>
      </c>
      <c r="L228">
        <v>3</v>
      </c>
      <c r="M228">
        <v>0.879</v>
      </c>
      <c r="N228">
        <v>0.79100000000000004</v>
      </c>
      <c r="O228">
        <v>0.53200000000000003</v>
      </c>
      <c r="P228">
        <v>1.5960000000000001</v>
      </c>
      <c r="Q228">
        <v>1.01</v>
      </c>
      <c r="R228">
        <v>3.03</v>
      </c>
    </row>
    <row r="229" spans="1:18" x14ac:dyDescent="0.25">
      <c r="A229">
        <v>18832918</v>
      </c>
      <c r="B229">
        <v>639741</v>
      </c>
      <c r="C229" t="s">
        <v>557</v>
      </c>
      <c r="E229">
        <v>5411708156572</v>
      </c>
      <c r="H229" t="s">
        <v>206</v>
      </c>
      <c r="I229">
        <v>34060000</v>
      </c>
      <c r="J229">
        <v>1</v>
      </c>
      <c r="K229">
        <v>2</v>
      </c>
      <c r="L229">
        <v>2</v>
      </c>
      <c r="M229">
        <v>1.732</v>
      </c>
      <c r="N229">
        <v>1.5589999999999999</v>
      </c>
      <c r="O229">
        <v>1.41</v>
      </c>
      <c r="P229">
        <v>2.82</v>
      </c>
      <c r="Q229">
        <v>2.4</v>
      </c>
      <c r="R229">
        <v>4.8</v>
      </c>
    </row>
    <row r="230" spans="1:18" x14ac:dyDescent="0.25">
      <c r="A230">
        <v>18832918</v>
      </c>
      <c r="B230">
        <v>771017</v>
      </c>
      <c r="C230" t="s">
        <v>558</v>
      </c>
      <c r="E230">
        <v>2000006856531</v>
      </c>
      <c r="F230">
        <v>3491955444884</v>
      </c>
      <c r="H230" t="s">
        <v>17</v>
      </c>
      <c r="I230">
        <v>63014090</v>
      </c>
      <c r="J230">
        <v>1</v>
      </c>
      <c r="K230">
        <v>2</v>
      </c>
      <c r="L230">
        <v>2</v>
      </c>
      <c r="M230">
        <v>2.2799999999999998</v>
      </c>
      <c r="N230">
        <v>2.052</v>
      </c>
      <c r="O230">
        <v>8.3640000000000008</v>
      </c>
      <c r="P230">
        <v>16.728000000000002</v>
      </c>
      <c r="Q230">
        <v>6.83</v>
      </c>
      <c r="R230">
        <v>13.66</v>
      </c>
    </row>
    <row r="231" spans="1:18" x14ac:dyDescent="0.25">
      <c r="A231">
        <v>18832918</v>
      </c>
      <c r="B231">
        <v>771054</v>
      </c>
      <c r="C231" t="s">
        <v>559</v>
      </c>
      <c r="E231">
        <v>2000006856524</v>
      </c>
      <c r="H231" t="s">
        <v>17</v>
      </c>
      <c r="I231">
        <v>63014090</v>
      </c>
      <c r="J231">
        <v>1</v>
      </c>
      <c r="K231">
        <v>1</v>
      </c>
      <c r="L231">
        <v>1</v>
      </c>
      <c r="M231">
        <v>1.276</v>
      </c>
      <c r="N231">
        <v>1.1479999999999999</v>
      </c>
      <c r="O231">
        <v>12.1</v>
      </c>
      <c r="P231">
        <v>12.1</v>
      </c>
      <c r="Q231">
        <v>6.04</v>
      </c>
      <c r="R231">
        <v>6.04</v>
      </c>
    </row>
    <row r="232" spans="1:18" x14ac:dyDescent="0.25">
      <c r="A232">
        <v>18832918</v>
      </c>
      <c r="B232">
        <v>776705</v>
      </c>
      <c r="C232" t="s">
        <v>560</v>
      </c>
      <c r="E232">
        <v>3399611800701</v>
      </c>
      <c r="H232" t="s">
        <v>448</v>
      </c>
      <c r="I232">
        <v>55111000</v>
      </c>
      <c r="J232">
        <v>10</v>
      </c>
      <c r="K232">
        <v>1</v>
      </c>
      <c r="L232">
        <v>10</v>
      </c>
      <c r="M232">
        <v>0.59</v>
      </c>
      <c r="N232">
        <v>0.53100000000000003</v>
      </c>
      <c r="O232">
        <v>0.66</v>
      </c>
      <c r="P232">
        <v>6.6</v>
      </c>
      <c r="Q232">
        <v>1.34</v>
      </c>
      <c r="R232">
        <v>13.4</v>
      </c>
    </row>
    <row r="233" spans="1:18" x14ac:dyDescent="0.25">
      <c r="A233">
        <v>18832918</v>
      </c>
      <c r="B233">
        <v>963650</v>
      </c>
      <c r="C233" t="s">
        <v>561</v>
      </c>
      <c r="E233">
        <v>3399611800183</v>
      </c>
      <c r="H233" t="s">
        <v>17</v>
      </c>
      <c r="I233">
        <v>56060010</v>
      </c>
      <c r="J233">
        <v>10</v>
      </c>
      <c r="K233">
        <v>1</v>
      </c>
      <c r="L233">
        <v>10</v>
      </c>
      <c r="M233">
        <v>0.57999999999999996</v>
      </c>
      <c r="N233">
        <v>0.52200000000000002</v>
      </c>
      <c r="O233">
        <v>0.60399999999999998</v>
      </c>
      <c r="P233">
        <v>6.04</v>
      </c>
      <c r="Q233">
        <v>1.34</v>
      </c>
      <c r="R233">
        <v>13.4</v>
      </c>
    </row>
    <row r="234" spans="1:18" x14ac:dyDescent="0.25">
      <c r="A234">
        <v>18832918</v>
      </c>
      <c r="B234">
        <v>999674</v>
      </c>
      <c r="C234" t="s">
        <v>562</v>
      </c>
      <c r="E234">
        <v>3399611800367</v>
      </c>
      <c r="H234" t="s">
        <v>17</v>
      </c>
      <c r="I234">
        <v>56060010</v>
      </c>
      <c r="J234">
        <v>1</v>
      </c>
      <c r="K234">
        <v>7</v>
      </c>
      <c r="L234">
        <v>16</v>
      </c>
      <c r="M234">
        <v>0.96</v>
      </c>
      <c r="N234">
        <v>0.86399999999999999</v>
      </c>
      <c r="O234">
        <v>0.68300000000000005</v>
      </c>
      <c r="P234">
        <v>10.928000000000001</v>
      </c>
      <c r="Q234">
        <v>1.34</v>
      </c>
      <c r="R234">
        <v>21.44</v>
      </c>
    </row>
    <row r="235" spans="1:18" x14ac:dyDescent="0.25">
      <c r="A235">
        <v>18832918</v>
      </c>
      <c r="B235">
        <v>999669</v>
      </c>
      <c r="C235" t="s">
        <v>563</v>
      </c>
      <c r="E235">
        <v>3399611800947</v>
      </c>
      <c r="H235" t="s">
        <v>17</v>
      </c>
      <c r="I235">
        <v>56060010</v>
      </c>
      <c r="J235">
        <v>1</v>
      </c>
      <c r="K235">
        <v>7</v>
      </c>
      <c r="L235">
        <v>16</v>
      </c>
      <c r="M235">
        <v>0.91200000000000003</v>
      </c>
      <c r="N235">
        <v>0.82099999999999995</v>
      </c>
      <c r="O235">
        <v>0.751</v>
      </c>
      <c r="P235">
        <v>12.016</v>
      </c>
      <c r="Q235">
        <v>1.34</v>
      </c>
      <c r="R235">
        <v>21.44</v>
      </c>
    </row>
    <row r="236" spans="1:18" x14ac:dyDescent="0.25">
      <c r="A236">
        <v>18834822</v>
      </c>
      <c r="B236">
        <v>914452</v>
      </c>
      <c r="C236" t="s">
        <v>564</v>
      </c>
      <c r="E236">
        <v>3491952749432</v>
      </c>
      <c r="H236" t="s">
        <v>17</v>
      </c>
      <c r="I236">
        <v>68030090</v>
      </c>
      <c r="J236">
        <v>100</v>
      </c>
      <c r="K236">
        <v>17</v>
      </c>
      <c r="L236">
        <v>116</v>
      </c>
      <c r="M236">
        <v>107.88</v>
      </c>
      <c r="N236">
        <v>97.091999999999999</v>
      </c>
      <c r="O236">
        <v>0.66800000000000004</v>
      </c>
      <c r="P236">
        <v>77.488</v>
      </c>
      <c r="Q236">
        <v>0.83</v>
      </c>
      <c r="R236">
        <v>96.28</v>
      </c>
    </row>
    <row r="237" spans="1:18" x14ac:dyDescent="0.25">
      <c r="A237">
        <v>18726849</v>
      </c>
      <c r="B237">
        <v>983316</v>
      </c>
      <c r="C237" t="s">
        <v>16</v>
      </c>
      <c r="E237" t="str">
        <f>"3491955650445"</f>
        <v>3491955650445</v>
      </c>
      <c r="H237" t="s">
        <v>17</v>
      </c>
      <c r="I237">
        <v>63079098</v>
      </c>
      <c r="J237">
        <v>1</v>
      </c>
      <c r="K237">
        <v>1</v>
      </c>
      <c r="L237">
        <v>1</v>
      </c>
      <c r="M237">
        <v>6.7329999999999997</v>
      </c>
      <c r="N237">
        <v>6.06</v>
      </c>
      <c r="O237">
        <v>46.64</v>
      </c>
      <c r="P237">
        <v>46.64</v>
      </c>
      <c r="Q237">
        <v>24.35</v>
      </c>
      <c r="R237">
        <v>24.35</v>
      </c>
    </row>
    <row r="238" spans="1:18" x14ac:dyDescent="0.25">
      <c r="A238">
        <v>18769450</v>
      </c>
      <c r="B238">
        <v>708351</v>
      </c>
      <c r="C238" t="s">
        <v>18</v>
      </c>
      <c r="E238" t="str">
        <f>"887961660029"</f>
        <v>887961660029</v>
      </c>
      <c r="H238" t="s">
        <v>17</v>
      </c>
      <c r="I238">
        <v>95030021</v>
      </c>
      <c r="J238">
        <v>1</v>
      </c>
      <c r="K238">
        <v>2</v>
      </c>
      <c r="L238">
        <v>2</v>
      </c>
      <c r="M238">
        <v>0.8</v>
      </c>
      <c r="N238">
        <v>0.72</v>
      </c>
      <c r="O238">
        <v>4.8959999999999999</v>
      </c>
      <c r="P238">
        <v>9.7919999999999998</v>
      </c>
      <c r="Q238">
        <v>9.67</v>
      </c>
      <c r="R238">
        <v>19.34</v>
      </c>
    </row>
    <row r="239" spans="1:18" x14ac:dyDescent="0.25">
      <c r="A239">
        <v>18769450</v>
      </c>
      <c r="B239">
        <v>617949</v>
      </c>
      <c r="C239" t="s">
        <v>19</v>
      </c>
      <c r="E239" t="str">
        <f>"4006592585655"</f>
        <v>4006592585655</v>
      </c>
      <c r="H239" t="s">
        <v>17</v>
      </c>
      <c r="I239">
        <v>95030021</v>
      </c>
      <c r="J239">
        <v>1</v>
      </c>
      <c r="K239">
        <v>2</v>
      </c>
      <c r="L239">
        <v>2</v>
      </c>
      <c r="M239">
        <v>1.29</v>
      </c>
      <c r="N239">
        <v>1.161</v>
      </c>
      <c r="O239">
        <v>7.2290000000000001</v>
      </c>
      <c r="P239">
        <v>14.458</v>
      </c>
      <c r="Q239">
        <v>8.65</v>
      </c>
      <c r="R239">
        <v>17.3</v>
      </c>
    </row>
    <row r="240" spans="1:18" x14ac:dyDescent="0.25">
      <c r="A240">
        <v>18769450</v>
      </c>
      <c r="B240">
        <v>764117</v>
      </c>
      <c r="C240" t="s">
        <v>20</v>
      </c>
      <c r="E240" t="str">
        <f>"887961625790"</f>
        <v>887961625790</v>
      </c>
      <c r="F240" t="str">
        <f>"887961625769"</f>
        <v>887961625769</v>
      </c>
      <c r="G240" t="str">
        <f>"887961625776"</f>
        <v>887961625776</v>
      </c>
      <c r="H240" t="s">
        <v>17</v>
      </c>
      <c r="I240">
        <v>95030049</v>
      </c>
      <c r="J240">
        <v>1</v>
      </c>
      <c r="K240">
        <v>2</v>
      </c>
      <c r="L240">
        <v>2</v>
      </c>
      <c r="M240">
        <v>1.8</v>
      </c>
      <c r="N240">
        <v>1.62</v>
      </c>
      <c r="O240">
        <v>11.88</v>
      </c>
      <c r="P240">
        <v>23.76</v>
      </c>
      <c r="Q240">
        <v>14.31</v>
      </c>
      <c r="R240">
        <v>28.62</v>
      </c>
    </row>
    <row r="241" spans="1:18" x14ac:dyDescent="0.25">
      <c r="A241">
        <v>18769450</v>
      </c>
      <c r="B241">
        <v>760038</v>
      </c>
      <c r="C241" t="s">
        <v>21</v>
      </c>
      <c r="E241" t="str">
        <f>"194735007677"</f>
        <v>194735007677</v>
      </c>
      <c r="F241" t="str">
        <f>"887961690781"</f>
        <v>887961690781</v>
      </c>
      <c r="H241" t="s">
        <v>17</v>
      </c>
      <c r="I241">
        <v>95030021</v>
      </c>
      <c r="J241">
        <v>2</v>
      </c>
      <c r="K241">
        <v>1</v>
      </c>
      <c r="L241">
        <v>2</v>
      </c>
      <c r="M241">
        <v>3.71</v>
      </c>
      <c r="N241">
        <v>3.339</v>
      </c>
      <c r="O241">
        <v>24.948</v>
      </c>
      <c r="P241">
        <v>49.896000000000001</v>
      </c>
      <c r="Q241">
        <v>29.78</v>
      </c>
      <c r="R241">
        <v>59.56</v>
      </c>
    </row>
    <row r="242" spans="1:18" x14ac:dyDescent="0.25">
      <c r="A242">
        <v>18769450</v>
      </c>
      <c r="B242">
        <v>907274</v>
      </c>
      <c r="C242" t="s">
        <v>22</v>
      </c>
      <c r="E242" t="str">
        <f>"5420023187154"</f>
        <v>5420023187154</v>
      </c>
      <c r="H242" t="s">
        <v>17</v>
      </c>
      <c r="I242">
        <v>95030095</v>
      </c>
      <c r="J242">
        <v>1</v>
      </c>
      <c r="K242">
        <v>2</v>
      </c>
      <c r="L242">
        <v>2</v>
      </c>
      <c r="M242">
        <v>2.1659999999999999</v>
      </c>
      <c r="N242">
        <v>1.9490000000000001</v>
      </c>
      <c r="O242">
        <v>16.875</v>
      </c>
      <c r="P242">
        <v>33.75</v>
      </c>
      <c r="Q242">
        <v>8.39</v>
      </c>
      <c r="R242">
        <v>16.78</v>
      </c>
    </row>
    <row r="243" spans="1:18" x14ac:dyDescent="0.25">
      <c r="A243">
        <v>18769450</v>
      </c>
      <c r="B243">
        <v>994930</v>
      </c>
      <c r="C243" t="s">
        <v>23</v>
      </c>
      <c r="E243" t="str">
        <f>"8713219446041"</f>
        <v>8713219446041</v>
      </c>
      <c r="H243" t="s">
        <v>17</v>
      </c>
      <c r="I243">
        <v>95030049</v>
      </c>
      <c r="J243">
        <v>1</v>
      </c>
      <c r="K243">
        <v>2</v>
      </c>
      <c r="L243">
        <v>2</v>
      </c>
      <c r="M243">
        <v>0.54200000000000004</v>
      </c>
      <c r="N243">
        <v>0.48799999999999999</v>
      </c>
      <c r="O243">
        <v>4.7119999999999997</v>
      </c>
      <c r="P243">
        <v>9.4239999999999995</v>
      </c>
      <c r="Q243">
        <v>3.81</v>
      </c>
      <c r="R243">
        <v>7.62</v>
      </c>
    </row>
    <row r="244" spans="1:18" x14ac:dyDescent="0.25">
      <c r="A244">
        <v>18769450</v>
      </c>
      <c r="B244">
        <v>754990</v>
      </c>
      <c r="C244" t="s">
        <v>24</v>
      </c>
      <c r="E244" t="str">
        <f>"3491955528942"</f>
        <v>3491955528942</v>
      </c>
      <c r="F244" t="str">
        <f>"3491953864158"</f>
        <v>3491953864158</v>
      </c>
      <c r="H244" t="s">
        <v>17</v>
      </c>
      <c r="I244">
        <v>95030095</v>
      </c>
      <c r="J244">
        <v>12</v>
      </c>
      <c r="K244">
        <v>1</v>
      </c>
      <c r="L244">
        <v>12</v>
      </c>
      <c r="M244">
        <v>4.1159999999999997</v>
      </c>
      <c r="N244">
        <v>3.7040000000000002</v>
      </c>
      <c r="O244">
        <v>7.9359999999999999</v>
      </c>
      <c r="P244">
        <v>95.231999999999999</v>
      </c>
      <c r="Q244">
        <v>4.41</v>
      </c>
      <c r="R244">
        <v>52.92</v>
      </c>
    </row>
    <row r="245" spans="1:18" x14ac:dyDescent="0.25">
      <c r="A245">
        <v>18769450</v>
      </c>
      <c r="B245">
        <v>347843</v>
      </c>
      <c r="C245" t="s">
        <v>25</v>
      </c>
      <c r="E245" t="str">
        <f>"4006592532000"</f>
        <v>4006592532000</v>
      </c>
      <c r="H245" t="s">
        <v>17</v>
      </c>
      <c r="I245">
        <v>95030070</v>
      </c>
      <c r="J245">
        <v>1</v>
      </c>
      <c r="K245">
        <v>2</v>
      </c>
      <c r="L245">
        <v>2</v>
      </c>
      <c r="M245">
        <v>1.3</v>
      </c>
      <c r="N245">
        <v>1.17</v>
      </c>
      <c r="O245">
        <v>9.7200000000000006</v>
      </c>
      <c r="P245">
        <v>19.440000000000001</v>
      </c>
      <c r="Q245">
        <v>9.57</v>
      </c>
      <c r="R245">
        <v>19.14</v>
      </c>
    </row>
    <row r="246" spans="1:18" x14ac:dyDescent="0.25">
      <c r="A246">
        <v>18769450</v>
      </c>
      <c r="B246">
        <v>764821</v>
      </c>
      <c r="C246" t="s">
        <v>26</v>
      </c>
      <c r="E246" t="str">
        <f>"887961683820"</f>
        <v>887961683820</v>
      </c>
      <c r="H246" t="s">
        <v>17</v>
      </c>
      <c r="I246">
        <v>95030021</v>
      </c>
      <c r="J246">
        <v>1</v>
      </c>
      <c r="K246">
        <v>2</v>
      </c>
      <c r="L246">
        <v>2</v>
      </c>
      <c r="M246">
        <v>0.84599999999999997</v>
      </c>
      <c r="N246">
        <v>0.76100000000000001</v>
      </c>
      <c r="O246">
        <v>5.3040000000000003</v>
      </c>
      <c r="P246">
        <v>10.608000000000001</v>
      </c>
      <c r="Q246">
        <v>17.75</v>
      </c>
      <c r="R246">
        <v>35.5</v>
      </c>
    </row>
    <row r="247" spans="1:18" x14ac:dyDescent="0.25">
      <c r="A247">
        <v>18769450</v>
      </c>
      <c r="B247">
        <v>667921</v>
      </c>
      <c r="C247" t="s">
        <v>27</v>
      </c>
      <c r="E247" t="str">
        <f>"3491953867197"</f>
        <v>3491953867197</v>
      </c>
      <c r="F247" t="str">
        <f>"3491955640231"</f>
        <v>3491955640231</v>
      </c>
      <c r="H247" t="s">
        <v>17</v>
      </c>
      <c r="I247">
        <v>95030021</v>
      </c>
      <c r="J247">
        <v>6</v>
      </c>
      <c r="K247">
        <v>1</v>
      </c>
      <c r="L247">
        <v>6</v>
      </c>
      <c r="M247">
        <v>8.64</v>
      </c>
      <c r="N247">
        <v>7.7759999999999998</v>
      </c>
      <c r="O247">
        <v>32.735999999999997</v>
      </c>
      <c r="P247">
        <v>196.416</v>
      </c>
      <c r="Q247">
        <v>4.17</v>
      </c>
      <c r="R247">
        <v>25.02</v>
      </c>
    </row>
    <row r="248" spans="1:18" x14ac:dyDescent="0.25">
      <c r="A248">
        <v>18769450</v>
      </c>
      <c r="B248">
        <v>754989</v>
      </c>
      <c r="C248" t="s">
        <v>28</v>
      </c>
      <c r="E248" t="str">
        <f>"3491953501732"</f>
        <v>3491953501732</v>
      </c>
      <c r="F248" t="str">
        <f>"3491955528904"</f>
        <v>3491955528904</v>
      </c>
      <c r="H248" t="s">
        <v>17</v>
      </c>
      <c r="I248">
        <v>95030095</v>
      </c>
      <c r="J248">
        <v>1</v>
      </c>
      <c r="K248">
        <v>6</v>
      </c>
      <c r="L248">
        <v>6</v>
      </c>
      <c r="M248">
        <v>3.048</v>
      </c>
      <c r="N248">
        <v>2.7429999999999999</v>
      </c>
      <c r="O248">
        <v>11.55</v>
      </c>
      <c r="P248">
        <v>69.3</v>
      </c>
      <c r="Q248">
        <v>7.27</v>
      </c>
      <c r="R248">
        <v>43.62</v>
      </c>
    </row>
    <row r="249" spans="1:18" x14ac:dyDescent="0.25">
      <c r="A249">
        <v>18769450</v>
      </c>
      <c r="B249">
        <v>982543</v>
      </c>
      <c r="C249" t="s">
        <v>29</v>
      </c>
      <c r="E249" t="str">
        <f>"887961928068"</f>
        <v>887961928068</v>
      </c>
      <c r="H249" t="s">
        <v>17</v>
      </c>
      <c r="I249">
        <v>95030021</v>
      </c>
      <c r="J249">
        <v>4</v>
      </c>
      <c r="K249">
        <v>1</v>
      </c>
      <c r="L249">
        <v>4</v>
      </c>
      <c r="M249">
        <v>1.3</v>
      </c>
      <c r="N249">
        <v>1.17</v>
      </c>
      <c r="O249">
        <v>4.8620000000000001</v>
      </c>
      <c r="P249">
        <v>19.448</v>
      </c>
      <c r="Q249">
        <v>10.53</v>
      </c>
      <c r="R249">
        <v>42.12</v>
      </c>
    </row>
    <row r="250" spans="1:18" x14ac:dyDescent="0.25">
      <c r="A250">
        <v>18769450</v>
      </c>
      <c r="B250">
        <v>667930</v>
      </c>
      <c r="C250" t="s">
        <v>30</v>
      </c>
      <c r="E250" t="str">
        <f>"3491953645023"</f>
        <v>3491953645023</v>
      </c>
      <c r="F250" t="str">
        <f>"3491955935900"</f>
        <v>3491955935900</v>
      </c>
      <c r="H250" t="s">
        <v>17</v>
      </c>
      <c r="I250">
        <v>95030095</v>
      </c>
      <c r="J250">
        <v>6</v>
      </c>
      <c r="K250">
        <v>1</v>
      </c>
      <c r="L250">
        <v>6</v>
      </c>
      <c r="M250">
        <v>10.997999999999999</v>
      </c>
      <c r="N250">
        <v>9.8979999999999997</v>
      </c>
      <c r="O250">
        <v>43.68</v>
      </c>
      <c r="P250">
        <v>262.08</v>
      </c>
      <c r="Q250">
        <v>18.16</v>
      </c>
      <c r="R250">
        <v>108.96</v>
      </c>
    </row>
    <row r="251" spans="1:18" x14ac:dyDescent="0.25">
      <c r="A251">
        <v>18769450</v>
      </c>
      <c r="B251">
        <v>754975</v>
      </c>
      <c r="C251" t="s">
        <v>31</v>
      </c>
      <c r="E251" t="str">
        <f>"3491953644989"</f>
        <v>3491953644989</v>
      </c>
      <c r="H251" t="s">
        <v>17</v>
      </c>
      <c r="I251">
        <v>95030070</v>
      </c>
      <c r="J251">
        <v>6</v>
      </c>
      <c r="K251">
        <v>1</v>
      </c>
      <c r="L251">
        <v>6</v>
      </c>
      <c r="M251">
        <v>8.7959999999999994</v>
      </c>
      <c r="N251">
        <v>7.9160000000000004</v>
      </c>
      <c r="O251">
        <v>38.688000000000002</v>
      </c>
      <c r="P251">
        <v>232.12799999999999</v>
      </c>
      <c r="Q251">
        <v>11.15</v>
      </c>
      <c r="R251">
        <v>66.900000000000006</v>
      </c>
    </row>
    <row r="252" spans="1:18" x14ac:dyDescent="0.25">
      <c r="A252">
        <v>18769450</v>
      </c>
      <c r="B252">
        <v>1015895</v>
      </c>
      <c r="C252" t="s">
        <v>32</v>
      </c>
      <c r="E252" t="str">
        <f>"194735028634"</f>
        <v>194735028634</v>
      </c>
      <c r="F252" t="str">
        <f>"194735007189"</f>
        <v>194735007189</v>
      </c>
      <c r="H252" t="s">
        <v>17</v>
      </c>
      <c r="I252">
        <v>95030070</v>
      </c>
      <c r="J252">
        <v>6</v>
      </c>
      <c r="K252">
        <v>2</v>
      </c>
      <c r="L252">
        <v>12</v>
      </c>
      <c r="M252">
        <v>3.8759999999999999</v>
      </c>
      <c r="N252">
        <v>3.488</v>
      </c>
      <c r="O252">
        <v>3.4350000000000001</v>
      </c>
      <c r="P252">
        <v>41.22</v>
      </c>
      <c r="Q252">
        <v>7.87</v>
      </c>
      <c r="R252">
        <v>94.44</v>
      </c>
    </row>
    <row r="253" spans="1:18" x14ac:dyDescent="0.25">
      <c r="A253">
        <v>18769450</v>
      </c>
      <c r="B253">
        <v>755833</v>
      </c>
      <c r="C253" t="s">
        <v>33</v>
      </c>
      <c r="E253" t="str">
        <f>"3491954469567"</f>
        <v>3491954469567</v>
      </c>
      <c r="H253" t="s">
        <v>17</v>
      </c>
      <c r="I253">
        <v>95030021</v>
      </c>
      <c r="J253">
        <v>8</v>
      </c>
      <c r="K253">
        <v>1</v>
      </c>
      <c r="L253">
        <v>8</v>
      </c>
      <c r="M253">
        <v>8.6959999999999997</v>
      </c>
      <c r="N253">
        <v>7.8259999999999996</v>
      </c>
      <c r="O253">
        <v>19.440000000000001</v>
      </c>
      <c r="P253">
        <v>155.52000000000001</v>
      </c>
      <c r="Q253">
        <v>12.79</v>
      </c>
      <c r="R253">
        <v>102.32</v>
      </c>
    </row>
    <row r="254" spans="1:18" x14ac:dyDescent="0.25">
      <c r="A254">
        <v>18769450</v>
      </c>
      <c r="B254">
        <v>1000284</v>
      </c>
      <c r="C254" t="s">
        <v>34</v>
      </c>
      <c r="E254" t="str">
        <f>"5413247006325"</f>
        <v>5413247006325</v>
      </c>
      <c r="H254" t="s">
        <v>17</v>
      </c>
      <c r="I254">
        <v>95059000</v>
      </c>
      <c r="J254">
        <v>12</v>
      </c>
      <c r="K254">
        <v>1</v>
      </c>
      <c r="L254">
        <v>12</v>
      </c>
      <c r="M254">
        <v>1.0680000000000001</v>
      </c>
      <c r="N254">
        <v>0.96099999999999997</v>
      </c>
      <c r="O254">
        <v>1.0309999999999999</v>
      </c>
      <c r="P254">
        <v>12.372</v>
      </c>
      <c r="Q254">
        <v>1.37</v>
      </c>
      <c r="R254">
        <v>16.440000000000001</v>
      </c>
    </row>
    <row r="255" spans="1:18" x14ac:dyDescent="0.25">
      <c r="A255">
        <v>18769450</v>
      </c>
      <c r="B255">
        <v>952379</v>
      </c>
      <c r="C255" t="s">
        <v>35</v>
      </c>
      <c r="E255" t="str">
        <f>"3491955640507"</f>
        <v>3491955640507</v>
      </c>
      <c r="H255" t="s">
        <v>17</v>
      </c>
      <c r="I255">
        <v>95030021</v>
      </c>
      <c r="J255">
        <v>4</v>
      </c>
      <c r="K255">
        <v>2</v>
      </c>
      <c r="L255">
        <v>8</v>
      </c>
      <c r="M255">
        <v>3.448</v>
      </c>
      <c r="N255">
        <v>3.1030000000000002</v>
      </c>
      <c r="O255">
        <v>7.02</v>
      </c>
      <c r="P255">
        <v>56.16</v>
      </c>
      <c r="Q255">
        <v>4.5999999999999996</v>
      </c>
      <c r="R255">
        <v>36.799999999999997</v>
      </c>
    </row>
    <row r="256" spans="1:18" x14ac:dyDescent="0.25">
      <c r="A256">
        <v>18769450</v>
      </c>
      <c r="B256">
        <v>1000258</v>
      </c>
      <c r="C256" t="s">
        <v>36</v>
      </c>
      <c r="E256" t="str">
        <f>"5413247013736"</f>
        <v>5413247013736</v>
      </c>
      <c r="H256" t="s">
        <v>17</v>
      </c>
      <c r="I256">
        <v>95030021</v>
      </c>
      <c r="J256">
        <v>1</v>
      </c>
      <c r="K256">
        <v>4</v>
      </c>
      <c r="L256">
        <v>4</v>
      </c>
      <c r="M256">
        <v>0.85599999999999998</v>
      </c>
      <c r="N256">
        <v>0.77</v>
      </c>
      <c r="O256">
        <v>2.677</v>
      </c>
      <c r="P256">
        <v>10.708</v>
      </c>
      <c r="Q256">
        <v>3.43</v>
      </c>
      <c r="R256">
        <v>13.72</v>
      </c>
    </row>
    <row r="257" spans="1:18" x14ac:dyDescent="0.25">
      <c r="A257">
        <v>18769450</v>
      </c>
      <c r="B257">
        <v>764731</v>
      </c>
      <c r="C257" t="s">
        <v>37</v>
      </c>
      <c r="E257" t="str">
        <f>"887961632309"</f>
        <v>887961632309</v>
      </c>
      <c r="H257" t="s">
        <v>17</v>
      </c>
      <c r="I257">
        <v>95030021</v>
      </c>
      <c r="J257">
        <v>3</v>
      </c>
      <c r="K257">
        <v>1</v>
      </c>
      <c r="L257">
        <v>3</v>
      </c>
      <c r="M257">
        <v>3.3090000000000002</v>
      </c>
      <c r="N257">
        <v>2.9780000000000002</v>
      </c>
      <c r="O257">
        <v>12.6</v>
      </c>
      <c r="P257">
        <v>37.799999999999997</v>
      </c>
      <c r="Q257">
        <v>20.88</v>
      </c>
      <c r="R257">
        <v>62.64</v>
      </c>
    </row>
    <row r="258" spans="1:18" x14ac:dyDescent="0.25">
      <c r="A258">
        <v>18769450</v>
      </c>
      <c r="B258">
        <v>953062</v>
      </c>
      <c r="C258" t="s">
        <v>38</v>
      </c>
      <c r="E258" t="str">
        <f>"2018205183587"</f>
        <v>2018205183587</v>
      </c>
      <c r="F258" t="str">
        <f>"5420023190819"</f>
        <v>5420023190819</v>
      </c>
      <c r="H258" t="s">
        <v>17</v>
      </c>
      <c r="I258">
        <v>95030049</v>
      </c>
      <c r="J258">
        <v>1</v>
      </c>
      <c r="K258">
        <v>6</v>
      </c>
      <c r="L258">
        <v>6</v>
      </c>
      <c r="M258">
        <v>0.78600000000000003</v>
      </c>
      <c r="N258">
        <v>0.70699999999999996</v>
      </c>
      <c r="O258">
        <v>1.7689999999999999</v>
      </c>
      <c r="P258">
        <v>10.614000000000001</v>
      </c>
      <c r="Q258">
        <v>1.44</v>
      </c>
      <c r="R258">
        <v>8.64</v>
      </c>
    </row>
    <row r="259" spans="1:18" x14ac:dyDescent="0.25">
      <c r="A259">
        <v>18769450</v>
      </c>
      <c r="B259">
        <v>718148</v>
      </c>
      <c r="C259" t="s">
        <v>39</v>
      </c>
      <c r="E259" t="str">
        <f>"3296580397457"</f>
        <v>3296580397457</v>
      </c>
      <c r="F259" t="str">
        <f>"3701405800376"</f>
        <v>3701405800376</v>
      </c>
      <c r="H259" t="s">
        <v>17</v>
      </c>
      <c r="I259">
        <v>95030021</v>
      </c>
      <c r="J259">
        <v>1</v>
      </c>
      <c r="K259">
        <v>2</v>
      </c>
      <c r="L259">
        <v>2</v>
      </c>
      <c r="M259">
        <v>0.46</v>
      </c>
      <c r="N259">
        <v>0.41399999999999998</v>
      </c>
      <c r="O259">
        <v>2.677</v>
      </c>
      <c r="P259">
        <v>5.3540000000000001</v>
      </c>
      <c r="Q259">
        <v>12.94</v>
      </c>
      <c r="R259">
        <v>25.88</v>
      </c>
    </row>
    <row r="260" spans="1:18" x14ac:dyDescent="0.25">
      <c r="A260">
        <v>18769450</v>
      </c>
      <c r="B260">
        <v>962472</v>
      </c>
      <c r="C260" t="s">
        <v>40</v>
      </c>
      <c r="E260" t="str">
        <f>"5413247092496"</f>
        <v>5413247092496</v>
      </c>
      <c r="H260" t="s">
        <v>17</v>
      </c>
      <c r="I260">
        <v>95030049</v>
      </c>
      <c r="J260">
        <v>1</v>
      </c>
      <c r="K260">
        <v>2</v>
      </c>
      <c r="L260">
        <v>2</v>
      </c>
      <c r="M260">
        <v>1.208</v>
      </c>
      <c r="N260">
        <v>1.087</v>
      </c>
      <c r="O260">
        <v>6.0970000000000004</v>
      </c>
      <c r="P260">
        <v>12.194000000000001</v>
      </c>
      <c r="Q260">
        <v>6.28</v>
      </c>
      <c r="R260">
        <v>12.56</v>
      </c>
    </row>
    <row r="261" spans="1:18" x14ac:dyDescent="0.25">
      <c r="A261">
        <v>18769450</v>
      </c>
      <c r="B261">
        <v>986358</v>
      </c>
      <c r="C261" t="s">
        <v>41</v>
      </c>
      <c r="E261" t="str">
        <f>"887961954555"</f>
        <v>887961954555</v>
      </c>
      <c r="H261" t="s">
        <v>17</v>
      </c>
      <c r="I261">
        <v>95030021</v>
      </c>
      <c r="J261">
        <v>2</v>
      </c>
      <c r="K261">
        <v>1</v>
      </c>
      <c r="L261">
        <v>2</v>
      </c>
      <c r="M261">
        <v>2.16</v>
      </c>
      <c r="N261">
        <v>1.944</v>
      </c>
      <c r="O261">
        <v>15.96</v>
      </c>
      <c r="P261">
        <v>31.92</v>
      </c>
      <c r="Q261">
        <v>18.489999999999998</v>
      </c>
      <c r="R261">
        <v>36.979999999999997</v>
      </c>
    </row>
    <row r="262" spans="1:18" x14ac:dyDescent="0.25">
      <c r="A262">
        <v>18769450</v>
      </c>
      <c r="B262">
        <v>991609</v>
      </c>
      <c r="C262" t="s">
        <v>42</v>
      </c>
      <c r="E262" t="str">
        <f>"3491955640491"</f>
        <v>3491955640491</v>
      </c>
      <c r="H262" t="s">
        <v>17</v>
      </c>
      <c r="I262">
        <v>95030095</v>
      </c>
      <c r="J262">
        <v>4</v>
      </c>
      <c r="K262">
        <v>1</v>
      </c>
      <c r="L262">
        <v>4</v>
      </c>
      <c r="M262">
        <v>2.3319999999999999</v>
      </c>
      <c r="N262">
        <v>2.0990000000000002</v>
      </c>
      <c r="O262">
        <v>4.8330000000000002</v>
      </c>
      <c r="P262">
        <v>19.332000000000001</v>
      </c>
      <c r="Q262">
        <v>5.47</v>
      </c>
      <c r="R262">
        <v>21.88</v>
      </c>
    </row>
    <row r="263" spans="1:18" x14ac:dyDescent="0.25">
      <c r="A263">
        <v>18770083</v>
      </c>
      <c r="B263">
        <v>756957</v>
      </c>
      <c r="C263" t="s">
        <v>43</v>
      </c>
      <c r="E263" t="str">
        <f>"5420023188212"</f>
        <v>5420023188212</v>
      </c>
      <c r="F263" t="str">
        <f>"2000006848857"</f>
        <v>2000006848857</v>
      </c>
      <c r="H263" t="s">
        <v>17</v>
      </c>
      <c r="I263">
        <v>95030075</v>
      </c>
      <c r="J263">
        <v>1</v>
      </c>
      <c r="K263">
        <v>2</v>
      </c>
      <c r="L263">
        <v>2</v>
      </c>
      <c r="M263">
        <v>0.38200000000000001</v>
      </c>
      <c r="N263">
        <v>0.34399999999999997</v>
      </c>
      <c r="O263">
        <v>2.64</v>
      </c>
      <c r="P263">
        <v>5.28</v>
      </c>
      <c r="Q263">
        <v>3.89</v>
      </c>
      <c r="R263">
        <v>7.78</v>
      </c>
    </row>
    <row r="264" spans="1:18" x14ac:dyDescent="0.25">
      <c r="A264">
        <v>18770083</v>
      </c>
      <c r="B264">
        <v>1007226</v>
      </c>
      <c r="C264" t="s">
        <v>44</v>
      </c>
      <c r="E264" t="str">
        <f>"820650554629"</f>
        <v>820650554629</v>
      </c>
      <c r="H264" t="s">
        <v>45</v>
      </c>
      <c r="I264">
        <v>95044000</v>
      </c>
      <c r="J264">
        <v>1</v>
      </c>
      <c r="K264">
        <v>2</v>
      </c>
      <c r="L264">
        <v>2</v>
      </c>
      <c r="M264">
        <v>1.444</v>
      </c>
      <c r="N264">
        <v>1.3</v>
      </c>
      <c r="O264">
        <v>3.3119999999999998</v>
      </c>
      <c r="P264">
        <v>6.6239999999999997</v>
      </c>
      <c r="Q264">
        <v>26.12</v>
      </c>
      <c r="R264">
        <v>52.24</v>
      </c>
    </row>
    <row r="265" spans="1:18" x14ac:dyDescent="0.25">
      <c r="A265">
        <v>18770083</v>
      </c>
      <c r="B265">
        <v>968385</v>
      </c>
      <c r="C265" t="s">
        <v>46</v>
      </c>
      <c r="E265" t="str">
        <f>"194099027342"</f>
        <v>194099027342</v>
      </c>
      <c r="H265" t="s">
        <v>17</v>
      </c>
      <c r="I265">
        <v>62114390</v>
      </c>
      <c r="J265">
        <v>1</v>
      </c>
      <c r="K265">
        <v>2</v>
      </c>
      <c r="L265">
        <v>2</v>
      </c>
      <c r="M265">
        <v>0.69</v>
      </c>
      <c r="N265">
        <v>0.621</v>
      </c>
      <c r="O265">
        <v>5.28</v>
      </c>
      <c r="P265">
        <v>10.56</v>
      </c>
      <c r="Q265">
        <v>12.47</v>
      </c>
      <c r="R265">
        <v>24.94</v>
      </c>
    </row>
    <row r="266" spans="1:18" x14ac:dyDescent="0.25">
      <c r="A266">
        <v>18770083</v>
      </c>
      <c r="B266">
        <v>968406</v>
      </c>
      <c r="C266" t="s">
        <v>47</v>
      </c>
      <c r="E266" t="str">
        <f>"194099027359"</f>
        <v>194099027359</v>
      </c>
      <c r="H266" t="s">
        <v>17</v>
      </c>
      <c r="I266">
        <v>62114390</v>
      </c>
      <c r="J266">
        <v>1</v>
      </c>
      <c r="K266">
        <v>4</v>
      </c>
      <c r="L266">
        <v>4</v>
      </c>
      <c r="M266">
        <v>1.54</v>
      </c>
      <c r="N266">
        <v>1.3859999999999999</v>
      </c>
      <c r="O266">
        <v>5.28</v>
      </c>
      <c r="P266">
        <v>21.12</v>
      </c>
      <c r="Q266">
        <v>12.47</v>
      </c>
      <c r="R266">
        <v>49.88</v>
      </c>
    </row>
    <row r="267" spans="1:18" x14ac:dyDescent="0.25">
      <c r="A267">
        <v>18770083</v>
      </c>
      <c r="B267">
        <v>968407</v>
      </c>
      <c r="C267" t="s">
        <v>48</v>
      </c>
      <c r="E267" t="str">
        <f>"194099027373"</f>
        <v>194099027373</v>
      </c>
      <c r="H267" t="s">
        <v>17</v>
      </c>
      <c r="I267">
        <v>62114390</v>
      </c>
      <c r="J267">
        <v>1</v>
      </c>
      <c r="K267">
        <v>5</v>
      </c>
      <c r="L267">
        <v>5</v>
      </c>
      <c r="M267">
        <v>1.925</v>
      </c>
      <c r="N267">
        <v>1.7330000000000001</v>
      </c>
      <c r="O267">
        <v>5.76</v>
      </c>
      <c r="P267">
        <v>28.8</v>
      </c>
      <c r="Q267">
        <v>12.47</v>
      </c>
      <c r="R267">
        <v>62.35</v>
      </c>
    </row>
    <row r="268" spans="1:18" x14ac:dyDescent="0.25">
      <c r="A268">
        <v>18770083</v>
      </c>
      <c r="B268">
        <v>968396</v>
      </c>
      <c r="C268" t="s">
        <v>49</v>
      </c>
      <c r="E268" t="str">
        <f>"194099027366"</f>
        <v>194099027366</v>
      </c>
      <c r="H268" t="s">
        <v>17</v>
      </c>
      <c r="I268">
        <v>62114390</v>
      </c>
      <c r="J268">
        <v>1</v>
      </c>
      <c r="K268">
        <v>4</v>
      </c>
      <c r="L268">
        <v>4</v>
      </c>
      <c r="M268">
        <v>2.08</v>
      </c>
      <c r="N268">
        <v>1.8720000000000001</v>
      </c>
      <c r="O268">
        <v>4.4630000000000001</v>
      </c>
      <c r="P268">
        <v>17.852</v>
      </c>
      <c r="Q268">
        <v>12.47</v>
      </c>
      <c r="R268">
        <v>49.88</v>
      </c>
    </row>
    <row r="269" spans="1:18" x14ac:dyDescent="0.25">
      <c r="A269">
        <v>18770083</v>
      </c>
      <c r="B269">
        <v>759349</v>
      </c>
      <c r="C269" t="s">
        <v>50</v>
      </c>
      <c r="E269" t="str">
        <f>"3491953393436"</f>
        <v>3491953393436</v>
      </c>
      <c r="F269" t="str">
        <f>"8710675164250"</f>
        <v>8710675164250</v>
      </c>
      <c r="H269" t="s">
        <v>51</v>
      </c>
      <c r="I269">
        <v>48114900</v>
      </c>
      <c r="J269">
        <v>36</v>
      </c>
      <c r="K269">
        <v>1</v>
      </c>
      <c r="L269">
        <v>36</v>
      </c>
      <c r="M269">
        <v>3.996</v>
      </c>
      <c r="N269">
        <v>3.5960000000000001</v>
      </c>
      <c r="O269">
        <v>1.32</v>
      </c>
      <c r="P269">
        <v>47.52</v>
      </c>
      <c r="Q269">
        <v>0.76</v>
      </c>
      <c r="R269">
        <v>27.36</v>
      </c>
    </row>
    <row r="270" spans="1:18" x14ac:dyDescent="0.25">
      <c r="A270">
        <v>18770083</v>
      </c>
      <c r="B270">
        <v>235101</v>
      </c>
      <c r="C270" t="s">
        <v>52</v>
      </c>
      <c r="E270" t="str">
        <f>"8710675085272"</f>
        <v>8710675085272</v>
      </c>
      <c r="F270" t="str">
        <f>"4005264182116"</f>
        <v>4005264182116</v>
      </c>
      <c r="G270" t="str">
        <f>"8710675056395"</f>
        <v>8710675056395</v>
      </c>
      <c r="H270" t="s">
        <v>17</v>
      </c>
      <c r="I270">
        <v>48119000</v>
      </c>
      <c r="J270">
        <v>60</v>
      </c>
      <c r="K270">
        <v>1</v>
      </c>
      <c r="L270">
        <v>60</v>
      </c>
      <c r="M270">
        <v>6.06</v>
      </c>
      <c r="N270">
        <v>5.4539999999999997</v>
      </c>
      <c r="O270">
        <v>1.2190000000000001</v>
      </c>
      <c r="P270">
        <v>73.14</v>
      </c>
      <c r="Q270">
        <v>0.42</v>
      </c>
      <c r="R270">
        <v>25.2</v>
      </c>
    </row>
    <row r="271" spans="1:18" x14ac:dyDescent="0.25">
      <c r="A271">
        <v>18770083</v>
      </c>
      <c r="B271">
        <v>916596</v>
      </c>
      <c r="C271" t="s">
        <v>53</v>
      </c>
      <c r="E271" t="str">
        <f>"4058653100529"</f>
        <v>4058653100529</v>
      </c>
      <c r="H271" t="s">
        <v>54</v>
      </c>
      <c r="I271">
        <v>48119000</v>
      </c>
      <c r="J271">
        <v>10</v>
      </c>
      <c r="K271">
        <v>1</v>
      </c>
      <c r="L271">
        <v>10</v>
      </c>
      <c r="M271">
        <v>1.66</v>
      </c>
      <c r="N271">
        <v>1.494</v>
      </c>
      <c r="O271">
        <v>0.6</v>
      </c>
      <c r="P271">
        <v>6</v>
      </c>
      <c r="Q271">
        <v>0.3</v>
      </c>
      <c r="R271">
        <v>3</v>
      </c>
    </row>
    <row r="272" spans="1:18" x14ac:dyDescent="0.25">
      <c r="A272">
        <v>18770083</v>
      </c>
      <c r="B272">
        <v>962196</v>
      </c>
      <c r="C272" t="s">
        <v>55</v>
      </c>
      <c r="E272" t="str">
        <f>"8710675135175"</f>
        <v>8710675135175</v>
      </c>
      <c r="F272" t="str">
        <f>"8710675220109"</f>
        <v>8710675220109</v>
      </c>
      <c r="H272" t="s">
        <v>51</v>
      </c>
      <c r="I272">
        <v>48102200</v>
      </c>
      <c r="J272">
        <v>16</v>
      </c>
      <c r="K272">
        <v>1</v>
      </c>
      <c r="L272">
        <v>16</v>
      </c>
      <c r="M272">
        <v>6.992</v>
      </c>
      <c r="N272">
        <v>6.2930000000000001</v>
      </c>
      <c r="O272">
        <v>3.2810000000000001</v>
      </c>
      <c r="P272">
        <v>52.496000000000002</v>
      </c>
      <c r="Q272">
        <v>1.1100000000000001</v>
      </c>
      <c r="R272">
        <v>17.760000000000002</v>
      </c>
    </row>
    <row r="273" spans="1:18" x14ac:dyDescent="0.25">
      <c r="A273">
        <v>18770083</v>
      </c>
      <c r="B273">
        <v>786962</v>
      </c>
      <c r="C273" t="s">
        <v>56</v>
      </c>
      <c r="E273" t="str">
        <f>"778988278659"</f>
        <v>778988278659</v>
      </c>
      <c r="H273" t="s">
        <v>17</v>
      </c>
      <c r="I273">
        <v>95030075</v>
      </c>
      <c r="J273">
        <v>2</v>
      </c>
      <c r="K273">
        <v>1</v>
      </c>
      <c r="L273">
        <v>2</v>
      </c>
      <c r="M273">
        <v>1.4</v>
      </c>
      <c r="N273">
        <v>1.26</v>
      </c>
      <c r="O273">
        <v>8.4239999999999995</v>
      </c>
      <c r="P273">
        <v>16.847999999999999</v>
      </c>
      <c r="Q273">
        <v>21.41</v>
      </c>
      <c r="R273">
        <v>42.82</v>
      </c>
    </row>
    <row r="274" spans="1:18" x14ac:dyDescent="0.25">
      <c r="A274">
        <v>18770083</v>
      </c>
      <c r="B274">
        <v>369191</v>
      </c>
      <c r="C274" t="s">
        <v>57</v>
      </c>
      <c r="E274" t="str">
        <f>"8710675085289"</f>
        <v>8710675085289</v>
      </c>
      <c r="F274" t="str">
        <f>"8710675160061"</f>
        <v>8710675160061</v>
      </c>
      <c r="H274" t="s">
        <v>51</v>
      </c>
      <c r="I274">
        <v>48102200</v>
      </c>
      <c r="J274">
        <v>45</v>
      </c>
      <c r="K274">
        <v>1</v>
      </c>
      <c r="L274">
        <v>45</v>
      </c>
      <c r="M274">
        <v>9.7650000000000006</v>
      </c>
      <c r="N274">
        <v>8.7889999999999997</v>
      </c>
      <c r="O274">
        <v>1.056</v>
      </c>
      <c r="P274">
        <v>47.52</v>
      </c>
      <c r="Q274">
        <v>0.68</v>
      </c>
      <c r="R274">
        <v>30.6</v>
      </c>
    </row>
    <row r="275" spans="1:18" x14ac:dyDescent="0.25">
      <c r="A275">
        <v>18770083</v>
      </c>
      <c r="B275">
        <v>916586</v>
      </c>
      <c r="C275" t="s">
        <v>58</v>
      </c>
      <c r="E275" t="str">
        <f>"4058653101540"</f>
        <v>4058653101540</v>
      </c>
      <c r="F275" t="str">
        <f>"4058653101359"</f>
        <v>4058653101359</v>
      </c>
      <c r="H275" t="s">
        <v>17</v>
      </c>
      <c r="I275">
        <v>48119000</v>
      </c>
      <c r="J275">
        <v>25</v>
      </c>
      <c r="K275">
        <v>1</v>
      </c>
      <c r="L275">
        <v>25</v>
      </c>
      <c r="M275">
        <v>5</v>
      </c>
      <c r="N275">
        <v>4.5</v>
      </c>
      <c r="O275">
        <v>1.9950000000000001</v>
      </c>
      <c r="P275">
        <v>49.875</v>
      </c>
      <c r="Q275">
        <v>1.91</v>
      </c>
      <c r="R275">
        <v>47.75</v>
      </c>
    </row>
    <row r="276" spans="1:18" x14ac:dyDescent="0.25">
      <c r="A276">
        <v>18770083</v>
      </c>
      <c r="B276">
        <v>200994</v>
      </c>
      <c r="C276" t="s">
        <v>59</v>
      </c>
      <c r="E276" t="str">
        <f>"4005264294123"</f>
        <v>4005264294123</v>
      </c>
      <c r="F276" t="str">
        <f>"4005264130131"</f>
        <v>4005264130131</v>
      </c>
      <c r="G276" t="str">
        <f>"5420042188798"</f>
        <v>5420042188798</v>
      </c>
      <c r="H276" t="s">
        <v>17</v>
      </c>
      <c r="I276">
        <v>48119000</v>
      </c>
      <c r="J276">
        <v>60</v>
      </c>
      <c r="K276">
        <v>1</v>
      </c>
      <c r="L276">
        <v>60</v>
      </c>
      <c r="M276">
        <v>6.6</v>
      </c>
      <c r="N276">
        <v>5.94</v>
      </c>
      <c r="O276">
        <v>1.1910000000000001</v>
      </c>
      <c r="P276">
        <v>71.459999999999994</v>
      </c>
      <c r="Q276">
        <v>0.3</v>
      </c>
      <c r="R276">
        <v>18</v>
      </c>
    </row>
    <row r="277" spans="1:18" x14ac:dyDescent="0.25">
      <c r="A277">
        <v>18770083</v>
      </c>
      <c r="B277">
        <v>907296</v>
      </c>
      <c r="C277" t="s">
        <v>60</v>
      </c>
      <c r="E277" t="str">
        <f>"5420023187734"</f>
        <v>5420023187734</v>
      </c>
      <c r="H277" t="s">
        <v>17</v>
      </c>
      <c r="I277">
        <v>95030075</v>
      </c>
      <c r="J277">
        <v>1</v>
      </c>
      <c r="K277">
        <v>2</v>
      </c>
      <c r="L277">
        <v>2</v>
      </c>
      <c r="M277">
        <v>3.3319999999999999</v>
      </c>
      <c r="N277">
        <v>2.9990000000000001</v>
      </c>
      <c r="O277">
        <v>18.149999999999999</v>
      </c>
      <c r="P277">
        <v>36.299999999999997</v>
      </c>
      <c r="Q277">
        <v>20.09</v>
      </c>
      <c r="R277">
        <v>40.18</v>
      </c>
    </row>
    <row r="278" spans="1:18" x14ac:dyDescent="0.25">
      <c r="A278">
        <v>18770083</v>
      </c>
      <c r="B278">
        <v>953050</v>
      </c>
      <c r="C278" t="s">
        <v>61</v>
      </c>
      <c r="E278" t="str">
        <f>"5420023190383"</f>
        <v>5420023190383</v>
      </c>
      <c r="H278" t="s">
        <v>17</v>
      </c>
      <c r="I278">
        <v>95030075</v>
      </c>
      <c r="J278">
        <v>1</v>
      </c>
      <c r="K278">
        <v>2</v>
      </c>
      <c r="L278">
        <v>2</v>
      </c>
      <c r="M278">
        <v>3.05</v>
      </c>
      <c r="N278">
        <v>2.7450000000000001</v>
      </c>
      <c r="O278">
        <v>20.7</v>
      </c>
      <c r="P278">
        <v>41.4</v>
      </c>
      <c r="Q278">
        <v>13.23</v>
      </c>
      <c r="R278">
        <v>26.46</v>
      </c>
    </row>
    <row r="279" spans="1:18" x14ac:dyDescent="0.25">
      <c r="A279">
        <v>18770083</v>
      </c>
      <c r="B279">
        <v>994919</v>
      </c>
      <c r="C279" t="s">
        <v>62</v>
      </c>
      <c r="E279" t="str">
        <f>"8713219385630"</f>
        <v>8713219385630</v>
      </c>
      <c r="H279" t="s">
        <v>17</v>
      </c>
      <c r="I279">
        <v>95030070</v>
      </c>
      <c r="J279">
        <v>1</v>
      </c>
      <c r="K279">
        <v>4</v>
      </c>
      <c r="L279">
        <v>4</v>
      </c>
      <c r="M279">
        <v>0.97599999999999998</v>
      </c>
      <c r="N279">
        <v>0.878</v>
      </c>
      <c r="O279">
        <v>2.8</v>
      </c>
      <c r="P279">
        <v>11.2</v>
      </c>
      <c r="Q279">
        <v>4.28</v>
      </c>
      <c r="R279">
        <v>17.12</v>
      </c>
    </row>
    <row r="280" spans="1:18" x14ac:dyDescent="0.25">
      <c r="A280">
        <v>18770083</v>
      </c>
      <c r="B280">
        <v>1002458</v>
      </c>
      <c r="C280" t="s">
        <v>63</v>
      </c>
      <c r="E280" t="str">
        <f>"3296580428007"</f>
        <v>3296580428007</v>
      </c>
      <c r="H280" t="s">
        <v>17</v>
      </c>
      <c r="I280">
        <v>95030095</v>
      </c>
      <c r="J280">
        <v>1</v>
      </c>
      <c r="K280">
        <v>2</v>
      </c>
      <c r="L280">
        <v>2</v>
      </c>
      <c r="M280">
        <v>0.83199999999999996</v>
      </c>
      <c r="N280">
        <v>0.749</v>
      </c>
      <c r="O280">
        <v>0.90600000000000003</v>
      </c>
      <c r="P280">
        <v>1.8120000000000001</v>
      </c>
      <c r="Q280">
        <v>12.94</v>
      </c>
      <c r="R280">
        <v>25.88</v>
      </c>
    </row>
    <row r="281" spans="1:18" x14ac:dyDescent="0.25">
      <c r="A281">
        <v>18770083</v>
      </c>
      <c r="B281">
        <v>771176</v>
      </c>
      <c r="C281" t="s">
        <v>64</v>
      </c>
      <c r="E281" t="str">
        <f>"4891813836902"</f>
        <v>4891813836902</v>
      </c>
      <c r="H281" t="s">
        <v>17</v>
      </c>
      <c r="I281">
        <v>95030075</v>
      </c>
      <c r="J281">
        <v>1</v>
      </c>
      <c r="K281">
        <v>2</v>
      </c>
      <c r="L281">
        <v>2</v>
      </c>
      <c r="M281">
        <v>0.6</v>
      </c>
      <c r="N281">
        <v>0.54</v>
      </c>
      <c r="O281">
        <v>1.204</v>
      </c>
      <c r="P281">
        <v>2.4079999999999999</v>
      </c>
      <c r="Q281">
        <v>3.75</v>
      </c>
      <c r="R281">
        <v>7.5</v>
      </c>
    </row>
    <row r="282" spans="1:18" x14ac:dyDescent="0.25">
      <c r="A282">
        <v>18770083</v>
      </c>
      <c r="B282">
        <v>916259</v>
      </c>
      <c r="C282" t="s">
        <v>65</v>
      </c>
      <c r="E282" t="str">
        <f>"5425002415075"</f>
        <v>5425002415075</v>
      </c>
      <c r="H282" t="s">
        <v>17</v>
      </c>
      <c r="I282">
        <v>95030049</v>
      </c>
      <c r="J282">
        <v>1</v>
      </c>
      <c r="K282">
        <v>3</v>
      </c>
      <c r="L282">
        <v>3</v>
      </c>
      <c r="M282">
        <v>1.74</v>
      </c>
      <c r="N282">
        <v>1.5660000000000001</v>
      </c>
      <c r="O282">
        <v>7.6029999999999998</v>
      </c>
      <c r="P282">
        <v>22.809000000000001</v>
      </c>
      <c r="Q282">
        <v>8.94</v>
      </c>
      <c r="R282">
        <v>26.82</v>
      </c>
    </row>
    <row r="283" spans="1:18" x14ac:dyDescent="0.25">
      <c r="A283">
        <v>18770083</v>
      </c>
      <c r="B283">
        <v>999687</v>
      </c>
      <c r="C283" t="s">
        <v>66</v>
      </c>
      <c r="E283" t="str">
        <f>"4891813886143"</f>
        <v>4891813886143</v>
      </c>
      <c r="H283" t="s">
        <v>17</v>
      </c>
      <c r="I283">
        <v>95030049</v>
      </c>
      <c r="J283">
        <v>1</v>
      </c>
      <c r="K283">
        <v>2</v>
      </c>
      <c r="L283">
        <v>2</v>
      </c>
      <c r="M283">
        <v>0.45200000000000001</v>
      </c>
      <c r="N283">
        <v>0.40699999999999997</v>
      </c>
      <c r="O283">
        <v>3.75</v>
      </c>
      <c r="P283">
        <v>7.5</v>
      </c>
      <c r="Q283">
        <v>10.15</v>
      </c>
      <c r="R283">
        <v>20.3</v>
      </c>
    </row>
    <row r="284" spans="1:18" x14ac:dyDescent="0.25">
      <c r="A284">
        <v>18770083</v>
      </c>
      <c r="B284">
        <v>1001729</v>
      </c>
      <c r="C284" t="s">
        <v>67</v>
      </c>
      <c r="E284" t="str">
        <f>"887961991307"</f>
        <v>887961991307</v>
      </c>
      <c r="H284" t="s">
        <v>17</v>
      </c>
      <c r="I284">
        <v>95030021</v>
      </c>
      <c r="J284">
        <v>1</v>
      </c>
      <c r="K284">
        <v>2</v>
      </c>
      <c r="L284">
        <v>2</v>
      </c>
      <c r="M284">
        <v>0.69199999999999995</v>
      </c>
      <c r="N284">
        <v>0.623</v>
      </c>
      <c r="O284">
        <v>5.2</v>
      </c>
      <c r="P284">
        <v>10.4</v>
      </c>
      <c r="Q284">
        <v>7.05</v>
      </c>
      <c r="R284">
        <v>14.1</v>
      </c>
    </row>
    <row r="285" spans="1:18" x14ac:dyDescent="0.25">
      <c r="A285">
        <v>18770083</v>
      </c>
      <c r="B285">
        <v>999585</v>
      </c>
      <c r="C285" t="s">
        <v>68</v>
      </c>
      <c r="E285" t="str">
        <f>"778988418369"</f>
        <v>778988418369</v>
      </c>
      <c r="H285" t="s">
        <v>69</v>
      </c>
      <c r="I285">
        <v>95030085</v>
      </c>
      <c r="J285">
        <v>6</v>
      </c>
      <c r="K285">
        <v>1</v>
      </c>
      <c r="L285">
        <v>6</v>
      </c>
      <c r="M285">
        <v>0.85799999999999998</v>
      </c>
      <c r="N285">
        <v>0.77200000000000002</v>
      </c>
      <c r="O285">
        <v>0.86699999999999999</v>
      </c>
      <c r="P285">
        <v>5.202</v>
      </c>
      <c r="Q285">
        <v>5.78</v>
      </c>
      <c r="R285">
        <v>34.68</v>
      </c>
    </row>
    <row r="286" spans="1:18" x14ac:dyDescent="0.25">
      <c r="A286">
        <v>18770083</v>
      </c>
      <c r="B286">
        <v>999772</v>
      </c>
      <c r="C286" t="s">
        <v>70</v>
      </c>
      <c r="E286" t="str">
        <f>"5400868013443"</f>
        <v>5400868013443</v>
      </c>
      <c r="H286" t="s">
        <v>17</v>
      </c>
      <c r="I286">
        <v>95030049</v>
      </c>
      <c r="J286">
        <v>1</v>
      </c>
      <c r="K286">
        <v>2</v>
      </c>
      <c r="L286">
        <v>2</v>
      </c>
      <c r="M286">
        <v>0.51600000000000001</v>
      </c>
      <c r="N286">
        <v>0.46400000000000002</v>
      </c>
      <c r="O286">
        <v>4.0250000000000004</v>
      </c>
      <c r="P286">
        <v>8.0500000000000007</v>
      </c>
      <c r="Q286">
        <v>4.68</v>
      </c>
      <c r="R286">
        <v>9.36</v>
      </c>
    </row>
    <row r="287" spans="1:18" x14ac:dyDescent="0.25">
      <c r="A287">
        <v>18770083</v>
      </c>
      <c r="B287">
        <v>667941</v>
      </c>
      <c r="C287" t="s">
        <v>71</v>
      </c>
      <c r="E287" t="str">
        <f>"3491953189022"</f>
        <v>3491953189022</v>
      </c>
      <c r="F287" t="str">
        <f>"3491955529635"</f>
        <v>3491955529635</v>
      </c>
      <c r="H287" t="s">
        <v>17</v>
      </c>
      <c r="I287">
        <v>95030049</v>
      </c>
      <c r="J287">
        <v>6</v>
      </c>
      <c r="K287">
        <v>1</v>
      </c>
      <c r="L287">
        <v>6</v>
      </c>
      <c r="M287">
        <v>7.9980000000000002</v>
      </c>
      <c r="N287">
        <v>7.1980000000000004</v>
      </c>
      <c r="O287">
        <v>24.05</v>
      </c>
      <c r="P287">
        <v>144.30000000000001</v>
      </c>
      <c r="Q287">
        <v>14.95</v>
      </c>
      <c r="R287">
        <v>89.7</v>
      </c>
    </row>
    <row r="288" spans="1:18" x14ac:dyDescent="0.25">
      <c r="A288">
        <v>18770083</v>
      </c>
      <c r="B288">
        <v>1002461</v>
      </c>
      <c r="C288" t="s">
        <v>72</v>
      </c>
      <c r="E288" t="str">
        <f>"3296580369003"</f>
        <v>3296580369003</v>
      </c>
      <c r="H288" t="s">
        <v>17</v>
      </c>
      <c r="I288">
        <v>95030021</v>
      </c>
      <c r="J288">
        <v>1</v>
      </c>
      <c r="K288">
        <v>1</v>
      </c>
      <c r="L288">
        <v>1</v>
      </c>
      <c r="M288">
        <v>0.25</v>
      </c>
      <c r="N288">
        <v>0.22500000000000001</v>
      </c>
      <c r="O288">
        <v>2.484</v>
      </c>
      <c r="P288">
        <v>2.484</v>
      </c>
      <c r="Q288">
        <v>12.94</v>
      </c>
      <c r="R288">
        <v>12.94</v>
      </c>
    </row>
    <row r="289" spans="1:18" x14ac:dyDescent="0.25">
      <c r="A289">
        <v>18770083</v>
      </c>
      <c r="B289">
        <v>999691</v>
      </c>
      <c r="C289" t="s">
        <v>73</v>
      </c>
      <c r="E289" t="str">
        <f>"5425002415846"</f>
        <v>5425002415846</v>
      </c>
      <c r="H289" t="s">
        <v>17</v>
      </c>
      <c r="I289">
        <v>95030075</v>
      </c>
      <c r="J289">
        <v>1</v>
      </c>
      <c r="K289">
        <v>2</v>
      </c>
      <c r="L289">
        <v>2</v>
      </c>
      <c r="M289">
        <v>0.79400000000000004</v>
      </c>
      <c r="N289">
        <v>0.71499999999999997</v>
      </c>
      <c r="O289">
        <v>4.1040000000000001</v>
      </c>
      <c r="P289">
        <v>8.2080000000000002</v>
      </c>
      <c r="Q289">
        <v>9.09</v>
      </c>
      <c r="R289">
        <v>18.18</v>
      </c>
    </row>
    <row r="290" spans="1:18" x14ac:dyDescent="0.25">
      <c r="A290">
        <v>18770083</v>
      </c>
      <c r="B290">
        <v>953027</v>
      </c>
      <c r="C290" t="s">
        <v>74</v>
      </c>
      <c r="E290" t="str">
        <f>"5420023187949"</f>
        <v>5420023187949</v>
      </c>
      <c r="H290" t="s">
        <v>17</v>
      </c>
      <c r="I290">
        <v>95030075</v>
      </c>
      <c r="J290">
        <v>1</v>
      </c>
      <c r="K290">
        <v>2</v>
      </c>
      <c r="L290">
        <v>2</v>
      </c>
      <c r="M290">
        <v>2.7240000000000002</v>
      </c>
      <c r="N290">
        <v>2.452</v>
      </c>
      <c r="O290">
        <v>16.8</v>
      </c>
      <c r="P290">
        <v>33.6</v>
      </c>
      <c r="Q290">
        <v>10.69</v>
      </c>
      <c r="R290">
        <v>21.38</v>
      </c>
    </row>
    <row r="291" spans="1:18" x14ac:dyDescent="0.25">
      <c r="A291">
        <v>18770083</v>
      </c>
      <c r="B291">
        <v>938436</v>
      </c>
      <c r="C291" t="s">
        <v>75</v>
      </c>
      <c r="E291" t="str">
        <f>"4891813542131"</f>
        <v>4891813542131</v>
      </c>
      <c r="H291" t="s">
        <v>17</v>
      </c>
      <c r="I291">
        <v>95030075</v>
      </c>
      <c r="J291">
        <v>1</v>
      </c>
      <c r="K291">
        <v>2</v>
      </c>
      <c r="L291">
        <v>2</v>
      </c>
      <c r="M291">
        <v>1.5820000000000001</v>
      </c>
      <c r="N291">
        <v>1.4239999999999999</v>
      </c>
      <c r="O291">
        <v>8.91</v>
      </c>
      <c r="P291">
        <v>17.82</v>
      </c>
      <c r="Q291">
        <v>14.08</v>
      </c>
      <c r="R291">
        <v>28.16</v>
      </c>
    </row>
    <row r="292" spans="1:18" x14ac:dyDescent="0.25">
      <c r="A292">
        <v>18770083</v>
      </c>
      <c r="B292">
        <v>907295</v>
      </c>
      <c r="C292" t="s">
        <v>76</v>
      </c>
      <c r="E292" t="str">
        <f>"5420023187901"</f>
        <v>5420023187901</v>
      </c>
      <c r="H292" t="s">
        <v>17</v>
      </c>
      <c r="I292">
        <v>95030075</v>
      </c>
      <c r="J292">
        <v>1</v>
      </c>
      <c r="K292">
        <v>4</v>
      </c>
      <c r="L292">
        <v>4</v>
      </c>
      <c r="M292">
        <v>1.4319999999999999</v>
      </c>
      <c r="N292">
        <v>1.2889999999999999</v>
      </c>
      <c r="O292">
        <v>5.1749999999999998</v>
      </c>
      <c r="P292">
        <v>20.7</v>
      </c>
      <c r="Q292">
        <v>3.16</v>
      </c>
      <c r="R292">
        <v>12.64</v>
      </c>
    </row>
    <row r="293" spans="1:18" x14ac:dyDescent="0.25">
      <c r="A293">
        <v>18770083</v>
      </c>
      <c r="B293">
        <v>953042</v>
      </c>
      <c r="C293" t="s">
        <v>77</v>
      </c>
      <c r="E293" t="str">
        <f>"5420023190376"</f>
        <v>5420023190376</v>
      </c>
      <c r="H293" t="s">
        <v>17</v>
      </c>
      <c r="I293">
        <v>95030075</v>
      </c>
      <c r="J293">
        <v>6</v>
      </c>
      <c r="K293">
        <v>1</v>
      </c>
      <c r="L293">
        <v>6</v>
      </c>
      <c r="M293">
        <v>2.1</v>
      </c>
      <c r="N293">
        <v>1.89</v>
      </c>
      <c r="O293">
        <v>2.6659999999999999</v>
      </c>
      <c r="P293">
        <v>15.996</v>
      </c>
      <c r="Q293">
        <v>2.4700000000000002</v>
      </c>
      <c r="R293">
        <v>14.82</v>
      </c>
    </row>
    <row r="294" spans="1:18" x14ac:dyDescent="0.25">
      <c r="A294">
        <v>18770083</v>
      </c>
      <c r="B294">
        <v>957389</v>
      </c>
      <c r="C294" t="s">
        <v>78</v>
      </c>
      <c r="E294" t="str">
        <f>"5400868008142"</f>
        <v>5400868008142</v>
      </c>
      <c r="F294" t="str">
        <f>"5400868017724"</f>
        <v>5400868017724</v>
      </c>
      <c r="H294" t="s">
        <v>17</v>
      </c>
      <c r="I294">
        <v>95030070</v>
      </c>
      <c r="J294">
        <v>6</v>
      </c>
      <c r="K294">
        <v>1</v>
      </c>
      <c r="L294">
        <v>6</v>
      </c>
      <c r="M294">
        <v>6.4980000000000002</v>
      </c>
      <c r="N294">
        <v>5.8479999999999999</v>
      </c>
      <c r="O294">
        <v>14.058</v>
      </c>
      <c r="P294">
        <v>84.347999999999999</v>
      </c>
      <c r="Q294">
        <v>12.47</v>
      </c>
      <c r="R294">
        <v>74.819999999999993</v>
      </c>
    </row>
    <row r="295" spans="1:18" x14ac:dyDescent="0.25">
      <c r="A295">
        <v>18770083</v>
      </c>
      <c r="B295">
        <v>1000267</v>
      </c>
      <c r="C295" t="s">
        <v>79</v>
      </c>
      <c r="E295" t="str">
        <f>"5413247094711"</f>
        <v>5413247094711</v>
      </c>
      <c r="H295" t="s">
        <v>17</v>
      </c>
      <c r="I295">
        <v>95030049</v>
      </c>
      <c r="J295">
        <v>12</v>
      </c>
      <c r="K295">
        <v>1</v>
      </c>
      <c r="L295">
        <v>12</v>
      </c>
      <c r="M295">
        <v>0.624</v>
      </c>
      <c r="N295">
        <v>0.56200000000000006</v>
      </c>
      <c r="O295">
        <v>0.64500000000000002</v>
      </c>
      <c r="P295">
        <v>7.74</v>
      </c>
      <c r="Q295">
        <v>0.76</v>
      </c>
      <c r="R295">
        <v>9.1199999999999992</v>
      </c>
    </row>
    <row r="296" spans="1:18" x14ac:dyDescent="0.25">
      <c r="A296">
        <v>18770083</v>
      </c>
      <c r="B296">
        <v>999773</v>
      </c>
      <c r="C296" t="s">
        <v>80</v>
      </c>
      <c r="E296" t="str">
        <f>"5400868013467"</f>
        <v>5400868013467</v>
      </c>
      <c r="H296" t="s">
        <v>17</v>
      </c>
      <c r="I296">
        <v>95030049</v>
      </c>
      <c r="J296">
        <v>1</v>
      </c>
      <c r="K296">
        <v>2</v>
      </c>
      <c r="L296">
        <v>2</v>
      </c>
      <c r="M296">
        <v>2.1659999999999999</v>
      </c>
      <c r="N296">
        <v>1.9490000000000001</v>
      </c>
      <c r="O296">
        <v>14.592000000000001</v>
      </c>
      <c r="P296">
        <v>29.184000000000001</v>
      </c>
      <c r="Q296">
        <v>12.26</v>
      </c>
      <c r="R296">
        <v>24.52</v>
      </c>
    </row>
    <row r="297" spans="1:18" x14ac:dyDescent="0.25">
      <c r="A297">
        <v>18770083</v>
      </c>
      <c r="B297">
        <v>991143</v>
      </c>
      <c r="C297" t="s">
        <v>81</v>
      </c>
      <c r="E297" t="str">
        <f>"3491955645533"</f>
        <v>3491955645533</v>
      </c>
      <c r="H297" t="s">
        <v>17</v>
      </c>
      <c r="I297">
        <v>95030095</v>
      </c>
      <c r="J297">
        <v>6</v>
      </c>
      <c r="K297">
        <v>1</v>
      </c>
      <c r="L297">
        <v>6</v>
      </c>
      <c r="M297">
        <v>4.9980000000000002</v>
      </c>
      <c r="N297">
        <v>4.4980000000000002</v>
      </c>
      <c r="O297">
        <v>4.1059999999999999</v>
      </c>
      <c r="P297">
        <v>24.635999999999999</v>
      </c>
      <c r="Q297">
        <v>3.33</v>
      </c>
      <c r="R297">
        <v>19.98</v>
      </c>
    </row>
    <row r="298" spans="1:18" x14ac:dyDescent="0.25">
      <c r="A298">
        <v>18770083</v>
      </c>
      <c r="B298">
        <v>1002446</v>
      </c>
      <c r="C298" t="s">
        <v>82</v>
      </c>
      <c r="E298" t="str">
        <f>"3296580369300"</f>
        <v>3296580369300</v>
      </c>
      <c r="H298" t="s">
        <v>17</v>
      </c>
      <c r="I298">
        <v>95030021</v>
      </c>
      <c r="J298">
        <v>1</v>
      </c>
      <c r="K298">
        <v>1</v>
      </c>
      <c r="L298">
        <v>1</v>
      </c>
      <c r="M298">
        <v>0.25</v>
      </c>
      <c r="N298">
        <v>0.22500000000000001</v>
      </c>
      <c r="O298">
        <v>2.484</v>
      </c>
      <c r="P298">
        <v>2.484</v>
      </c>
      <c r="Q298">
        <v>12.94</v>
      </c>
      <c r="R298">
        <v>12.94</v>
      </c>
    </row>
    <row r="299" spans="1:18" x14ac:dyDescent="0.25">
      <c r="A299">
        <v>18770083</v>
      </c>
      <c r="B299">
        <v>948639</v>
      </c>
      <c r="C299" t="s">
        <v>83</v>
      </c>
      <c r="E299" t="str">
        <f>"778988329368"</f>
        <v>778988329368</v>
      </c>
      <c r="F299" t="str">
        <f>"778988389478"</f>
        <v>778988389478</v>
      </c>
      <c r="H299" t="s">
        <v>17</v>
      </c>
      <c r="I299">
        <v>95030095</v>
      </c>
      <c r="J299">
        <v>3</v>
      </c>
      <c r="K299">
        <v>1</v>
      </c>
      <c r="L299">
        <v>3</v>
      </c>
      <c r="M299">
        <v>1.548</v>
      </c>
      <c r="N299">
        <v>1.393</v>
      </c>
      <c r="O299">
        <v>4.18</v>
      </c>
      <c r="P299">
        <v>12.54</v>
      </c>
      <c r="Q299">
        <v>17.36</v>
      </c>
      <c r="R299">
        <v>52.08</v>
      </c>
    </row>
    <row r="300" spans="1:18" x14ac:dyDescent="0.25">
      <c r="A300">
        <v>18770083</v>
      </c>
      <c r="B300">
        <v>1001975</v>
      </c>
      <c r="C300" t="s">
        <v>84</v>
      </c>
      <c r="E300" t="str">
        <f>"5055114295892"</f>
        <v>5055114295892</v>
      </c>
      <c r="F300" t="str">
        <f>"5055114295939"</f>
        <v>5055114295939</v>
      </c>
      <c r="G300" t="str">
        <f>"5055114296066"</f>
        <v>5055114296066</v>
      </c>
      <c r="H300" t="s">
        <v>17</v>
      </c>
      <c r="I300">
        <v>40169200</v>
      </c>
      <c r="J300">
        <v>12</v>
      </c>
      <c r="K300">
        <v>1</v>
      </c>
      <c r="L300">
        <v>12</v>
      </c>
      <c r="M300">
        <v>1.944</v>
      </c>
      <c r="N300">
        <v>1.75</v>
      </c>
      <c r="O300">
        <v>0.65400000000000003</v>
      </c>
      <c r="P300">
        <v>7.8479999999999999</v>
      </c>
      <c r="Q300">
        <v>1.35</v>
      </c>
      <c r="R300">
        <v>16.2</v>
      </c>
    </row>
    <row r="301" spans="1:18" x14ac:dyDescent="0.25">
      <c r="A301">
        <v>18770083</v>
      </c>
      <c r="B301">
        <v>1008055</v>
      </c>
      <c r="C301" t="s">
        <v>85</v>
      </c>
      <c r="E301" t="str">
        <f>"5010993797806"</f>
        <v>5010993797806</v>
      </c>
      <c r="H301" t="s">
        <v>17</v>
      </c>
      <c r="I301">
        <v>95030049</v>
      </c>
      <c r="J301">
        <v>1</v>
      </c>
      <c r="K301">
        <v>2</v>
      </c>
      <c r="L301">
        <v>2</v>
      </c>
      <c r="M301">
        <v>0.6</v>
      </c>
      <c r="N301">
        <v>0.54</v>
      </c>
      <c r="O301">
        <v>1.875</v>
      </c>
      <c r="P301">
        <v>3.75</v>
      </c>
      <c r="Q301">
        <v>11.17</v>
      </c>
      <c r="R301">
        <v>22.34</v>
      </c>
    </row>
    <row r="302" spans="1:18" x14ac:dyDescent="0.25">
      <c r="A302">
        <v>18770083</v>
      </c>
      <c r="B302">
        <v>1005426</v>
      </c>
      <c r="C302" t="s">
        <v>86</v>
      </c>
      <c r="E302" t="str">
        <f>"3301040321351"</f>
        <v>3301040321351</v>
      </c>
      <c r="H302" t="s">
        <v>17</v>
      </c>
      <c r="I302">
        <v>95030095</v>
      </c>
      <c r="J302">
        <v>12</v>
      </c>
      <c r="K302">
        <v>1</v>
      </c>
      <c r="L302">
        <v>12</v>
      </c>
      <c r="M302">
        <v>0.66</v>
      </c>
      <c r="N302">
        <v>0.59399999999999997</v>
      </c>
      <c r="O302">
        <v>0.33300000000000002</v>
      </c>
      <c r="P302">
        <v>3.996</v>
      </c>
      <c r="Q302">
        <v>0.81</v>
      </c>
      <c r="R302">
        <v>9.7200000000000006</v>
      </c>
    </row>
    <row r="303" spans="1:18" x14ac:dyDescent="0.25">
      <c r="A303">
        <v>18770083</v>
      </c>
      <c r="B303">
        <v>1008075</v>
      </c>
      <c r="C303" t="s">
        <v>87</v>
      </c>
      <c r="E303" t="str">
        <f>"5010993789344"</f>
        <v>5010993789344</v>
      </c>
      <c r="H303" t="s">
        <v>17</v>
      </c>
      <c r="I303">
        <v>95030021</v>
      </c>
      <c r="J303">
        <v>1</v>
      </c>
      <c r="K303">
        <v>2</v>
      </c>
      <c r="L303">
        <v>2</v>
      </c>
      <c r="M303">
        <v>0.65</v>
      </c>
      <c r="N303">
        <v>0.58499999999999996</v>
      </c>
      <c r="O303">
        <v>1.79</v>
      </c>
      <c r="P303">
        <v>3.58</v>
      </c>
      <c r="Q303">
        <v>11.17</v>
      </c>
      <c r="R303">
        <v>22.34</v>
      </c>
    </row>
    <row r="304" spans="1:18" x14ac:dyDescent="0.25">
      <c r="A304">
        <v>18770083</v>
      </c>
      <c r="B304">
        <v>602859</v>
      </c>
      <c r="C304" t="s">
        <v>88</v>
      </c>
      <c r="E304" t="str">
        <f>"5010993812851"</f>
        <v>5010993812851</v>
      </c>
      <c r="F304" t="str">
        <f>"5010994941796"</f>
        <v>5010994941796</v>
      </c>
      <c r="G304" t="str">
        <f>"5010993591855"</f>
        <v>5010993591855</v>
      </c>
      <c r="H304" t="s">
        <v>69</v>
      </c>
      <c r="I304">
        <v>95030049</v>
      </c>
      <c r="J304">
        <v>4</v>
      </c>
      <c r="K304">
        <v>1</v>
      </c>
      <c r="L304">
        <v>4</v>
      </c>
      <c r="M304">
        <v>2.48</v>
      </c>
      <c r="N304">
        <v>2.2320000000000002</v>
      </c>
      <c r="O304">
        <v>1.9359999999999999</v>
      </c>
      <c r="P304">
        <v>7.7439999999999998</v>
      </c>
      <c r="Q304">
        <v>11.17</v>
      </c>
      <c r="R304">
        <v>44.68</v>
      </c>
    </row>
    <row r="305" spans="1:18" x14ac:dyDescent="0.25">
      <c r="A305">
        <v>18770083</v>
      </c>
      <c r="B305">
        <v>962481</v>
      </c>
      <c r="C305" t="s">
        <v>89</v>
      </c>
      <c r="E305" t="str">
        <f>"5413247092489"</f>
        <v>5413247092489</v>
      </c>
      <c r="H305" t="s">
        <v>17</v>
      </c>
      <c r="I305">
        <v>95030049</v>
      </c>
      <c r="J305">
        <v>1</v>
      </c>
      <c r="K305">
        <v>3</v>
      </c>
      <c r="L305">
        <v>3</v>
      </c>
      <c r="M305">
        <v>1.8120000000000001</v>
      </c>
      <c r="N305">
        <v>1.631</v>
      </c>
      <c r="O305">
        <v>6.1879999999999997</v>
      </c>
      <c r="P305">
        <v>18.564</v>
      </c>
      <c r="Q305">
        <v>6.28</v>
      </c>
      <c r="R305">
        <v>18.84</v>
      </c>
    </row>
    <row r="306" spans="1:18" x14ac:dyDescent="0.25">
      <c r="A306">
        <v>18770083</v>
      </c>
      <c r="B306">
        <v>999677</v>
      </c>
      <c r="C306" t="s">
        <v>90</v>
      </c>
      <c r="E306" t="str">
        <f>"4891813547242"</f>
        <v>4891813547242</v>
      </c>
      <c r="H306" t="s">
        <v>17</v>
      </c>
      <c r="I306">
        <v>95030075</v>
      </c>
      <c r="J306">
        <v>1</v>
      </c>
      <c r="K306">
        <v>2</v>
      </c>
      <c r="L306">
        <v>2</v>
      </c>
      <c r="M306">
        <v>0.65</v>
      </c>
      <c r="N306">
        <v>0.58499999999999996</v>
      </c>
      <c r="O306">
        <v>3.141</v>
      </c>
      <c r="P306">
        <v>6.282</v>
      </c>
      <c r="Q306">
        <v>9.2899999999999991</v>
      </c>
      <c r="R306">
        <v>18.579999999999998</v>
      </c>
    </row>
    <row r="307" spans="1:18" x14ac:dyDescent="0.25">
      <c r="A307">
        <v>18770083</v>
      </c>
      <c r="B307">
        <v>953056</v>
      </c>
      <c r="C307" t="s">
        <v>91</v>
      </c>
      <c r="E307" t="str">
        <f>"5420023190505"</f>
        <v>5420023190505</v>
      </c>
      <c r="H307" t="s">
        <v>17</v>
      </c>
      <c r="I307">
        <v>95030075</v>
      </c>
      <c r="J307">
        <v>1</v>
      </c>
      <c r="K307">
        <v>2</v>
      </c>
      <c r="L307">
        <v>2</v>
      </c>
      <c r="M307">
        <v>1.25</v>
      </c>
      <c r="N307">
        <v>1.125</v>
      </c>
      <c r="O307">
        <v>9.798</v>
      </c>
      <c r="P307">
        <v>19.596</v>
      </c>
      <c r="Q307">
        <v>8.99</v>
      </c>
      <c r="R307">
        <v>17.98</v>
      </c>
    </row>
    <row r="308" spans="1:18" x14ac:dyDescent="0.25">
      <c r="A308">
        <v>18770083</v>
      </c>
      <c r="B308">
        <v>953039</v>
      </c>
      <c r="C308" t="s">
        <v>92</v>
      </c>
      <c r="E308" t="str">
        <f>"5420023190581"</f>
        <v>5420023190581</v>
      </c>
      <c r="H308" t="s">
        <v>17</v>
      </c>
      <c r="I308">
        <v>95030075</v>
      </c>
      <c r="J308">
        <v>1</v>
      </c>
      <c r="K308">
        <v>2</v>
      </c>
      <c r="L308">
        <v>2</v>
      </c>
      <c r="M308">
        <v>1.5660000000000001</v>
      </c>
      <c r="N308">
        <v>1.409</v>
      </c>
      <c r="O308">
        <v>10.936999999999999</v>
      </c>
      <c r="P308">
        <v>21.873999999999999</v>
      </c>
      <c r="Q308">
        <v>6.42</v>
      </c>
      <c r="R308">
        <v>12.84</v>
      </c>
    </row>
    <row r="309" spans="1:18" x14ac:dyDescent="0.25">
      <c r="A309">
        <v>18770083</v>
      </c>
      <c r="B309">
        <v>999688</v>
      </c>
      <c r="C309" t="s">
        <v>93</v>
      </c>
      <c r="E309" t="str">
        <f>"5425002416065"</f>
        <v>5425002416065</v>
      </c>
      <c r="H309" t="s">
        <v>17</v>
      </c>
      <c r="I309">
        <v>95030049</v>
      </c>
      <c r="J309">
        <v>1</v>
      </c>
      <c r="K309">
        <v>2</v>
      </c>
      <c r="L309">
        <v>2</v>
      </c>
      <c r="M309">
        <v>0.7</v>
      </c>
      <c r="N309">
        <v>0.63</v>
      </c>
      <c r="O309">
        <v>3.7719999999999998</v>
      </c>
      <c r="P309">
        <v>7.5439999999999996</v>
      </c>
      <c r="Q309">
        <v>5.84</v>
      </c>
      <c r="R309">
        <v>11.68</v>
      </c>
    </row>
    <row r="310" spans="1:18" x14ac:dyDescent="0.25">
      <c r="A310">
        <v>18771163</v>
      </c>
      <c r="B310">
        <v>980884</v>
      </c>
      <c r="C310" t="s">
        <v>94</v>
      </c>
      <c r="E310" t="str">
        <f>"2000007079403"</f>
        <v>2000007079403</v>
      </c>
      <c r="H310" t="s">
        <v>95</v>
      </c>
      <c r="I310">
        <v>61109090</v>
      </c>
      <c r="J310">
        <v>6</v>
      </c>
      <c r="K310">
        <v>1</v>
      </c>
      <c r="L310">
        <v>6</v>
      </c>
      <c r="M310">
        <v>1.998</v>
      </c>
      <c r="N310">
        <v>1.798</v>
      </c>
      <c r="O310">
        <v>3.391</v>
      </c>
      <c r="P310">
        <v>20.346</v>
      </c>
      <c r="Q310">
        <v>5.36</v>
      </c>
      <c r="R310">
        <v>32.159999999999997</v>
      </c>
    </row>
    <row r="311" spans="1:18" x14ac:dyDescent="0.25">
      <c r="A311">
        <v>18771163</v>
      </c>
      <c r="B311">
        <v>981038</v>
      </c>
      <c r="C311" t="s">
        <v>96</v>
      </c>
      <c r="E311" t="str">
        <f>"2000007113978"</f>
        <v>2000007113978</v>
      </c>
      <c r="H311" t="s">
        <v>97</v>
      </c>
      <c r="I311">
        <v>62046990</v>
      </c>
      <c r="J311">
        <v>6</v>
      </c>
      <c r="K311">
        <v>1</v>
      </c>
      <c r="L311">
        <v>6</v>
      </c>
      <c r="M311">
        <v>1.1100000000000001</v>
      </c>
      <c r="N311">
        <v>0.999</v>
      </c>
      <c r="O311">
        <v>1.6659999999999999</v>
      </c>
      <c r="P311">
        <v>9.9960000000000004</v>
      </c>
      <c r="Q311">
        <v>5.13</v>
      </c>
      <c r="R311">
        <v>30.78</v>
      </c>
    </row>
    <row r="312" spans="1:18" x14ac:dyDescent="0.25">
      <c r="A312">
        <v>18771163</v>
      </c>
      <c r="B312">
        <v>980738</v>
      </c>
      <c r="C312" t="s">
        <v>98</v>
      </c>
      <c r="E312" t="str">
        <f>"2000007088399"</f>
        <v>2000007088399</v>
      </c>
      <c r="H312" t="s">
        <v>99</v>
      </c>
      <c r="I312">
        <v>61091000</v>
      </c>
      <c r="J312">
        <v>6</v>
      </c>
      <c r="K312">
        <v>1</v>
      </c>
      <c r="L312">
        <v>6</v>
      </c>
      <c r="M312">
        <v>0.72</v>
      </c>
      <c r="N312">
        <v>0.64800000000000002</v>
      </c>
      <c r="O312">
        <v>0.8</v>
      </c>
      <c r="P312">
        <v>4.8</v>
      </c>
      <c r="Q312">
        <v>2.78</v>
      </c>
      <c r="R312">
        <v>16.68</v>
      </c>
    </row>
    <row r="313" spans="1:18" x14ac:dyDescent="0.25">
      <c r="A313">
        <v>18771163</v>
      </c>
      <c r="B313">
        <v>980744</v>
      </c>
      <c r="C313" t="s">
        <v>100</v>
      </c>
      <c r="E313" t="str">
        <f>"2000007072121"</f>
        <v>2000007072121</v>
      </c>
      <c r="H313" t="s">
        <v>101</v>
      </c>
      <c r="I313">
        <v>61046200</v>
      </c>
      <c r="J313">
        <v>1</v>
      </c>
      <c r="K313">
        <v>6</v>
      </c>
      <c r="L313">
        <v>6</v>
      </c>
      <c r="M313">
        <v>1.4159999999999999</v>
      </c>
      <c r="N313">
        <v>1.274</v>
      </c>
      <c r="O313">
        <v>2.266</v>
      </c>
      <c r="P313">
        <v>13.596</v>
      </c>
      <c r="Q313">
        <v>4.22</v>
      </c>
      <c r="R313">
        <v>25.32</v>
      </c>
    </row>
    <row r="314" spans="1:18" x14ac:dyDescent="0.25">
      <c r="A314">
        <v>18771163</v>
      </c>
      <c r="B314">
        <v>1020567</v>
      </c>
      <c r="C314" t="s">
        <v>102</v>
      </c>
      <c r="E314" t="str">
        <f>"2000007114951"</f>
        <v>2000007114951</v>
      </c>
      <c r="H314" t="s">
        <v>97</v>
      </c>
      <c r="I314">
        <v>62044990</v>
      </c>
      <c r="J314">
        <v>1</v>
      </c>
      <c r="K314">
        <v>6</v>
      </c>
      <c r="L314">
        <v>6</v>
      </c>
      <c r="M314">
        <v>1.1220000000000001</v>
      </c>
      <c r="N314">
        <v>1.01</v>
      </c>
      <c r="O314">
        <v>0.01</v>
      </c>
      <c r="P314">
        <v>0.06</v>
      </c>
      <c r="Q314">
        <v>8.3000000000000007</v>
      </c>
      <c r="R314">
        <v>49.8</v>
      </c>
    </row>
    <row r="315" spans="1:18" x14ac:dyDescent="0.25">
      <c r="A315">
        <v>18771163</v>
      </c>
      <c r="B315">
        <v>980886</v>
      </c>
      <c r="C315" t="s">
        <v>103</v>
      </c>
      <c r="E315" t="str">
        <f>"2000007072138"</f>
        <v>2000007072138</v>
      </c>
      <c r="H315" t="s">
        <v>101</v>
      </c>
      <c r="I315">
        <v>61046200</v>
      </c>
      <c r="J315">
        <v>6</v>
      </c>
      <c r="K315">
        <v>1</v>
      </c>
      <c r="L315">
        <v>6</v>
      </c>
      <c r="M315">
        <v>1.8120000000000001</v>
      </c>
      <c r="N315">
        <v>1.631</v>
      </c>
      <c r="O315">
        <v>0.01</v>
      </c>
      <c r="P315">
        <v>0.06</v>
      </c>
      <c r="Q315">
        <v>4.22</v>
      </c>
      <c r="R315">
        <v>25.32</v>
      </c>
    </row>
    <row r="316" spans="1:18" x14ac:dyDescent="0.25">
      <c r="A316">
        <v>18771163</v>
      </c>
      <c r="B316">
        <v>980883</v>
      </c>
      <c r="C316" t="s">
        <v>104</v>
      </c>
      <c r="E316" t="str">
        <f>"2000007088405"</f>
        <v>2000007088405</v>
      </c>
      <c r="H316" t="s">
        <v>99</v>
      </c>
      <c r="I316">
        <v>61091000</v>
      </c>
      <c r="J316">
        <v>6</v>
      </c>
      <c r="K316">
        <v>1</v>
      </c>
      <c r="L316">
        <v>6</v>
      </c>
      <c r="M316">
        <v>0.996</v>
      </c>
      <c r="N316">
        <v>0.89600000000000002</v>
      </c>
      <c r="O316">
        <v>1.0249999999999999</v>
      </c>
      <c r="P316">
        <v>6.15</v>
      </c>
      <c r="Q316">
        <v>2.78</v>
      </c>
      <c r="R316">
        <v>16.68</v>
      </c>
    </row>
    <row r="317" spans="1:18" x14ac:dyDescent="0.25">
      <c r="A317">
        <v>18771163</v>
      </c>
      <c r="B317">
        <v>980740</v>
      </c>
      <c r="C317" t="s">
        <v>105</v>
      </c>
      <c r="E317" t="str">
        <f>"2000007079397"</f>
        <v>2000007079397</v>
      </c>
      <c r="H317" t="s">
        <v>95</v>
      </c>
      <c r="I317">
        <v>61109090</v>
      </c>
      <c r="J317">
        <v>6</v>
      </c>
      <c r="K317">
        <v>1</v>
      </c>
      <c r="L317">
        <v>6</v>
      </c>
      <c r="M317">
        <v>1.5</v>
      </c>
      <c r="N317">
        <v>1.35</v>
      </c>
      <c r="O317">
        <v>2.5030000000000001</v>
      </c>
      <c r="P317">
        <v>15.018000000000001</v>
      </c>
      <c r="Q317">
        <v>5.36</v>
      </c>
      <c r="R317">
        <v>32.159999999999997</v>
      </c>
    </row>
    <row r="318" spans="1:18" x14ac:dyDescent="0.25">
      <c r="A318">
        <v>18771163</v>
      </c>
      <c r="B318">
        <v>980633</v>
      </c>
      <c r="C318" t="s">
        <v>106</v>
      </c>
      <c r="E318" t="str">
        <f>"2000007114890"</f>
        <v>2000007114890</v>
      </c>
      <c r="H318" t="s">
        <v>97</v>
      </c>
      <c r="I318">
        <v>62069090</v>
      </c>
      <c r="J318">
        <v>6</v>
      </c>
      <c r="K318">
        <v>1</v>
      </c>
      <c r="L318">
        <v>6</v>
      </c>
      <c r="M318">
        <v>1.05</v>
      </c>
      <c r="N318">
        <v>0.94499999999999995</v>
      </c>
      <c r="O318">
        <v>1.333</v>
      </c>
      <c r="P318">
        <v>7.9980000000000002</v>
      </c>
      <c r="Q318">
        <v>5.84</v>
      </c>
      <c r="R318">
        <v>35.04</v>
      </c>
    </row>
    <row r="319" spans="1:18" x14ac:dyDescent="0.25">
      <c r="A319">
        <v>18771163</v>
      </c>
      <c r="B319">
        <v>980691</v>
      </c>
      <c r="C319" t="s">
        <v>107</v>
      </c>
      <c r="E319" t="str">
        <f>"2000007114906"</f>
        <v>2000007114906</v>
      </c>
      <c r="H319" t="s">
        <v>97</v>
      </c>
      <c r="I319">
        <v>62069090</v>
      </c>
      <c r="J319">
        <v>1</v>
      </c>
      <c r="K319">
        <v>6</v>
      </c>
      <c r="L319">
        <v>6</v>
      </c>
      <c r="M319">
        <v>1.8480000000000001</v>
      </c>
      <c r="N319">
        <v>1.663</v>
      </c>
      <c r="O319">
        <v>2</v>
      </c>
      <c r="P319">
        <v>12</v>
      </c>
      <c r="Q319">
        <v>8.3000000000000007</v>
      </c>
      <c r="R319">
        <v>49.8</v>
      </c>
    </row>
    <row r="320" spans="1:18" x14ac:dyDescent="0.25">
      <c r="A320">
        <v>18771163</v>
      </c>
      <c r="B320">
        <v>980634</v>
      </c>
      <c r="C320" t="s">
        <v>108</v>
      </c>
      <c r="E320" t="str">
        <f>"2000007114920"</f>
        <v>2000007114920</v>
      </c>
      <c r="H320" t="s">
        <v>97</v>
      </c>
      <c r="I320">
        <v>62045990</v>
      </c>
      <c r="J320">
        <v>6</v>
      </c>
      <c r="K320">
        <v>1</v>
      </c>
      <c r="L320">
        <v>6</v>
      </c>
      <c r="M320">
        <v>1.266</v>
      </c>
      <c r="N320">
        <v>1.139</v>
      </c>
      <c r="O320">
        <v>2</v>
      </c>
      <c r="P320">
        <v>12</v>
      </c>
      <c r="Q320">
        <v>6.34</v>
      </c>
      <c r="R320">
        <v>38.04</v>
      </c>
    </row>
    <row r="321" spans="1:18" x14ac:dyDescent="0.25">
      <c r="A321">
        <v>18771163</v>
      </c>
      <c r="B321">
        <v>1020568</v>
      </c>
      <c r="C321" t="s">
        <v>109</v>
      </c>
      <c r="E321" t="str">
        <f>"2000007114944"</f>
        <v>2000007114944</v>
      </c>
      <c r="H321" t="s">
        <v>97</v>
      </c>
      <c r="I321">
        <v>62044990</v>
      </c>
      <c r="J321">
        <v>6</v>
      </c>
      <c r="K321">
        <v>1</v>
      </c>
      <c r="L321">
        <v>6</v>
      </c>
      <c r="M321">
        <v>1.3620000000000001</v>
      </c>
      <c r="N321">
        <v>1.226</v>
      </c>
      <c r="O321">
        <v>2</v>
      </c>
      <c r="P321">
        <v>12</v>
      </c>
      <c r="Q321">
        <v>7.19</v>
      </c>
      <c r="R321">
        <v>43.14</v>
      </c>
    </row>
    <row r="322" spans="1:18" x14ac:dyDescent="0.25">
      <c r="A322">
        <v>18771163</v>
      </c>
      <c r="B322">
        <v>978085</v>
      </c>
      <c r="C322" t="s">
        <v>110</v>
      </c>
      <c r="E322" t="str">
        <f>"2000007084070"</f>
        <v>2000007084070</v>
      </c>
      <c r="H322" t="s">
        <v>17</v>
      </c>
      <c r="I322">
        <v>39262000</v>
      </c>
      <c r="J322">
        <v>2</v>
      </c>
      <c r="K322">
        <v>1</v>
      </c>
      <c r="L322">
        <v>2</v>
      </c>
      <c r="M322">
        <v>2E-3</v>
      </c>
      <c r="N322">
        <v>2E-3</v>
      </c>
      <c r="O322">
        <v>0.26900000000000002</v>
      </c>
      <c r="P322">
        <v>0.53800000000000003</v>
      </c>
      <c r="Q322">
        <v>0.86</v>
      </c>
      <c r="R322">
        <v>1.72</v>
      </c>
    </row>
    <row r="323" spans="1:18" x14ac:dyDescent="0.25">
      <c r="A323">
        <v>18771163</v>
      </c>
      <c r="B323">
        <v>978084</v>
      </c>
      <c r="C323" t="s">
        <v>111</v>
      </c>
      <c r="E323" t="str">
        <f>"2000007084063"</f>
        <v>2000007084063</v>
      </c>
      <c r="H323" t="s">
        <v>17</v>
      </c>
      <c r="I323">
        <v>39262000</v>
      </c>
      <c r="J323">
        <v>2</v>
      </c>
      <c r="K323">
        <v>1</v>
      </c>
      <c r="L323">
        <v>2</v>
      </c>
      <c r="M323">
        <v>0.11</v>
      </c>
      <c r="N323">
        <v>9.9000000000000005E-2</v>
      </c>
      <c r="O323">
        <v>0.01</v>
      </c>
      <c r="P323">
        <v>0.02</v>
      </c>
      <c r="Q323">
        <v>0.86</v>
      </c>
      <c r="R323">
        <v>1.72</v>
      </c>
    </row>
    <row r="324" spans="1:18" x14ac:dyDescent="0.25">
      <c r="A324">
        <v>18771163</v>
      </c>
      <c r="B324">
        <v>980150</v>
      </c>
      <c r="C324" t="s">
        <v>112</v>
      </c>
      <c r="E324" t="str">
        <f>"2000007085718"</f>
        <v>2000007085718</v>
      </c>
      <c r="H324" t="s">
        <v>101</v>
      </c>
      <c r="I324">
        <v>62034231</v>
      </c>
      <c r="J324">
        <v>6</v>
      </c>
      <c r="K324">
        <v>1</v>
      </c>
      <c r="L324">
        <v>6</v>
      </c>
      <c r="M324">
        <v>1.998</v>
      </c>
      <c r="N324">
        <v>1.798</v>
      </c>
      <c r="O324">
        <v>3.024</v>
      </c>
      <c r="P324">
        <v>18.143999999999998</v>
      </c>
      <c r="Q324">
        <v>5.39</v>
      </c>
      <c r="R324">
        <v>32.340000000000003</v>
      </c>
    </row>
    <row r="325" spans="1:18" x14ac:dyDescent="0.25">
      <c r="A325">
        <v>18771163</v>
      </c>
      <c r="B325">
        <v>980111</v>
      </c>
      <c r="C325" t="s">
        <v>113</v>
      </c>
      <c r="E325" t="str">
        <f>"2000007088320"</f>
        <v>2000007088320</v>
      </c>
      <c r="H325" t="s">
        <v>99</v>
      </c>
      <c r="I325">
        <v>61091000</v>
      </c>
      <c r="J325">
        <v>6</v>
      </c>
      <c r="K325">
        <v>1</v>
      </c>
      <c r="L325">
        <v>6</v>
      </c>
      <c r="M325">
        <v>1.83</v>
      </c>
      <c r="N325">
        <v>1.647</v>
      </c>
      <c r="O325">
        <v>2</v>
      </c>
      <c r="P325">
        <v>12</v>
      </c>
      <c r="Q325">
        <v>4.5199999999999996</v>
      </c>
      <c r="R325">
        <v>27.12</v>
      </c>
    </row>
    <row r="326" spans="1:18" x14ac:dyDescent="0.25">
      <c r="A326">
        <v>18771163</v>
      </c>
      <c r="B326">
        <v>980046</v>
      </c>
      <c r="C326" t="s">
        <v>114</v>
      </c>
      <c r="E326" t="str">
        <f>"2000007083790"</f>
        <v>2000007083790</v>
      </c>
      <c r="H326" t="s">
        <v>95</v>
      </c>
      <c r="I326">
        <v>61101910</v>
      </c>
      <c r="J326">
        <v>6</v>
      </c>
      <c r="K326">
        <v>1</v>
      </c>
      <c r="L326">
        <v>6</v>
      </c>
      <c r="M326">
        <v>1.77</v>
      </c>
      <c r="N326">
        <v>1.593</v>
      </c>
      <c r="O326">
        <v>2.2749999999999999</v>
      </c>
      <c r="P326">
        <v>13.65</v>
      </c>
      <c r="Q326">
        <v>5.25</v>
      </c>
      <c r="R326">
        <v>31.5</v>
      </c>
    </row>
    <row r="327" spans="1:18" x14ac:dyDescent="0.25">
      <c r="A327">
        <v>18771163</v>
      </c>
      <c r="B327">
        <v>980110</v>
      </c>
      <c r="C327" t="s">
        <v>115</v>
      </c>
      <c r="E327" t="str">
        <f>"2000007083806"</f>
        <v>2000007083806</v>
      </c>
      <c r="H327" t="s">
        <v>95</v>
      </c>
      <c r="I327">
        <v>61101910</v>
      </c>
      <c r="J327">
        <v>1</v>
      </c>
      <c r="K327">
        <v>6</v>
      </c>
      <c r="L327">
        <v>6</v>
      </c>
      <c r="M327">
        <v>2.85</v>
      </c>
      <c r="N327">
        <v>2.5649999999999999</v>
      </c>
      <c r="O327">
        <v>0.43</v>
      </c>
      <c r="P327">
        <v>2.58</v>
      </c>
      <c r="Q327">
        <v>6.13</v>
      </c>
      <c r="R327">
        <v>36.78</v>
      </c>
    </row>
    <row r="328" spans="1:18" x14ac:dyDescent="0.25">
      <c r="A328">
        <v>18771163</v>
      </c>
      <c r="B328">
        <v>980157</v>
      </c>
      <c r="C328" t="s">
        <v>116</v>
      </c>
      <c r="E328" t="str">
        <f>"2000007085732"</f>
        <v>2000007085732</v>
      </c>
      <c r="H328" t="s">
        <v>101</v>
      </c>
      <c r="I328">
        <v>62034231</v>
      </c>
      <c r="J328">
        <v>6</v>
      </c>
      <c r="K328">
        <v>1</v>
      </c>
      <c r="L328">
        <v>6</v>
      </c>
      <c r="M328">
        <v>2.298</v>
      </c>
      <c r="N328">
        <v>2.0680000000000001</v>
      </c>
      <c r="O328">
        <v>2.88</v>
      </c>
      <c r="P328">
        <v>17.28</v>
      </c>
      <c r="Q328">
        <v>5.39</v>
      </c>
      <c r="R328">
        <v>32.340000000000003</v>
      </c>
    </row>
    <row r="329" spans="1:18" x14ac:dyDescent="0.25">
      <c r="A329">
        <v>18771163</v>
      </c>
      <c r="B329">
        <v>980047</v>
      </c>
      <c r="C329" t="s">
        <v>117</v>
      </c>
      <c r="E329" t="str">
        <f>"2000007088313"</f>
        <v>2000007088313</v>
      </c>
      <c r="H329" t="s">
        <v>99</v>
      </c>
      <c r="I329">
        <v>61091000</v>
      </c>
      <c r="J329">
        <v>6</v>
      </c>
      <c r="K329">
        <v>1</v>
      </c>
      <c r="L329">
        <v>6</v>
      </c>
      <c r="M329">
        <v>0.9</v>
      </c>
      <c r="N329">
        <v>0.81</v>
      </c>
      <c r="O329">
        <v>2.6669999999999998</v>
      </c>
      <c r="P329">
        <v>16.001999999999999</v>
      </c>
      <c r="Q329">
        <v>4.5199999999999996</v>
      </c>
      <c r="R329">
        <v>27.12</v>
      </c>
    </row>
    <row r="330" spans="1:18" x14ac:dyDescent="0.25">
      <c r="A330">
        <v>18771163</v>
      </c>
      <c r="B330">
        <v>980239</v>
      </c>
      <c r="C330" t="s">
        <v>118</v>
      </c>
      <c r="E330" t="str">
        <f>"2000007063464"</f>
        <v>2000007063464</v>
      </c>
      <c r="H330" t="s">
        <v>99</v>
      </c>
      <c r="I330">
        <v>62033990</v>
      </c>
      <c r="J330">
        <v>1</v>
      </c>
      <c r="K330">
        <v>6</v>
      </c>
      <c r="L330">
        <v>6</v>
      </c>
      <c r="M330">
        <v>5.4</v>
      </c>
      <c r="N330">
        <v>4.8600000000000003</v>
      </c>
      <c r="O330">
        <v>1.5880000000000001</v>
      </c>
      <c r="P330">
        <v>9.5280000000000005</v>
      </c>
      <c r="Q330">
        <v>8.7899999999999991</v>
      </c>
      <c r="R330">
        <v>52.74</v>
      </c>
    </row>
    <row r="331" spans="1:18" x14ac:dyDescent="0.25">
      <c r="A331">
        <v>18771163</v>
      </c>
      <c r="B331">
        <v>980887</v>
      </c>
      <c r="C331" t="s">
        <v>119</v>
      </c>
      <c r="E331" t="str">
        <f>"2000007079380"</f>
        <v>2000007079380</v>
      </c>
      <c r="H331" t="s">
        <v>95</v>
      </c>
      <c r="I331">
        <v>61109090</v>
      </c>
      <c r="J331">
        <v>6</v>
      </c>
      <c r="K331">
        <v>1</v>
      </c>
      <c r="L331">
        <v>6</v>
      </c>
      <c r="M331">
        <v>1.698</v>
      </c>
      <c r="N331">
        <v>1.528</v>
      </c>
      <c r="O331">
        <v>2.46</v>
      </c>
      <c r="P331">
        <v>14.76</v>
      </c>
      <c r="Q331">
        <v>5.29</v>
      </c>
      <c r="R331">
        <v>31.74</v>
      </c>
    </row>
    <row r="332" spans="1:18" x14ac:dyDescent="0.25">
      <c r="A332">
        <v>18771163</v>
      </c>
      <c r="B332">
        <v>980743</v>
      </c>
      <c r="C332" t="s">
        <v>120</v>
      </c>
      <c r="E332" t="str">
        <f>"2000007086890"</f>
        <v>2000007086890</v>
      </c>
      <c r="H332" t="s">
        <v>101</v>
      </c>
      <c r="I332">
        <v>61046300</v>
      </c>
      <c r="J332">
        <v>6</v>
      </c>
      <c r="K332">
        <v>1</v>
      </c>
      <c r="L332">
        <v>6</v>
      </c>
      <c r="M332">
        <v>1.6739999999999999</v>
      </c>
      <c r="N332">
        <v>1.5069999999999999</v>
      </c>
      <c r="O332">
        <v>2.2029999999999998</v>
      </c>
      <c r="P332">
        <v>13.218</v>
      </c>
      <c r="Q332">
        <v>5.68</v>
      </c>
      <c r="R332">
        <v>34.08</v>
      </c>
    </row>
    <row r="333" spans="1:18" x14ac:dyDescent="0.25">
      <c r="A333">
        <v>18771163</v>
      </c>
      <c r="B333">
        <v>980739</v>
      </c>
      <c r="C333" t="s">
        <v>121</v>
      </c>
      <c r="E333" t="str">
        <f>"2000007067653"</f>
        <v>2000007067653</v>
      </c>
      <c r="H333" t="s">
        <v>17</v>
      </c>
      <c r="I333">
        <v>61103010</v>
      </c>
      <c r="J333">
        <v>6</v>
      </c>
      <c r="K333">
        <v>1</v>
      </c>
      <c r="L333">
        <v>6</v>
      </c>
      <c r="M333">
        <v>1.3979999999999999</v>
      </c>
      <c r="N333">
        <v>1.258</v>
      </c>
      <c r="O333">
        <v>2.5710000000000002</v>
      </c>
      <c r="P333">
        <v>15.426</v>
      </c>
      <c r="Q333">
        <v>5.91</v>
      </c>
      <c r="R333">
        <v>35.46</v>
      </c>
    </row>
    <row r="334" spans="1:18" x14ac:dyDescent="0.25">
      <c r="A334">
        <v>18771163</v>
      </c>
      <c r="B334">
        <v>980742</v>
      </c>
      <c r="C334" t="s">
        <v>122</v>
      </c>
      <c r="E334" t="str">
        <f>"2000007079373"</f>
        <v>2000007079373</v>
      </c>
      <c r="H334" t="s">
        <v>95</v>
      </c>
      <c r="I334">
        <v>61109090</v>
      </c>
      <c r="J334">
        <v>6</v>
      </c>
      <c r="K334">
        <v>1</v>
      </c>
      <c r="L334">
        <v>6</v>
      </c>
      <c r="M334">
        <v>1.1399999999999999</v>
      </c>
      <c r="N334">
        <v>1.026</v>
      </c>
      <c r="O334">
        <v>1.4930000000000001</v>
      </c>
      <c r="P334">
        <v>8.9580000000000002</v>
      </c>
      <c r="Q334">
        <v>5.32</v>
      </c>
      <c r="R334">
        <v>31.92</v>
      </c>
    </row>
    <row r="335" spans="1:18" x14ac:dyDescent="0.25">
      <c r="A335">
        <v>18771163</v>
      </c>
      <c r="B335">
        <v>980656</v>
      </c>
      <c r="C335" t="s">
        <v>123</v>
      </c>
      <c r="E335" t="str">
        <f>"2000007089624"</f>
        <v>2000007089624</v>
      </c>
      <c r="H335" t="s">
        <v>99</v>
      </c>
      <c r="I335">
        <v>61044300</v>
      </c>
      <c r="J335">
        <v>6</v>
      </c>
      <c r="K335">
        <v>1</v>
      </c>
      <c r="L335">
        <v>6</v>
      </c>
      <c r="M335">
        <v>1.452</v>
      </c>
      <c r="N335">
        <v>1.3069999999999999</v>
      </c>
      <c r="O335">
        <v>2</v>
      </c>
      <c r="P335">
        <v>12</v>
      </c>
      <c r="Q335">
        <v>4.6399999999999997</v>
      </c>
      <c r="R335">
        <v>27.84</v>
      </c>
    </row>
    <row r="336" spans="1:18" x14ac:dyDescent="0.25">
      <c r="A336">
        <v>18771163</v>
      </c>
      <c r="B336">
        <v>980889</v>
      </c>
      <c r="C336" t="s">
        <v>124</v>
      </c>
      <c r="E336" t="str">
        <f>"2000007086906"</f>
        <v>2000007086906</v>
      </c>
      <c r="H336" t="s">
        <v>101</v>
      </c>
      <c r="I336">
        <v>61046300</v>
      </c>
      <c r="J336">
        <v>6</v>
      </c>
      <c r="K336">
        <v>1</v>
      </c>
      <c r="L336">
        <v>6</v>
      </c>
      <c r="M336">
        <v>2.2200000000000002</v>
      </c>
      <c r="N336">
        <v>1.998</v>
      </c>
      <c r="O336">
        <v>1.728</v>
      </c>
      <c r="P336">
        <v>10.368</v>
      </c>
      <c r="Q336">
        <v>5.76</v>
      </c>
      <c r="R336">
        <v>34.56</v>
      </c>
    </row>
    <row r="337" spans="1:18" x14ac:dyDescent="0.25">
      <c r="A337">
        <v>18771163</v>
      </c>
      <c r="B337">
        <v>980637</v>
      </c>
      <c r="C337" t="s">
        <v>125</v>
      </c>
      <c r="E337" t="str">
        <f>"2000007113992"</f>
        <v>2000007113992</v>
      </c>
      <c r="H337" t="s">
        <v>97</v>
      </c>
      <c r="I337">
        <v>61044300</v>
      </c>
      <c r="J337">
        <v>6</v>
      </c>
      <c r="K337">
        <v>1</v>
      </c>
      <c r="L337">
        <v>6</v>
      </c>
      <c r="M337">
        <v>1.3140000000000001</v>
      </c>
      <c r="N337">
        <v>1.1830000000000001</v>
      </c>
      <c r="O337">
        <v>1.6379999999999999</v>
      </c>
      <c r="P337">
        <v>9.8279999999999994</v>
      </c>
      <c r="Q337">
        <v>6.95</v>
      </c>
      <c r="R337">
        <v>41.7</v>
      </c>
    </row>
    <row r="338" spans="1:18" x14ac:dyDescent="0.25">
      <c r="A338">
        <v>18771163</v>
      </c>
      <c r="B338">
        <v>980715</v>
      </c>
      <c r="C338" t="s">
        <v>126</v>
      </c>
      <c r="E338" t="str">
        <f>"2000007114937"</f>
        <v>2000007114937</v>
      </c>
      <c r="H338" t="s">
        <v>97</v>
      </c>
      <c r="I338">
        <v>62044990</v>
      </c>
      <c r="J338">
        <v>1</v>
      </c>
      <c r="K338">
        <v>6</v>
      </c>
      <c r="L338">
        <v>6</v>
      </c>
      <c r="M338">
        <v>1.458</v>
      </c>
      <c r="N338">
        <v>1.3120000000000001</v>
      </c>
      <c r="O338">
        <v>2</v>
      </c>
      <c r="P338">
        <v>12</v>
      </c>
      <c r="Q338">
        <v>8.3000000000000007</v>
      </c>
      <c r="R338">
        <v>49.8</v>
      </c>
    </row>
    <row r="339" spans="1:18" x14ac:dyDescent="0.25">
      <c r="A339">
        <v>18771163</v>
      </c>
      <c r="B339">
        <v>980116</v>
      </c>
      <c r="C339" t="s">
        <v>127</v>
      </c>
      <c r="E339" t="str">
        <f>"2000007089051"</f>
        <v>2000007089051</v>
      </c>
      <c r="H339" t="s">
        <v>99</v>
      </c>
      <c r="I339">
        <v>62052000</v>
      </c>
      <c r="J339">
        <v>6</v>
      </c>
      <c r="K339">
        <v>1</v>
      </c>
      <c r="L339">
        <v>6</v>
      </c>
      <c r="M339">
        <v>1.5960000000000001</v>
      </c>
      <c r="N339">
        <v>1.4359999999999999</v>
      </c>
      <c r="O339">
        <v>1.762</v>
      </c>
      <c r="P339">
        <v>10.571999999999999</v>
      </c>
      <c r="Q339">
        <v>4.68</v>
      </c>
      <c r="R339">
        <v>28.08</v>
      </c>
    </row>
    <row r="340" spans="1:18" x14ac:dyDescent="0.25">
      <c r="A340">
        <v>18771163</v>
      </c>
      <c r="B340">
        <v>980117</v>
      </c>
      <c r="C340" t="s">
        <v>128</v>
      </c>
      <c r="E340" t="str">
        <f>"2000007088245"</f>
        <v>2000007088245</v>
      </c>
      <c r="H340" t="s">
        <v>101</v>
      </c>
      <c r="I340">
        <v>61101910</v>
      </c>
      <c r="J340">
        <v>6</v>
      </c>
      <c r="K340">
        <v>1</v>
      </c>
      <c r="L340">
        <v>6</v>
      </c>
      <c r="M340">
        <v>2.7480000000000002</v>
      </c>
      <c r="N340">
        <v>2.4729999999999999</v>
      </c>
      <c r="O340">
        <v>3.133</v>
      </c>
      <c r="P340">
        <v>18.797999999999998</v>
      </c>
      <c r="Q340">
        <v>6.03</v>
      </c>
      <c r="R340">
        <v>36.18</v>
      </c>
    </row>
    <row r="341" spans="1:18" x14ac:dyDescent="0.25">
      <c r="A341">
        <v>18771163</v>
      </c>
      <c r="B341">
        <v>979979</v>
      </c>
      <c r="C341" t="s">
        <v>129</v>
      </c>
      <c r="E341" t="str">
        <f>"2000007079151"</f>
        <v>2000007079151</v>
      </c>
      <c r="H341" t="s">
        <v>95</v>
      </c>
      <c r="I341">
        <v>61102091</v>
      </c>
      <c r="J341">
        <v>6</v>
      </c>
      <c r="K341">
        <v>1</v>
      </c>
      <c r="L341">
        <v>6</v>
      </c>
      <c r="M341">
        <v>0.41399999999999998</v>
      </c>
      <c r="N341">
        <v>0.373</v>
      </c>
      <c r="O341">
        <v>8.0000000000000002E-3</v>
      </c>
      <c r="P341">
        <v>4.8000000000000001E-2</v>
      </c>
      <c r="Q341">
        <v>7.16</v>
      </c>
      <c r="R341">
        <v>42.96</v>
      </c>
    </row>
    <row r="342" spans="1:18" x14ac:dyDescent="0.25">
      <c r="A342">
        <v>18771163</v>
      </c>
      <c r="B342">
        <v>979974</v>
      </c>
      <c r="C342" t="s">
        <v>130</v>
      </c>
      <c r="E342" t="str">
        <f>"2000007079144"</f>
        <v>2000007079144</v>
      </c>
      <c r="H342" t="s">
        <v>95</v>
      </c>
      <c r="I342">
        <v>61102091</v>
      </c>
      <c r="J342">
        <v>6</v>
      </c>
      <c r="K342">
        <v>1</v>
      </c>
      <c r="L342">
        <v>6</v>
      </c>
      <c r="M342">
        <v>2.94</v>
      </c>
      <c r="N342">
        <v>2.6459999999999999</v>
      </c>
      <c r="O342">
        <v>4.9130000000000003</v>
      </c>
      <c r="P342">
        <v>29.478000000000002</v>
      </c>
      <c r="Q342">
        <v>7.16</v>
      </c>
      <c r="R342">
        <v>42.96</v>
      </c>
    </row>
    <row r="343" spans="1:18" x14ac:dyDescent="0.25">
      <c r="A343">
        <v>18771163</v>
      </c>
      <c r="B343">
        <v>980114</v>
      </c>
      <c r="C343" t="s">
        <v>131</v>
      </c>
      <c r="E343" t="str">
        <f>"2000007088252"</f>
        <v>2000007088252</v>
      </c>
      <c r="H343" t="s">
        <v>101</v>
      </c>
      <c r="I343">
        <v>61109090</v>
      </c>
      <c r="J343">
        <v>6</v>
      </c>
      <c r="K343">
        <v>1</v>
      </c>
      <c r="L343">
        <v>6</v>
      </c>
      <c r="M343">
        <v>1.6619999999999999</v>
      </c>
      <c r="N343">
        <v>1.496</v>
      </c>
      <c r="O343">
        <v>2.6659999999999999</v>
      </c>
      <c r="P343">
        <v>15.996</v>
      </c>
      <c r="Q343">
        <v>4.33</v>
      </c>
      <c r="R343">
        <v>25.98</v>
      </c>
    </row>
    <row r="344" spans="1:18" x14ac:dyDescent="0.25">
      <c r="A344">
        <v>18771163</v>
      </c>
      <c r="B344">
        <v>980118</v>
      </c>
      <c r="C344" t="s">
        <v>132</v>
      </c>
      <c r="E344" t="str">
        <f>"2000007088269"</f>
        <v>2000007088269</v>
      </c>
      <c r="H344" t="s">
        <v>101</v>
      </c>
      <c r="I344">
        <v>61109090</v>
      </c>
      <c r="J344">
        <v>6</v>
      </c>
      <c r="K344">
        <v>1</v>
      </c>
      <c r="L344">
        <v>6</v>
      </c>
      <c r="M344">
        <v>2.2799999999999998</v>
      </c>
      <c r="N344">
        <v>2.052</v>
      </c>
      <c r="O344">
        <v>3</v>
      </c>
      <c r="P344">
        <v>18</v>
      </c>
      <c r="Q344">
        <v>4.33</v>
      </c>
      <c r="R344">
        <v>25.98</v>
      </c>
    </row>
    <row r="345" spans="1:18" x14ac:dyDescent="0.25">
      <c r="A345">
        <v>18771163</v>
      </c>
      <c r="B345">
        <v>980113</v>
      </c>
      <c r="C345" t="s">
        <v>133</v>
      </c>
      <c r="E345" t="str">
        <f>"2000007087330"</f>
        <v>2000007087330</v>
      </c>
      <c r="H345" t="s">
        <v>101</v>
      </c>
      <c r="I345">
        <v>61101910</v>
      </c>
      <c r="J345">
        <v>6</v>
      </c>
      <c r="K345">
        <v>1</v>
      </c>
      <c r="L345">
        <v>6</v>
      </c>
      <c r="M345">
        <v>1.98</v>
      </c>
      <c r="N345">
        <v>1.782</v>
      </c>
      <c r="O345">
        <v>0.24</v>
      </c>
      <c r="P345">
        <v>1.44</v>
      </c>
      <c r="Q345">
        <v>6.15</v>
      </c>
      <c r="R345">
        <v>36.9</v>
      </c>
    </row>
    <row r="346" spans="1:18" x14ac:dyDescent="0.25">
      <c r="A346">
        <v>18771163</v>
      </c>
      <c r="B346">
        <v>981033</v>
      </c>
      <c r="C346" t="s">
        <v>134</v>
      </c>
      <c r="E346" t="str">
        <f>"2000007114913"</f>
        <v>2000007114913</v>
      </c>
      <c r="H346" t="s">
        <v>97</v>
      </c>
      <c r="I346">
        <v>62069090</v>
      </c>
      <c r="J346">
        <v>1</v>
      </c>
      <c r="K346">
        <v>6</v>
      </c>
      <c r="L346">
        <v>6</v>
      </c>
      <c r="M346">
        <v>1.8240000000000001</v>
      </c>
      <c r="N346">
        <v>1.6419999999999999</v>
      </c>
      <c r="O346">
        <v>2</v>
      </c>
      <c r="P346">
        <v>12</v>
      </c>
      <c r="Q346">
        <v>8.3000000000000007</v>
      </c>
      <c r="R346">
        <v>49.8</v>
      </c>
    </row>
    <row r="347" spans="1:18" x14ac:dyDescent="0.25">
      <c r="A347">
        <v>18771163</v>
      </c>
      <c r="B347">
        <v>977042</v>
      </c>
      <c r="C347" t="s">
        <v>135</v>
      </c>
      <c r="E347" t="str">
        <f>"2000007059559"</f>
        <v>2000007059559</v>
      </c>
      <c r="H347" t="s">
        <v>17</v>
      </c>
      <c r="I347">
        <v>61082200</v>
      </c>
      <c r="J347">
        <v>8</v>
      </c>
      <c r="K347">
        <v>1</v>
      </c>
      <c r="L347">
        <v>8</v>
      </c>
      <c r="M347">
        <v>0.76800000000000002</v>
      </c>
      <c r="N347">
        <v>0.69099999999999995</v>
      </c>
      <c r="O347">
        <v>1E-3</v>
      </c>
      <c r="P347">
        <v>8.0000000000000002E-3</v>
      </c>
      <c r="Q347">
        <v>2.93</v>
      </c>
      <c r="R347">
        <v>23.44</v>
      </c>
    </row>
    <row r="348" spans="1:18" x14ac:dyDescent="0.25">
      <c r="A348">
        <v>18789069</v>
      </c>
      <c r="B348">
        <v>973936</v>
      </c>
      <c r="C348" t="s">
        <v>136</v>
      </c>
      <c r="E348" t="str">
        <f>"8413178370158"</f>
        <v>8413178370158</v>
      </c>
      <c r="F348" t="str">
        <f>"8413178370141"</f>
        <v>8413178370141</v>
      </c>
      <c r="H348" t="s">
        <v>137</v>
      </c>
      <c r="I348">
        <v>17049065</v>
      </c>
      <c r="J348">
        <v>11</v>
      </c>
      <c r="K348">
        <v>1</v>
      </c>
      <c r="L348">
        <v>11</v>
      </c>
      <c r="M348">
        <v>1.331</v>
      </c>
      <c r="N348">
        <v>1.198</v>
      </c>
      <c r="O348">
        <v>0.54500000000000004</v>
      </c>
      <c r="P348">
        <v>5.9950000000000001</v>
      </c>
      <c r="Q348">
        <v>0.72</v>
      </c>
      <c r="R348">
        <v>7.92</v>
      </c>
    </row>
    <row r="349" spans="1:18" x14ac:dyDescent="0.25">
      <c r="A349">
        <v>18789069</v>
      </c>
      <c r="B349">
        <v>681966</v>
      </c>
      <c r="C349" t="s">
        <v>138</v>
      </c>
      <c r="E349" t="str">
        <f>"8413178318877"</f>
        <v>8413178318877</v>
      </c>
      <c r="F349" t="str">
        <f>"8413178318860"</f>
        <v>8413178318860</v>
      </c>
      <c r="H349" t="s">
        <v>137</v>
      </c>
      <c r="I349">
        <v>17049065</v>
      </c>
      <c r="J349">
        <v>11</v>
      </c>
      <c r="K349">
        <v>1</v>
      </c>
      <c r="L349">
        <v>11</v>
      </c>
      <c r="M349">
        <v>1.1000000000000001</v>
      </c>
      <c r="N349">
        <v>0.99</v>
      </c>
      <c r="O349">
        <v>0.47499999999999998</v>
      </c>
      <c r="P349">
        <v>5.2249999999999996</v>
      </c>
      <c r="Q349">
        <v>0.72</v>
      </c>
      <c r="R349">
        <v>7.92</v>
      </c>
    </row>
    <row r="350" spans="1:18" x14ac:dyDescent="0.25">
      <c r="A350">
        <v>18789069</v>
      </c>
      <c r="B350">
        <v>654109</v>
      </c>
      <c r="C350" t="s">
        <v>139</v>
      </c>
      <c r="E350" t="str">
        <f>"3491953877974"</f>
        <v>3491953877974</v>
      </c>
      <c r="H350" t="s">
        <v>17</v>
      </c>
      <c r="I350">
        <v>71171900</v>
      </c>
      <c r="J350">
        <v>12</v>
      </c>
      <c r="K350">
        <v>1</v>
      </c>
      <c r="L350">
        <v>12</v>
      </c>
      <c r="M350">
        <v>0.27600000000000002</v>
      </c>
      <c r="N350">
        <v>0.248</v>
      </c>
      <c r="O350">
        <v>0.125</v>
      </c>
      <c r="P350">
        <v>1.5</v>
      </c>
      <c r="Q350">
        <v>0.71</v>
      </c>
      <c r="R350">
        <v>8.52</v>
      </c>
    </row>
    <row r="351" spans="1:18" x14ac:dyDescent="0.25">
      <c r="A351">
        <v>18789069</v>
      </c>
      <c r="B351">
        <v>654093</v>
      </c>
      <c r="C351" t="s">
        <v>140</v>
      </c>
      <c r="E351" t="str">
        <f>"3491953877943"</f>
        <v>3491953877943</v>
      </c>
      <c r="F351" t="str">
        <f>"3491953367543"</f>
        <v>3491953367543</v>
      </c>
      <c r="H351" t="s">
        <v>17</v>
      </c>
      <c r="I351">
        <v>71171900</v>
      </c>
      <c r="J351">
        <v>12</v>
      </c>
      <c r="K351">
        <v>1</v>
      </c>
      <c r="L351">
        <v>12</v>
      </c>
      <c r="M351">
        <v>0.216</v>
      </c>
      <c r="N351">
        <v>0.19400000000000001</v>
      </c>
      <c r="O351">
        <v>0.10199999999999999</v>
      </c>
      <c r="P351">
        <v>1.224</v>
      </c>
      <c r="Q351">
        <v>0.54</v>
      </c>
      <c r="R351">
        <v>6.48</v>
      </c>
    </row>
    <row r="352" spans="1:18" x14ac:dyDescent="0.25">
      <c r="A352">
        <v>18789069</v>
      </c>
      <c r="B352">
        <v>748973</v>
      </c>
      <c r="C352" t="s">
        <v>141</v>
      </c>
      <c r="E352" t="str">
        <f>"3491955721879"</f>
        <v>3491955721879</v>
      </c>
      <c r="F352" t="str">
        <f>"3491953879787"</f>
        <v>3491953879787</v>
      </c>
      <c r="G352" t="str">
        <f>"3491955329372"</f>
        <v>3491955329372</v>
      </c>
      <c r="H352" t="s">
        <v>17</v>
      </c>
      <c r="I352">
        <v>95059000</v>
      </c>
      <c r="J352">
        <v>24</v>
      </c>
      <c r="K352">
        <v>1</v>
      </c>
      <c r="L352">
        <v>24</v>
      </c>
      <c r="M352">
        <v>0.52800000000000002</v>
      </c>
      <c r="N352">
        <v>0.47499999999999998</v>
      </c>
      <c r="O352">
        <v>0.312</v>
      </c>
      <c r="P352">
        <v>7.4880000000000004</v>
      </c>
      <c r="Q352">
        <v>0.32</v>
      </c>
      <c r="R352">
        <v>7.68</v>
      </c>
    </row>
    <row r="353" spans="1:18" x14ac:dyDescent="0.25">
      <c r="A353">
        <v>18789069</v>
      </c>
      <c r="B353">
        <v>950352</v>
      </c>
      <c r="C353" t="s">
        <v>142</v>
      </c>
      <c r="E353" t="str">
        <f>"3491955634117"</f>
        <v>3491955634117</v>
      </c>
      <c r="H353" t="s">
        <v>17</v>
      </c>
      <c r="I353">
        <v>39264000</v>
      </c>
      <c r="J353">
        <v>6</v>
      </c>
      <c r="K353">
        <v>2</v>
      </c>
      <c r="L353">
        <v>12</v>
      </c>
      <c r="M353">
        <v>3.996</v>
      </c>
      <c r="N353">
        <v>3.5960000000000001</v>
      </c>
      <c r="O353">
        <v>2.7109999999999999</v>
      </c>
      <c r="P353">
        <v>32.531999999999996</v>
      </c>
      <c r="Q353">
        <v>2.02</v>
      </c>
      <c r="R353">
        <v>24.24</v>
      </c>
    </row>
    <row r="354" spans="1:18" x14ac:dyDescent="0.25">
      <c r="A354">
        <v>18789069</v>
      </c>
      <c r="B354">
        <v>681965</v>
      </c>
      <c r="C354" t="s">
        <v>143</v>
      </c>
      <c r="E354" t="str">
        <f>"8413178275156"</f>
        <v>8413178275156</v>
      </c>
      <c r="F354" t="str">
        <f>"8413178244312"</f>
        <v>8413178244312</v>
      </c>
      <c r="H354" t="s">
        <v>137</v>
      </c>
      <c r="I354">
        <v>17049065</v>
      </c>
      <c r="J354">
        <v>11</v>
      </c>
      <c r="K354">
        <v>2</v>
      </c>
      <c r="L354">
        <v>22</v>
      </c>
      <c r="M354">
        <v>2.2000000000000002</v>
      </c>
      <c r="N354">
        <v>1.98</v>
      </c>
      <c r="O354">
        <v>0.49199999999999999</v>
      </c>
      <c r="P354">
        <v>10.824</v>
      </c>
      <c r="Q354">
        <v>0.72</v>
      </c>
      <c r="R354">
        <v>15.84</v>
      </c>
    </row>
    <row r="355" spans="1:18" x14ac:dyDescent="0.25">
      <c r="A355">
        <v>18789069</v>
      </c>
      <c r="B355">
        <v>966218</v>
      </c>
      <c r="C355" t="s">
        <v>144</v>
      </c>
      <c r="E355" t="str">
        <f>"8719831326594"</f>
        <v>8719831326594</v>
      </c>
      <c r="F355" t="str">
        <f>"8719831323104"</f>
        <v>8719831323104</v>
      </c>
      <c r="G355" t="str">
        <f>"8719831329335"</f>
        <v>8719831329335</v>
      </c>
      <c r="H355" t="s">
        <v>17</v>
      </c>
      <c r="I355">
        <v>21069059</v>
      </c>
      <c r="J355">
        <v>24</v>
      </c>
      <c r="K355">
        <v>1</v>
      </c>
      <c r="L355">
        <v>24</v>
      </c>
      <c r="M355">
        <v>3.528</v>
      </c>
      <c r="N355">
        <v>3.1749999999999998</v>
      </c>
      <c r="O355">
        <v>0.33</v>
      </c>
      <c r="P355">
        <v>7.92</v>
      </c>
      <c r="Q355">
        <v>1.72</v>
      </c>
      <c r="R355">
        <v>41.28</v>
      </c>
    </row>
    <row r="356" spans="1:18" x14ac:dyDescent="0.25">
      <c r="A356">
        <v>18789069</v>
      </c>
      <c r="B356">
        <v>964310</v>
      </c>
      <c r="C356" t="s">
        <v>145</v>
      </c>
      <c r="E356" t="str">
        <f>"8719831323210"</f>
        <v>8719831323210</v>
      </c>
      <c r="F356" t="str">
        <f>"8719831328161"</f>
        <v>8719831328161</v>
      </c>
      <c r="H356" t="s">
        <v>17</v>
      </c>
      <c r="I356">
        <v>21069059</v>
      </c>
      <c r="J356">
        <v>24</v>
      </c>
      <c r="K356">
        <v>1</v>
      </c>
      <c r="L356">
        <v>24</v>
      </c>
      <c r="M356">
        <v>2.64</v>
      </c>
      <c r="N356">
        <v>2.3759999999999999</v>
      </c>
      <c r="O356">
        <v>0.435</v>
      </c>
      <c r="P356">
        <v>10.44</v>
      </c>
      <c r="Q356">
        <v>1.52</v>
      </c>
      <c r="R356">
        <v>36.479999999999997</v>
      </c>
    </row>
    <row r="357" spans="1:18" x14ac:dyDescent="0.25">
      <c r="A357">
        <v>18797970</v>
      </c>
      <c r="B357">
        <v>952364</v>
      </c>
      <c r="C357" t="s">
        <v>146</v>
      </c>
      <c r="E357" t="str">
        <f>"3491955640415"</f>
        <v>3491955640415</v>
      </c>
      <c r="H357" t="s">
        <v>17</v>
      </c>
      <c r="I357">
        <v>95030095</v>
      </c>
      <c r="J357">
        <v>4</v>
      </c>
      <c r="K357">
        <v>1</v>
      </c>
      <c r="L357">
        <v>4</v>
      </c>
      <c r="M357">
        <v>3.0640000000000001</v>
      </c>
      <c r="N357">
        <v>2.758</v>
      </c>
      <c r="O357">
        <v>10.191000000000001</v>
      </c>
      <c r="P357">
        <v>40.764000000000003</v>
      </c>
      <c r="Q357">
        <v>7.8</v>
      </c>
      <c r="R357">
        <v>31.2</v>
      </c>
    </row>
    <row r="358" spans="1:18" x14ac:dyDescent="0.25">
      <c r="A358">
        <v>18805300</v>
      </c>
      <c r="B358">
        <v>974130</v>
      </c>
      <c r="C358" t="s">
        <v>147</v>
      </c>
      <c r="E358" t="str">
        <f>"2000007066243"</f>
        <v>2000007066243</v>
      </c>
      <c r="H358" t="s">
        <v>99</v>
      </c>
      <c r="I358">
        <v>64039996</v>
      </c>
      <c r="J358">
        <v>8</v>
      </c>
      <c r="K358">
        <v>1</v>
      </c>
      <c r="L358">
        <v>8</v>
      </c>
      <c r="M358">
        <v>13.496</v>
      </c>
      <c r="N358">
        <v>12.146000000000001</v>
      </c>
      <c r="O358">
        <v>13.337999999999999</v>
      </c>
      <c r="P358">
        <v>106.70399999999999</v>
      </c>
      <c r="Q358">
        <v>24.06</v>
      </c>
      <c r="R358">
        <v>192.48</v>
      </c>
    </row>
    <row r="359" spans="1:18" x14ac:dyDescent="0.25">
      <c r="A359">
        <v>18805300</v>
      </c>
      <c r="B359">
        <v>974002</v>
      </c>
      <c r="C359" t="s">
        <v>148</v>
      </c>
      <c r="E359" t="str">
        <f>"2000007066120"</f>
        <v>2000007066120</v>
      </c>
      <c r="H359" t="s">
        <v>95</v>
      </c>
      <c r="I359">
        <v>64039996</v>
      </c>
      <c r="J359">
        <v>8</v>
      </c>
      <c r="K359">
        <v>1</v>
      </c>
      <c r="L359">
        <v>8</v>
      </c>
      <c r="M359">
        <v>9.0399999999999991</v>
      </c>
      <c r="N359">
        <v>8.1359999999999992</v>
      </c>
      <c r="O359">
        <v>10.141999999999999</v>
      </c>
      <c r="P359">
        <v>81.135999999999996</v>
      </c>
      <c r="Q359">
        <v>19.61</v>
      </c>
      <c r="R359">
        <v>156.88</v>
      </c>
    </row>
    <row r="360" spans="1:18" x14ac:dyDescent="0.25">
      <c r="A360">
        <v>18805300</v>
      </c>
      <c r="B360">
        <v>974136</v>
      </c>
      <c r="C360" t="s">
        <v>149</v>
      </c>
      <c r="E360" t="str">
        <f>"2000007066250"</f>
        <v>2000007066250</v>
      </c>
      <c r="H360" t="s">
        <v>99</v>
      </c>
      <c r="I360">
        <v>64039996</v>
      </c>
      <c r="J360">
        <v>8</v>
      </c>
      <c r="K360">
        <v>1</v>
      </c>
      <c r="L360">
        <v>8</v>
      </c>
      <c r="M360">
        <v>13</v>
      </c>
      <c r="N360">
        <v>11.7</v>
      </c>
      <c r="O360">
        <v>13.081</v>
      </c>
      <c r="P360">
        <v>104.648</v>
      </c>
      <c r="Q360">
        <v>19.95</v>
      </c>
      <c r="R360">
        <v>159.6</v>
      </c>
    </row>
    <row r="361" spans="1:18" x14ac:dyDescent="0.25">
      <c r="A361">
        <v>18805300</v>
      </c>
      <c r="B361">
        <v>974137</v>
      </c>
      <c r="C361" t="s">
        <v>150</v>
      </c>
      <c r="E361" t="str">
        <f>"2000007066267"</f>
        <v>2000007066267</v>
      </c>
      <c r="H361" t="s">
        <v>95</v>
      </c>
      <c r="I361">
        <v>64039111</v>
      </c>
      <c r="J361">
        <v>8</v>
      </c>
      <c r="K361">
        <v>1</v>
      </c>
      <c r="L361">
        <v>8</v>
      </c>
      <c r="M361">
        <v>11.24</v>
      </c>
      <c r="N361">
        <v>10.116</v>
      </c>
      <c r="O361">
        <v>12.954000000000001</v>
      </c>
      <c r="P361">
        <v>103.63200000000001</v>
      </c>
      <c r="Q361">
        <v>25.11</v>
      </c>
      <c r="R361">
        <v>200.88</v>
      </c>
    </row>
    <row r="362" spans="1:18" x14ac:dyDescent="0.25">
      <c r="A362">
        <v>18809378</v>
      </c>
      <c r="B362">
        <v>667943</v>
      </c>
      <c r="C362" t="s">
        <v>151</v>
      </c>
      <c r="E362" t="str">
        <f>"3491953354833"</f>
        <v>3491953354833</v>
      </c>
      <c r="F362" t="str">
        <f>"3491955529642"</f>
        <v>3491955529642</v>
      </c>
      <c r="H362" t="s">
        <v>17</v>
      </c>
      <c r="I362">
        <v>95030075</v>
      </c>
      <c r="J362">
        <v>6</v>
      </c>
      <c r="K362">
        <v>1</v>
      </c>
      <c r="L362">
        <v>6</v>
      </c>
      <c r="M362">
        <v>4.2480000000000002</v>
      </c>
      <c r="N362">
        <v>3.823</v>
      </c>
      <c r="O362">
        <v>13.44</v>
      </c>
      <c r="P362">
        <v>80.64</v>
      </c>
      <c r="Q362">
        <v>3.96</v>
      </c>
      <c r="R362">
        <v>23.76</v>
      </c>
    </row>
    <row r="363" spans="1:18" x14ac:dyDescent="0.25">
      <c r="A363">
        <v>18809378</v>
      </c>
      <c r="B363">
        <v>951087</v>
      </c>
      <c r="C363" t="s">
        <v>152</v>
      </c>
      <c r="E363" t="str">
        <f>"3491955454357"</f>
        <v>3491955454357</v>
      </c>
      <c r="H363" t="s">
        <v>17</v>
      </c>
      <c r="I363">
        <v>95030095</v>
      </c>
      <c r="J363">
        <v>24</v>
      </c>
      <c r="K363">
        <v>1</v>
      </c>
      <c r="L363">
        <v>24</v>
      </c>
      <c r="M363">
        <v>10.728</v>
      </c>
      <c r="N363">
        <v>9.6549999999999994</v>
      </c>
      <c r="O363">
        <v>7.1639999999999997</v>
      </c>
      <c r="P363">
        <v>171.93600000000001</v>
      </c>
      <c r="Q363">
        <v>2.87</v>
      </c>
      <c r="R363">
        <v>68.88</v>
      </c>
    </row>
    <row r="364" spans="1:18" x14ac:dyDescent="0.25">
      <c r="A364">
        <v>18809378</v>
      </c>
      <c r="B364">
        <v>754983</v>
      </c>
      <c r="C364" t="s">
        <v>153</v>
      </c>
      <c r="E364" t="str">
        <f>"3491955659851"</f>
        <v>3491955659851</v>
      </c>
      <c r="F364" t="str">
        <f>"3491953503248"</f>
        <v>3491953503248</v>
      </c>
      <c r="G364" t="str">
        <f>"3491955529659"</f>
        <v>3491955529659</v>
      </c>
      <c r="H364" t="s">
        <v>17</v>
      </c>
      <c r="I364">
        <v>95030095</v>
      </c>
      <c r="J364">
        <v>1</v>
      </c>
      <c r="K364">
        <v>2</v>
      </c>
      <c r="L364">
        <v>2</v>
      </c>
      <c r="M364">
        <v>2.75</v>
      </c>
      <c r="N364">
        <v>2.4750000000000001</v>
      </c>
      <c r="O364">
        <v>22.274999999999999</v>
      </c>
      <c r="P364">
        <v>44.55</v>
      </c>
      <c r="Q364">
        <v>5.14</v>
      </c>
      <c r="R364">
        <v>10.28</v>
      </c>
    </row>
    <row r="365" spans="1:18" x14ac:dyDescent="0.25">
      <c r="A365">
        <v>18809378</v>
      </c>
      <c r="B365">
        <v>756958</v>
      </c>
      <c r="C365" t="s">
        <v>154</v>
      </c>
      <c r="E365" t="str">
        <f>"5420023188236"</f>
        <v>5420023188236</v>
      </c>
      <c r="F365" t="str">
        <f>"2000006848864"</f>
        <v>2000006848864</v>
      </c>
      <c r="G365" t="str">
        <f>"2018204498774"</f>
        <v>2018204498774</v>
      </c>
      <c r="H365" t="s">
        <v>17</v>
      </c>
      <c r="I365">
        <v>95030085</v>
      </c>
      <c r="J365">
        <v>12</v>
      </c>
      <c r="K365">
        <v>1</v>
      </c>
      <c r="L365">
        <v>12</v>
      </c>
      <c r="M365">
        <v>6.9960000000000004</v>
      </c>
      <c r="N365">
        <v>6.2960000000000003</v>
      </c>
      <c r="O365">
        <v>3.77</v>
      </c>
      <c r="P365">
        <v>45.24</v>
      </c>
      <c r="Q365">
        <v>1.79</v>
      </c>
      <c r="R365">
        <v>21.48</v>
      </c>
    </row>
    <row r="366" spans="1:18" x14ac:dyDescent="0.25">
      <c r="A366">
        <v>18809378</v>
      </c>
      <c r="B366">
        <v>953054</v>
      </c>
      <c r="C366" t="s">
        <v>155</v>
      </c>
      <c r="E366" t="str">
        <f>"5420023190482"</f>
        <v>5420023190482</v>
      </c>
      <c r="H366" t="s">
        <v>17</v>
      </c>
      <c r="I366">
        <v>95030070</v>
      </c>
      <c r="J366">
        <v>1</v>
      </c>
      <c r="K366">
        <v>2</v>
      </c>
      <c r="L366">
        <v>2</v>
      </c>
      <c r="M366">
        <v>2.8319999999999999</v>
      </c>
      <c r="N366">
        <v>2.5489999999999999</v>
      </c>
      <c r="O366">
        <v>22.44</v>
      </c>
      <c r="P366">
        <v>44.88</v>
      </c>
      <c r="Q366">
        <v>8.65</v>
      </c>
      <c r="R366">
        <v>17.3</v>
      </c>
    </row>
    <row r="367" spans="1:18" x14ac:dyDescent="0.25">
      <c r="A367">
        <v>18809378</v>
      </c>
      <c r="B367">
        <v>992364</v>
      </c>
      <c r="C367" t="s">
        <v>156</v>
      </c>
      <c r="E367" t="str">
        <f>"778988387184"</f>
        <v>778988387184</v>
      </c>
      <c r="H367" t="s">
        <v>69</v>
      </c>
      <c r="I367">
        <v>95030085</v>
      </c>
      <c r="J367">
        <v>4</v>
      </c>
      <c r="K367">
        <v>1</v>
      </c>
      <c r="L367">
        <v>4</v>
      </c>
      <c r="M367">
        <v>0.9</v>
      </c>
      <c r="N367">
        <v>0.81</v>
      </c>
      <c r="O367">
        <v>1.6619999999999999</v>
      </c>
      <c r="P367">
        <v>6.6479999999999997</v>
      </c>
      <c r="Q367">
        <v>8.3800000000000008</v>
      </c>
      <c r="R367">
        <v>33.520000000000003</v>
      </c>
    </row>
    <row r="368" spans="1:18" x14ac:dyDescent="0.25">
      <c r="A368">
        <v>18809378</v>
      </c>
      <c r="B368">
        <v>1000266</v>
      </c>
      <c r="C368" t="s">
        <v>157</v>
      </c>
      <c r="E368" t="str">
        <f>"5413247031242"</f>
        <v>5413247031242</v>
      </c>
      <c r="H368" t="s">
        <v>17</v>
      </c>
      <c r="I368">
        <v>95030075</v>
      </c>
      <c r="J368">
        <v>12</v>
      </c>
      <c r="K368">
        <v>1</v>
      </c>
      <c r="L368">
        <v>12</v>
      </c>
      <c r="M368">
        <v>1.524</v>
      </c>
      <c r="N368">
        <v>1.3720000000000001</v>
      </c>
      <c r="O368">
        <v>0.96099999999999997</v>
      </c>
      <c r="P368">
        <v>11.532</v>
      </c>
      <c r="Q368">
        <v>1.26</v>
      </c>
      <c r="R368">
        <v>15.12</v>
      </c>
    </row>
    <row r="369" spans="1:18" x14ac:dyDescent="0.25">
      <c r="A369">
        <v>18809378</v>
      </c>
      <c r="B369">
        <v>286542</v>
      </c>
      <c r="C369" t="s">
        <v>158</v>
      </c>
      <c r="E369" t="str">
        <f>"4006333039928"</f>
        <v>4006333039928</v>
      </c>
      <c r="F369" t="str">
        <f>"4006333355073"</f>
        <v>4006333355073</v>
      </c>
      <c r="H369" t="s">
        <v>17</v>
      </c>
      <c r="I369">
        <v>95030095</v>
      </c>
      <c r="J369">
        <v>1</v>
      </c>
      <c r="K369">
        <v>2</v>
      </c>
      <c r="L369">
        <v>2</v>
      </c>
      <c r="M369">
        <v>2.246</v>
      </c>
      <c r="N369">
        <v>2.0209999999999999</v>
      </c>
      <c r="O369">
        <v>19.550999999999998</v>
      </c>
      <c r="P369">
        <v>39.101999999999997</v>
      </c>
      <c r="Q369">
        <v>11.45</v>
      </c>
      <c r="R369">
        <v>22.9</v>
      </c>
    </row>
    <row r="370" spans="1:18" x14ac:dyDescent="0.25">
      <c r="A370">
        <v>18809378</v>
      </c>
      <c r="B370">
        <v>991108</v>
      </c>
      <c r="C370" t="s">
        <v>159</v>
      </c>
      <c r="E370" t="str">
        <f>"3491955940249"</f>
        <v>3491955940249</v>
      </c>
      <c r="H370" t="s">
        <v>17</v>
      </c>
      <c r="I370">
        <v>95030095</v>
      </c>
      <c r="J370">
        <v>4</v>
      </c>
      <c r="K370">
        <v>1</v>
      </c>
      <c r="L370">
        <v>4</v>
      </c>
      <c r="M370">
        <v>3.6</v>
      </c>
      <c r="N370">
        <v>3.24</v>
      </c>
      <c r="O370">
        <v>19.562999999999999</v>
      </c>
      <c r="P370">
        <v>78.251999999999995</v>
      </c>
      <c r="Q370">
        <v>8.44</v>
      </c>
      <c r="R370">
        <v>33.76</v>
      </c>
    </row>
    <row r="371" spans="1:18" x14ac:dyDescent="0.25">
      <c r="A371">
        <v>18809378</v>
      </c>
      <c r="B371">
        <v>756848</v>
      </c>
      <c r="C371" t="s">
        <v>160</v>
      </c>
      <c r="E371" t="str">
        <f>"5420023188137"</f>
        <v>5420023188137</v>
      </c>
      <c r="F371" t="str">
        <f>"2000006848529"</f>
        <v>2000006848529</v>
      </c>
      <c r="G371" t="str">
        <f>"2018204277942"</f>
        <v>2018204277942</v>
      </c>
      <c r="H371" t="s">
        <v>17</v>
      </c>
      <c r="I371">
        <v>95030085</v>
      </c>
      <c r="J371">
        <v>1</v>
      </c>
      <c r="K371">
        <v>4</v>
      </c>
      <c r="L371">
        <v>4</v>
      </c>
      <c r="M371">
        <v>4.5999999999999996</v>
      </c>
      <c r="N371">
        <v>4.1399999999999997</v>
      </c>
      <c r="O371">
        <v>4.3849999999999998</v>
      </c>
      <c r="P371">
        <v>17.54</v>
      </c>
      <c r="Q371">
        <v>9.17</v>
      </c>
      <c r="R371">
        <v>36.68</v>
      </c>
    </row>
    <row r="372" spans="1:18" x14ac:dyDescent="0.25">
      <c r="A372">
        <v>18809378</v>
      </c>
      <c r="B372">
        <v>907326</v>
      </c>
      <c r="C372" t="s">
        <v>161</v>
      </c>
      <c r="E372" t="str">
        <f>"5420023187871"</f>
        <v>5420023187871</v>
      </c>
      <c r="H372" t="s">
        <v>17</v>
      </c>
      <c r="I372">
        <v>95030075</v>
      </c>
      <c r="J372">
        <v>1</v>
      </c>
      <c r="K372">
        <v>4</v>
      </c>
      <c r="L372">
        <v>4</v>
      </c>
      <c r="M372">
        <v>2.8639999999999999</v>
      </c>
      <c r="N372">
        <v>2.5779999999999998</v>
      </c>
      <c r="O372">
        <v>6.883</v>
      </c>
      <c r="P372">
        <v>27.532</v>
      </c>
      <c r="Q372">
        <v>7.7</v>
      </c>
      <c r="R372">
        <v>30.8</v>
      </c>
    </row>
    <row r="373" spans="1:18" x14ac:dyDescent="0.25">
      <c r="A373">
        <v>18809378</v>
      </c>
      <c r="B373">
        <v>994502</v>
      </c>
      <c r="C373" t="s">
        <v>162</v>
      </c>
      <c r="E373" t="str">
        <f>"778988422601"</f>
        <v>778988422601</v>
      </c>
      <c r="H373" t="s">
        <v>69</v>
      </c>
      <c r="I373">
        <v>95030070</v>
      </c>
      <c r="J373">
        <v>1</v>
      </c>
      <c r="K373">
        <v>2</v>
      </c>
      <c r="L373">
        <v>2</v>
      </c>
      <c r="M373">
        <v>1.36</v>
      </c>
      <c r="N373">
        <v>1.224</v>
      </c>
      <c r="O373">
        <v>3.12</v>
      </c>
      <c r="P373">
        <v>6.24</v>
      </c>
      <c r="Q373">
        <v>17.89</v>
      </c>
      <c r="R373">
        <v>35.78</v>
      </c>
    </row>
    <row r="374" spans="1:18" x14ac:dyDescent="0.25">
      <c r="A374">
        <v>18809378</v>
      </c>
      <c r="B374">
        <v>951077</v>
      </c>
      <c r="C374" t="s">
        <v>163</v>
      </c>
      <c r="E374" t="str">
        <f>"3491955645434"</f>
        <v>3491955645434</v>
      </c>
      <c r="H374" t="s">
        <v>17</v>
      </c>
      <c r="I374">
        <v>95030075</v>
      </c>
      <c r="J374">
        <v>6</v>
      </c>
      <c r="K374">
        <v>1</v>
      </c>
      <c r="L374">
        <v>6</v>
      </c>
      <c r="M374">
        <v>1.38</v>
      </c>
      <c r="N374">
        <v>1.242</v>
      </c>
      <c r="O374">
        <v>5</v>
      </c>
      <c r="P374">
        <v>30</v>
      </c>
      <c r="Q374">
        <v>2.4</v>
      </c>
      <c r="R374">
        <v>14.4</v>
      </c>
    </row>
    <row r="375" spans="1:18" x14ac:dyDescent="0.25">
      <c r="A375">
        <v>18809378</v>
      </c>
      <c r="B375">
        <v>982521</v>
      </c>
      <c r="C375" t="s">
        <v>164</v>
      </c>
      <c r="E375" t="str">
        <f>"887961968514"</f>
        <v>887961968514</v>
      </c>
      <c r="H375" t="s">
        <v>17</v>
      </c>
      <c r="I375">
        <v>95030085</v>
      </c>
      <c r="J375">
        <v>3</v>
      </c>
      <c r="K375">
        <v>1</v>
      </c>
      <c r="L375">
        <v>3</v>
      </c>
      <c r="M375">
        <v>2.3490000000000002</v>
      </c>
      <c r="N375">
        <v>2.1139999999999999</v>
      </c>
      <c r="O375">
        <v>6.4749999999999996</v>
      </c>
      <c r="P375">
        <v>19.425000000000001</v>
      </c>
      <c r="Q375">
        <v>9.2799999999999994</v>
      </c>
      <c r="R375">
        <v>27.84</v>
      </c>
    </row>
    <row r="376" spans="1:18" x14ac:dyDescent="0.25">
      <c r="A376">
        <v>18809378</v>
      </c>
      <c r="B376">
        <v>982520</v>
      </c>
      <c r="C376" t="s">
        <v>165</v>
      </c>
      <c r="E376" t="str">
        <f>"887961928105"</f>
        <v>887961928105</v>
      </c>
      <c r="H376" t="s">
        <v>17</v>
      </c>
      <c r="I376">
        <v>95030085</v>
      </c>
      <c r="J376">
        <v>3</v>
      </c>
      <c r="K376">
        <v>1</v>
      </c>
      <c r="L376">
        <v>3</v>
      </c>
      <c r="M376">
        <v>1.7789999999999999</v>
      </c>
      <c r="N376">
        <v>1.601</v>
      </c>
      <c r="O376">
        <v>5.6</v>
      </c>
      <c r="P376">
        <v>16.8</v>
      </c>
      <c r="Q376">
        <v>7.78</v>
      </c>
      <c r="R376">
        <v>23.34</v>
      </c>
    </row>
    <row r="377" spans="1:18" x14ac:dyDescent="0.25">
      <c r="A377">
        <v>18809378</v>
      </c>
      <c r="B377">
        <v>755845</v>
      </c>
      <c r="C377" t="s">
        <v>166</v>
      </c>
      <c r="E377" t="str">
        <f>"5420023188113"</f>
        <v>5420023188113</v>
      </c>
      <c r="F377" t="str">
        <f>"2000006848512"</f>
        <v>2000006848512</v>
      </c>
      <c r="G377" t="str">
        <f>"2018203962917"</f>
        <v>2018203962917</v>
      </c>
      <c r="H377" t="s">
        <v>17</v>
      </c>
      <c r="I377">
        <v>95030010</v>
      </c>
      <c r="J377">
        <v>6</v>
      </c>
      <c r="K377">
        <v>1</v>
      </c>
      <c r="L377">
        <v>6</v>
      </c>
      <c r="M377">
        <v>10.8</v>
      </c>
      <c r="N377">
        <v>9.7200000000000006</v>
      </c>
      <c r="O377">
        <v>18.59</v>
      </c>
      <c r="P377">
        <v>111.54</v>
      </c>
      <c r="Q377">
        <v>9.8800000000000008</v>
      </c>
      <c r="R377">
        <v>59.28</v>
      </c>
    </row>
    <row r="378" spans="1:18" x14ac:dyDescent="0.25">
      <c r="A378">
        <v>18809378</v>
      </c>
      <c r="B378">
        <v>962842</v>
      </c>
      <c r="C378" t="s">
        <v>167</v>
      </c>
      <c r="E378" t="str">
        <f>"778988397060"</f>
        <v>778988397060</v>
      </c>
      <c r="H378" t="s">
        <v>17</v>
      </c>
      <c r="I378">
        <v>95030070</v>
      </c>
      <c r="J378">
        <v>1</v>
      </c>
      <c r="K378">
        <v>2</v>
      </c>
      <c r="L378">
        <v>2</v>
      </c>
      <c r="M378">
        <v>2.0459999999999998</v>
      </c>
      <c r="N378">
        <v>1.841</v>
      </c>
      <c r="O378">
        <v>10.5</v>
      </c>
      <c r="P378">
        <v>21</v>
      </c>
      <c r="Q378">
        <v>15.29</v>
      </c>
      <c r="R378">
        <v>30.58</v>
      </c>
    </row>
    <row r="379" spans="1:18" x14ac:dyDescent="0.25">
      <c r="A379">
        <v>18809378</v>
      </c>
      <c r="B379">
        <v>667934</v>
      </c>
      <c r="C379" t="s">
        <v>168</v>
      </c>
      <c r="E379" t="str">
        <f>"3491953866930"</f>
        <v>3491953866930</v>
      </c>
      <c r="F379" t="str">
        <f>"3491955933739"</f>
        <v>3491955933739</v>
      </c>
      <c r="H379" t="s">
        <v>17</v>
      </c>
      <c r="I379">
        <v>95030095</v>
      </c>
      <c r="J379">
        <v>6</v>
      </c>
      <c r="K379">
        <v>1</v>
      </c>
      <c r="L379">
        <v>6</v>
      </c>
      <c r="M379">
        <v>16.998000000000001</v>
      </c>
      <c r="N379">
        <v>15.298</v>
      </c>
      <c r="O379">
        <v>50.421999999999997</v>
      </c>
      <c r="P379">
        <v>302.53199999999998</v>
      </c>
      <c r="Q379">
        <v>3.68</v>
      </c>
      <c r="R379">
        <v>22.08</v>
      </c>
    </row>
    <row r="380" spans="1:18" x14ac:dyDescent="0.25">
      <c r="A380">
        <v>18809378</v>
      </c>
      <c r="B380">
        <v>760040</v>
      </c>
      <c r="C380" t="s">
        <v>169</v>
      </c>
      <c r="E380" t="str">
        <f>"5420023188106"</f>
        <v>5420023188106</v>
      </c>
      <c r="F380" t="str">
        <f>"2000006849113"</f>
        <v>2000006849113</v>
      </c>
      <c r="H380" t="s">
        <v>17</v>
      </c>
      <c r="I380">
        <v>95030070</v>
      </c>
      <c r="J380">
        <v>1</v>
      </c>
      <c r="K380">
        <v>2</v>
      </c>
      <c r="L380">
        <v>2</v>
      </c>
      <c r="M380">
        <v>6</v>
      </c>
      <c r="N380">
        <v>5.4</v>
      </c>
      <c r="O380">
        <v>44.351999999999997</v>
      </c>
      <c r="P380">
        <v>88.703999999999994</v>
      </c>
      <c r="Q380">
        <v>14.79</v>
      </c>
      <c r="R380">
        <v>29.58</v>
      </c>
    </row>
    <row r="381" spans="1:18" x14ac:dyDescent="0.25">
      <c r="A381">
        <v>18809378</v>
      </c>
      <c r="B381">
        <v>922242</v>
      </c>
      <c r="C381" t="s">
        <v>170</v>
      </c>
      <c r="E381" t="str">
        <f>"5420023187840"</f>
        <v>5420023187840</v>
      </c>
      <c r="H381" t="s">
        <v>17</v>
      </c>
      <c r="I381">
        <v>95030070</v>
      </c>
      <c r="J381">
        <v>1</v>
      </c>
      <c r="K381">
        <v>1</v>
      </c>
      <c r="L381">
        <v>1</v>
      </c>
      <c r="M381">
        <v>1.026</v>
      </c>
      <c r="N381">
        <v>0.92300000000000004</v>
      </c>
      <c r="O381">
        <v>10.25</v>
      </c>
      <c r="P381">
        <v>10.25</v>
      </c>
      <c r="Q381">
        <v>5.04</v>
      </c>
      <c r="R381">
        <v>5.04</v>
      </c>
    </row>
    <row r="382" spans="1:18" x14ac:dyDescent="0.25">
      <c r="A382">
        <v>18809378</v>
      </c>
      <c r="B382">
        <v>922193</v>
      </c>
      <c r="C382" t="s">
        <v>171</v>
      </c>
      <c r="E382" t="str">
        <f>"5420023187833"</f>
        <v>5420023187833</v>
      </c>
      <c r="H382" t="s">
        <v>17</v>
      </c>
      <c r="I382">
        <v>95030070</v>
      </c>
      <c r="J382">
        <v>1</v>
      </c>
      <c r="K382">
        <v>1</v>
      </c>
      <c r="L382">
        <v>1</v>
      </c>
      <c r="M382">
        <v>1.01</v>
      </c>
      <c r="N382">
        <v>0.90900000000000003</v>
      </c>
      <c r="O382">
        <v>10.933</v>
      </c>
      <c r="P382">
        <v>10.933</v>
      </c>
      <c r="Q382">
        <v>5.04</v>
      </c>
      <c r="R382">
        <v>5.04</v>
      </c>
    </row>
    <row r="383" spans="1:18" x14ac:dyDescent="0.25">
      <c r="A383">
        <v>18809378</v>
      </c>
      <c r="B383">
        <v>970485</v>
      </c>
      <c r="C383" t="s">
        <v>172</v>
      </c>
      <c r="E383" t="str">
        <f>"3467452062869"</f>
        <v>3467452062869</v>
      </c>
      <c r="H383" t="s">
        <v>17</v>
      </c>
      <c r="I383">
        <v>95030085</v>
      </c>
      <c r="J383">
        <v>1</v>
      </c>
      <c r="K383">
        <v>4</v>
      </c>
      <c r="L383">
        <v>4</v>
      </c>
      <c r="M383">
        <v>0.748</v>
      </c>
      <c r="N383">
        <v>0.67300000000000004</v>
      </c>
      <c r="O383">
        <v>1.196</v>
      </c>
      <c r="P383">
        <v>4.7839999999999998</v>
      </c>
      <c r="Q383">
        <v>3.1</v>
      </c>
      <c r="R383">
        <v>12.4</v>
      </c>
    </row>
    <row r="384" spans="1:18" x14ac:dyDescent="0.25">
      <c r="A384">
        <v>18809378</v>
      </c>
      <c r="B384">
        <v>982496</v>
      </c>
      <c r="C384" t="s">
        <v>173</v>
      </c>
      <c r="E384" t="str">
        <f>"887961777376"</f>
        <v>887961777376</v>
      </c>
      <c r="F384" t="str">
        <f>"887961777383"</f>
        <v>887961777383</v>
      </c>
      <c r="H384" t="s">
        <v>17</v>
      </c>
      <c r="I384">
        <v>95030085</v>
      </c>
      <c r="J384">
        <v>3</v>
      </c>
      <c r="K384">
        <v>1</v>
      </c>
      <c r="L384">
        <v>3</v>
      </c>
      <c r="M384">
        <v>2.0099999999999998</v>
      </c>
      <c r="N384">
        <v>1.8089999999999999</v>
      </c>
      <c r="O384">
        <v>8.1999999999999993</v>
      </c>
      <c r="P384">
        <v>24.6</v>
      </c>
      <c r="Q384">
        <v>14.48</v>
      </c>
      <c r="R384">
        <v>43.44</v>
      </c>
    </row>
    <row r="385" spans="1:18" x14ac:dyDescent="0.25">
      <c r="A385">
        <v>18809378</v>
      </c>
      <c r="B385">
        <v>953053</v>
      </c>
      <c r="C385" t="s">
        <v>174</v>
      </c>
      <c r="E385" t="str">
        <f>"5420023190475"</f>
        <v>5420023190475</v>
      </c>
      <c r="H385" t="s">
        <v>17</v>
      </c>
      <c r="I385">
        <v>95030095</v>
      </c>
      <c r="J385">
        <v>6</v>
      </c>
      <c r="K385">
        <v>1</v>
      </c>
      <c r="L385">
        <v>6</v>
      </c>
      <c r="M385">
        <v>2.718</v>
      </c>
      <c r="N385">
        <v>2.4460000000000002</v>
      </c>
      <c r="O385">
        <v>6.5449999999999999</v>
      </c>
      <c r="P385">
        <v>39.270000000000003</v>
      </c>
      <c r="Q385">
        <v>4.88</v>
      </c>
      <c r="R385">
        <v>29.28</v>
      </c>
    </row>
    <row r="386" spans="1:18" x14ac:dyDescent="0.25">
      <c r="A386">
        <v>18809378</v>
      </c>
      <c r="B386">
        <v>783727</v>
      </c>
      <c r="C386" t="s">
        <v>175</v>
      </c>
      <c r="E386" t="str">
        <f>"3467452051658"</f>
        <v>3467452051658</v>
      </c>
      <c r="H386" t="s">
        <v>17</v>
      </c>
      <c r="I386">
        <v>95030095</v>
      </c>
      <c r="J386">
        <v>1</v>
      </c>
      <c r="K386">
        <v>1</v>
      </c>
      <c r="L386">
        <v>1</v>
      </c>
      <c r="M386">
        <v>9.56</v>
      </c>
      <c r="N386">
        <v>8.6039999999999992</v>
      </c>
      <c r="O386">
        <v>117.92</v>
      </c>
      <c r="P386">
        <v>117.92</v>
      </c>
      <c r="Q386">
        <v>66.819999999999993</v>
      </c>
      <c r="R386">
        <v>66.819999999999993</v>
      </c>
    </row>
    <row r="387" spans="1:18" x14ac:dyDescent="0.25">
      <c r="A387">
        <v>18809378</v>
      </c>
      <c r="B387">
        <v>991107</v>
      </c>
      <c r="C387" t="s">
        <v>176</v>
      </c>
      <c r="E387" t="str">
        <f>"3491955940263"</f>
        <v>3491955940263</v>
      </c>
      <c r="H387" t="s">
        <v>17</v>
      </c>
      <c r="I387">
        <v>95030070</v>
      </c>
      <c r="J387">
        <v>4</v>
      </c>
      <c r="K387">
        <v>1</v>
      </c>
      <c r="L387">
        <v>4</v>
      </c>
      <c r="M387">
        <v>5.8</v>
      </c>
      <c r="N387">
        <v>5.22</v>
      </c>
      <c r="O387">
        <v>12.54</v>
      </c>
      <c r="P387">
        <v>50.16</v>
      </c>
      <c r="Q387">
        <v>10.6</v>
      </c>
      <c r="R387">
        <v>42.4</v>
      </c>
    </row>
    <row r="388" spans="1:18" x14ac:dyDescent="0.25">
      <c r="A388">
        <v>18811061</v>
      </c>
      <c r="B388">
        <v>994504</v>
      </c>
      <c r="C388" t="s">
        <v>177</v>
      </c>
      <c r="E388" t="str">
        <f>"778988366967"</f>
        <v>778988366967</v>
      </c>
      <c r="H388" t="s">
        <v>69</v>
      </c>
      <c r="I388">
        <v>95030070</v>
      </c>
      <c r="J388">
        <v>4</v>
      </c>
      <c r="K388">
        <v>1</v>
      </c>
      <c r="L388">
        <v>4</v>
      </c>
      <c r="M388">
        <v>1.2</v>
      </c>
      <c r="N388">
        <v>1.08</v>
      </c>
      <c r="O388">
        <v>1.875</v>
      </c>
      <c r="P388">
        <v>7.5</v>
      </c>
      <c r="Q388">
        <v>8.36</v>
      </c>
      <c r="R388">
        <v>33.44</v>
      </c>
    </row>
    <row r="389" spans="1:18" x14ac:dyDescent="0.25">
      <c r="A389">
        <v>18811061</v>
      </c>
      <c r="B389">
        <v>986369</v>
      </c>
      <c r="C389" t="s">
        <v>178</v>
      </c>
      <c r="E389" t="str">
        <f>"887961943726"</f>
        <v>887961943726</v>
      </c>
      <c r="F389" t="str">
        <f>"887961943696"</f>
        <v>887961943696</v>
      </c>
      <c r="G389" t="str">
        <f>"887961943719"</f>
        <v>887961943719</v>
      </c>
      <c r="H389" t="s">
        <v>17</v>
      </c>
      <c r="I389">
        <v>95030049</v>
      </c>
      <c r="J389">
        <v>6</v>
      </c>
      <c r="K389">
        <v>1</v>
      </c>
      <c r="L389">
        <v>6</v>
      </c>
      <c r="M389">
        <v>0.93</v>
      </c>
      <c r="N389">
        <v>0.83699999999999997</v>
      </c>
      <c r="O389">
        <v>2.8359999999999999</v>
      </c>
      <c r="P389">
        <v>17.015999999999998</v>
      </c>
      <c r="Q389">
        <v>6.82</v>
      </c>
      <c r="R389">
        <v>40.92</v>
      </c>
    </row>
    <row r="390" spans="1:18" x14ac:dyDescent="0.25">
      <c r="A390">
        <v>18811061</v>
      </c>
      <c r="B390">
        <v>987019</v>
      </c>
      <c r="C390" t="s">
        <v>179</v>
      </c>
      <c r="E390" t="str">
        <f>"8712364803457"</f>
        <v>8712364803457</v>
      </c>
      <c r="F390" t="str">
        <f>"8712364800982"</f>
        <v>8712364800982</v>
      </c>
      <c r="H390" t="s">
        <v>17</v>
      </c>
      <c r="I390">
        <v>95059000</v>
      </c>
      <c r="J390">
        <v>12</v>
      </c>
      <c r="K390">
        <v>4</v>
      </c>
      <c r="L390">
        <v>48</v>
      </c>
      <c r="M390">
        <v>0.48</v>
      </c>
      <c r="N390">
        <v>0.432</v>
      </c>
      <c r="O390">
        <v>0.19900000000000001</v>
      </c>
      <c r="P390">
        <v>9.5519999999999996</v>
      </c>
      <c r="Q390">
        <v>0.3</v>
      </c>
      <c r="R390">
        <v>14.4</v>
      </c>
    </row>
    <row r="391" spans="1:18" x14ac:dyDescent="0.25">
      <c r="A391">
        <v>18811061</v>
      </c>
      <c r="B391">
        <v>994476</v>
      </c>
      <c r="C391" t="s">
        <v>180</v>
      </c>
      <c r="E391" t="str">
        <f>"5050574252829"</f>
        <v>5050574252829</v>
      </c>
      <c r="H391" t="s">
        <v>17</v>
      </c>
      <c r="I391">
        <v>69111000</v>
      </c>
      <c r="J391">
        <v>6</v>
      </c>
      <c r="K391">
        <v>1</v>
      </c>
      <c r="L391">
        <v>6</v>
      </c>
      <c r="M391">
        <v>2.274</v>
      </c>
      <c r="N391">
        <v>2.0470000000000002</v>
      </c>
      <c r="O391">
        <v>1.2090000000000001</v>
      </c>
      <c r="P391">
        <v>7.2539999999999996</v>
      </c>
      <c r="Q391">
        <v>4.3499999999999996</v>
      </c>
      <c r="R391">
        <v>26.1</v>
      </c>
    </row>
    <row r="392" spans="1:18" x14ac:dyDescent="0.25">
      <c r="A392">
        <v>18811061</v>
      </c>
      <c r="B392">
        <v>987040</v>
      </c>
      <c r="C392" t="s">
        <v>181</v>
      </c>
      <c r="E392" t="str">
        <f>"8712364584233"</f>
        <v>8712364584233</v>
      </c>
      <c r="H392" t="s">
        <v>17</v>
      </c>
      <c r="I392">
        <v>33049900</v>
      </c>
      <c r="J392">
        <v>1</v>
      </c>
      <c r="K392">
        <v>40</v>
      </c>
      <c r="L392">
        <v>40</v>
      </c>
      <c r="M392">
        <v>12.12</v>
      </c>
      <c r="N392">
        <v>10.907999999999999</v>
      </c>
      <c r="O392">
        <v>0.16900000000000001</v>
      </c>
      <c r="P392">
        <v>6.76</v>
      </c>
      <c r="Q392">
        <v>0.96</v>
      </c>
      <c r="R392">
        <v>38.4</v>
      </c>
    </row>
    <row r="393" spans="1:18" x14ac:dyDescent="0.25">
      <c r="A393">
        <v>18811061</v>
      </c>
      <c r="B393">
        <v>994972</v>
      </c>
      <c r="C393" t="s">
        <v>182</v>
      </c>
      <c r="E393" t="str">
        <f>"2000007085572"</f>
        <v>2000007085572</v>
      </c>
      <c r="H393" t="s">
        <v>99</v>
      </c>
      <c r="I393">
        <v>61101910</v>
      </c>
      <c r="J393">
        <v>28</v>
      </c>
      <c r="K393">
        <v>1</v>
      </c>
      <c r="L393">
        <v>28</v>
      </c>
      <c r="M393">
        <v>17.388000000000002</v>
      </c>
      <c r="N393">
        <v>15.648999999999999</v>
      </c>
      <c r="O393">
        <v>4.6500000000000004</v>
      </c>
      <c r="P393">
        <v>130.19999999999999</v>
      </c>
      <c r="Q393">
        <v>7.41</v>
      </c>
      <c r="R393">
        <v>207.48</v>
      </c>
    </row>
    <row r="394" spans="1:18" x14ac:dyDescent="0.25">
      <c r="A394">
        <v>18811061</v>
      </c>
      <c r="B394">
        <v>1007814</v>
      </c>
      <c r="C394" t="s">
        <v>183</v>
      </c>
      <c r="E394" t="str">
        <f>"8712364562248"</f>
        <v>8712364562248</v>
      </c>
      <c r="H394" t="s">
        <v>17</v>
      </c>
      <c r="I394">
        <v>95059000</v>
      </c>
      <c r="J394">
        <v>1</v>
      </c>
      <c r="K394">
        <v>36</v>
      </c>
      <c r="L394">
        <v>36</v>
      </c>
      <c r="M394">
        <v>0.9</v>
      </c>
      <c r="N394">
        <v>0.81</v>
      </c>
      <c r="O394">
        <v>1.339</v>
      </c>
      <c r="P394">
        <v>48.204000000000001</v>
      </c>
      <c r="Q394">
        <v>1.5</v>
      </c>
      <c r="R394">
        <v>54</v>
      </c>
    </row>
    <row r="395" spans="1:18" x14ac:dyDescent="0.25">
      <c r="A395">
        <v>18811061</v>
      </c>
      <c r="B395">
        <v>997504</v>
      </c>
      <c r="C395" t="s">
        <v>184</v>
      </c>
      <c r="E395" t="str">
        <f>"8720701032835"</f>
        <v>8720701032835</v>
      </c>
      <c r="H395" t="s">
        <v>17</v>
      </c>
      <c r="I395">
        <v>33073000</v>
      </c>
      <c r="J395">
        <v>6</v>
      </c>
      <c r="K395">
        <v>1</v>
      </c>
      <c r="L395">
        <v>6</v>
      </c>
      <c r="M395">
        <v>0.12</v>
      </c>
      <c r="N395">
        <v>0.108</v>
      </c>
      <c r="O395">
        <v>1.75</v>
      </c>
      <c r="P395">
        <v>10.5</v>
      </c>
      <c r="Q395">
        <v>6.65</v>
      </c>
      <c r="R395">
        <v>39.9</v>
      </c>
    </row>
    <row r="396" spans="1:18" x14ac:dyDescent="0.25">
      <c r="A396">
        <v>18811061</v>
      </c>
      <c r="B396">
        <v>991100</v>
      </c>
      <c r="C396" t="s">
        <v>185</v>
      </c>
      <c r="E396" t="str">
        <f>"8720194708248"</f>
        <v>8720194708248</v>
      </c>
      <c r="H396" t="s">
        <v>17</v>
      </c>
      <c r="I396">
        <v>44209010</v>
      </c>
      <c r="J396">
        <v>1</v>
      </c>
      <c r="K396">
        <v>6</v>
      </c>
      <c r="L396">
        <v>6</v>
      </c>
      <c r="M396">
        <v>1.5</v>
      </c>
      <c r="N396">
        <v>1.35</v>
      </c>
      <c r="O396">
        <v>0.93500000000000005</v>
      </c>
      <c r="P396">
        <v>5.61</v>
      </c>
      <c r="Q396">
        <v>4.88</v>
      </c>
      <c r="R396">
        <v>29.28</v>
      </c>
    </row>
    <row r="397" spans="1:18" x14ac:dyDescent="0.25">
      <c r="A397">
        <v>18811061</v>
      </c>
      <c r="B397">
        <v>996602</v>
      </c>
      <c r="C397" t="s">
        <v>186</v>
      </c>
      <c r="E397" t="str">
        <f>"3491955991241"</f>
        <v>3491955991241</v>
      </c>
      <c r="H397" t="s">
        <v>17</v>
      </c>
      <c r="I397">
        <v>70139900</v>
      </c>
      <c r="J397">
        <v>4</v>
      </c>
      <c r="K397">
        <v>2</v>
      </c>
      <c r="L397">
        <v>8</v>
      </c>
      <c r="M397">
        <v>11</v>
      </c>
      <c r="N397">
        <v>9.9</v>
      </c>
      <c r="O397">
        <v>9.6769999999999996</v>
      </c>
      <c r="P397">
        <v>77.415999999999997</v>
      </c>
      <c r="Q397">
        <v>12.44</v>
      </c>
      <c r="R397">
        <v>99.52</v>
      </c>
    </row>
    <row r="398" spans="1:18" x14ac:dyDescent="0.25">
      <c r="A398">
        <v>18811061</v>
      </c>
      <c r="B398">
        <v>952997</v>
      </c>
      <c r="C398" t="s">
        <v>187</v>
      </c>
      <c r="E398" t="str">
        <f>"3491955643843"</f>
        <v>3491955643843</v>
      </c>
      <c r="H398" t="s">
        <v>17</v>
      </c>
      <c r="I398">
        <v>95030041</v>
      </c>
      <c r="J398">
        <v>12</v>
      </c>
      <c r="K398">
        <v>2</v>
      </c>
      <c r="L398">
        <v>24</v>
      </c>
      <c r="M398">
        <v>2.7839999999999998</v>
      </c>
      <c r="N398">
        <v>2.5059999999999998</v>
      </c>
      <c r="O398">
        <v>0.875</v>
      </c>
      <c r="P398">
        <v>21</v>
      </c>
      <c r="Q398">
        <v>2.06</v>
      </c>
      <c r="R398">
        <v>49.44</v>
      </c>
    </row>
    <row r="399" spans="1:18" x14ac:dyDescent="0.25">
      <c r="A399">
        <v>18811061</v>
      </c>
      <c r="B399">
        <v>987030</v>
      </c>
      <c r="C399" t="s">
        <v>188</v>
      </c>
      <c r="E399" t="str">
        <f>"8712364584240"</f>
        <v>8712364584240</v>
      </c>
      <c r="H399" t="s">
        <v>17</v>
      </c>
      <c r="I399">
        <v>33049900</v>
      </c>
      <c r="J399">
        <v>1</v>
      </c>
      <c r="K399">
        <v>60</v>
      </c>
      <c r="L399">
        <v>60</v>
      </c>
      <c r="M399">
        <v>1.8</v>
      </c>
      <c r="N399">
        <v>1.62</v>
      </c>
      <c r="O399">
        <v>0.17699999999999999</v>
      </c>
      <c r="P399">
        <v>10.62</v>
      </c>
      <c r="Q399">
        <v>0.96</v>
      </c>
      <c r="R399">
        <v>57.6</v>
      </c>
    </row>
    <row r="400" spans="1:18" x14ac:dyDescent="0.25">
      <c r="A400">
        <v>18811061</v>
      </c>
      <c r="B400">
        <v>904790</v>
      </c>
      <c r="C400" t="s">
        <v>189</v>
      </c>
      <c r="E400" t="str">
        <f>"3491955531447"</f>
        <v>3491955531447</v>
      </c>
      <c r="H400" t="s">
        <v>17</v>
      </c>
      <c r="I400">
        <v>95030041</v>
      </c>
      <c r="J400">
        <v>1</v>
      </c>
      <c r="K400">
        <v>6</v>
      </c>
      <c r="L400">
        <v>6</v>
      </c>
      <c r="M400">
        <v>5.3579999999999997</v>
      </c>
      <c r="N400">
        <v>4.8230000000000004</v>
      </c>
      <c r="O400">
        <v>16.638000000000002</v>
      </c>
      <c r="P400">
        <v>99.828000000000003</v>
      </c>
      <c r="Q400">
        <v>7.86</v>
      </c>
      <c r="R400">
        <v>47.16</v>
      </c>
    </row>
    <row r="401" spans="1:18" x14ac:dyDescent="0.25">
      <c r="A401">
        <v>18811061</v>
      </c>
      <c r="B401">
        <v>953012</v>
      </c>
      <c r="C401" t="s">
        <v>190</v>
      </c>
      <c r="E401" t="str">
        <f>"3491955643805"</f>
        <v>3491955643805</v>
      </c>
      <c r="H401" t="s">
        <v>17</v>
      </c>
      <c r="I401">
        <v>95030041</v>
      </c>
      <c r="J401">
        <v>6</v>
      </c>
      <c r="K401">
        <v>1</v>
      </c>
      <c r="L401">
        <v>6</v>
      </c>
      <c r="M401">
        <v>3.8460000000000001</v>
      </c>
      <c r="N401">
        <v>3.4609999999999999</v>
      </c>
      <c r="O401">
        <v>11.025</v>
      </c>
      <c r="P401">
        <v>66.150000000000006</v>
      </c>
      <c r="Q401">
        <v>5.56</v>
      </c>
      <c r="R401">
        <v>33.36</v>
      </c>
    </row>
    <row r="402" spans="1:18" x14ac:dyDescent="0.25">
      <c r="A402">
        <v>18811061</v>
      </c>
      <c r="B402">
        <v>1007802</v>
      </c>
      <c r="C402" t="s">
        <v>191</v>
      </c>
      <c r="E402" t="str">
        <f>"8712364577211"</f>
        <v>8712364577211</v>
      </c>
      <c r="H402" t="s">
        <v>17</v>
      </c>
      <c r="I402">
        <v>95059000</v>
      </c>
      <c r="J402">
        <v>12</v>
      </c>
      <c r="K402">
        <v>4</v>
      </c>
      <c r="L402">
        <v>48</v>
      </c>
      <c r="M402">
        <v>12</v>
      </c>
      <c r="N402">
        <v>10.8</v>
      </c>
      <c r="O402">
        <v>3.6160000000000001</v>
      </c>
      <c r="P402">
        <v>173.56800000000001</v>
      </c>
      <c r="Q402">
        <v>2.54</v>
      </c>
      <c r="R402">
        <v>121.92</v>
      </c>
    </row>
    <row r="403" spans="1:18" x14ac:dyDescent="0.25">
      <c r="A403">
        <v>18811061</v>
      </c>
      <c r="B403">
        <v>987029</v>
      </c>
      <c r="C403" t="s">
        <v>192</v>
      </c>
      <c r="E403" t="str">
        <f>"8712364622508"</f>
        <v>8712364622508</v>
      </c>
      <c r="H403" t="s">
        <v>17</v>
      </c>
      <c r="I403">
        <v>63079098</v>
      </c>
      <c r="J403">
        <v>1</v>
      </c>
      <c r="K403">
        <v>60</v>
      </c>
      <c r="L403">
        <v>60</v>
      </c>
      <c r="M403">
        <v>0.72</v>
      </c>
      <c r="N403">
        <v>0.64800000000000002</v>
      </c>
      <c r="O403">
        <v>0.22700000000000001</v>
      </c>
      <c r="P403">
        <v>13.62</v>
      </c>
      <c r="Q403">
        <v>1.17</v>
      </c>
      <c r="R403">
        <v>70.2</v>
      </c>
    </row>
    <row r="404" spans="1:18" x14ac:dyDescent="0.25">
      <c r="A404">
        <v>18811061</v>
      </c>
      <c r="B404">
        <v>987006</v>
      </c>
      <c r="C404" t="s">
        <v>193</v>
      </c>
      <c r="E404" t="str">
        <f>"8712364622553"</f>
        <v>8712364622553</v>
      </c>
      <c r="H404" t="s">
        <v>17</v>
      </c>
      <c r="I404">
        <v>63079098</v>
      </c>
      <c r="J404">
        <v>1</v>
      </c>
      <c r="K404">
        <v>40</v>
      </c>
      <c r="L404">
        <v>40</v>
      </c>
      <c r="M404">
        <v>3.2</v>
      </c>
      <c r="N404">
        <v>2.88</v>
      </c>
      <c r="O404">
        <v>0.27</v>
      </c>
      <c r="P404">
        <v>10.8</v>
      </c>
      <c r="Q404">
        <v>1.17</v>
      </c>
      <c r="R404">
        <v>46.8</v>
      </c>
    </row>
    <row r="405" spans="1:18" x14ac:dyDescent="0.25">
      <c r="A405">
        <v>18816018</v>
      </c>
      <c r="B405">
        <v>337567</v>
      </c>
      <c r="C405" t="s">
        <v>194</v>
      </c>
      <c r="E405" t="str">
        <f>"8711293022670"</f>
        <v>8711293022670</v>
      </c>
      <c r="H405" t="s">
        <v>17</v>
      </c>
      <c r="I405">
        <v>57049000</v>
      </c>
      <c r="J405">
        <v>1</v>
      </c>
      <c r="K405">
        <v>2</v>
      </c>
      <c r="L405">
        <v>2</v>
      </c>
      <c r="M405">
        <v>1.796</v>
      </c>
      <c r="N405">
        <v>1.6160000000000001</v>
      </c>
      <c r="O405">
        <v>3.64</v>
      </c>
      <c r="P405">
        <v>7.28</v>
      </c>
      <c r="Q405">
        <v>2.5499999999999998</v>
      </c>
      <c r="R405">
        <v>5.0999999999999996</v>
      </c>
    </row>
    <row r="406" spans="1:18" x14ac:dyDescent="0.25">
      <c r="A406">
        <v>18816018</v>
      </c>
      <c r="B406">
        <v>335767</v>
      </c>
      <c r="C406" t="s">
        <v>195</v>
      </c>
      <c r="E406" t="str">
        <f>"3700062110101"</f>
        <v>3700062110101</v>
      </c>
      <c r="H406" t="s">
        <v>97</v>
      </c>
      <c r="I406">
        <v>55032000</v>
      </c>
      <c r="J406">
        <v>1</v>
      </c>
      <c r="K406">
        <v>2</v>
      </c>
      <c r="L406">
        <v>2</v>
      </c>
      <c r="M406">
        <v>3.6659999999999999</v>
      </c>
      <c r="N406">
        <v>3.2989999999999999</v>
      </c>
      <c r="O406">
        <v>20</v>
      </c>
      <c r="P406">
        <v>40</v>
      </c>
      <c r="Q406">
        <v>4.04</v>
      </c>
      <c r="R406">
        <v>8.08</v>
      </c>
    </row>
    <row r="407" spans="1:18" x14ac:dyDescent="0.25">
      <c r="A407">
        <v>18816018</v>
      </c>
      <c r="B407">
        <v>956345</v>
      </c>
      <c r="C407" t="s">
        <v>196</v>
      </c>
      <c r="E407" t="str">
        <f>"3491955560027"</f>
        <v>3491955560027</v>
      </c>
      <c r="H407" t="s">
        <v>17</v>
      </c>
      <c r="I407">
        <v>62143000</v>
      </c>
      <c r="J407">
        <v>1</v>
      </c>
      <c r="K407">
        <v>3</v>
      </c>
      <c r="L407">
        <v>3</v>
      </c>
      <c r="M407">
        <v>1.6739999999999999</v>
      </c>
      <c r="N407">
        <v>1.5069999999999999</v>
      </c>
      <c r="O407">
        <v>7.2</v>
      </c>
      <c r="P407">
        <v>21.6</v>
      </c>
      <c r="Q407">
        <v>3.14</v>
      </c>
      <c r="R407">
        <v>9.42</v>
      </c>
    </row>
    <row r="408" spans="1:18" x14ac:dyDescent="0.25">
      <c r="A408">
        <v>18816018</v>
      </c>
      <c r="B408">
        <v>913659</v>
      </c>
      <c r="C408" t="s">
        <v>197</v>
      </c>
      <c r="E408" t="str">
        <f>"3491955560041"</f>
        <v>3491955560041</v>
      </c>
      <c r="H408" t="s">
        <v>17</v>
      </c>
      <c r="I408">
        <v>63014090</v>
      </c>
      <c r="J408">
        <v>1</v>
      </c>
      <c r="K408">
        <v>3</v>
      </c>
      <c r="L408">
        <v>3</v>
      </c>
      <c r="M408">
        <v>1.095</v>
      </c>
      <c r="N408">
        <v>0.98599999999999999</v>
      </c>
      <c r="O408">
        <v>3.78</v>
      </c>
      <c r="P408">
        <v>11.34</v>
      </c>
      <c r="Q408">
        <v>3.33</v>
      </c>
      <c r="R408">
        <v>9.99</v>
      </c>
    </row>
    <row r="409" spans="1:18" x14ac:dyDescent="0.25">
      <c r="A409">
        <v>18816018</v>
      </c>
      <c r="B409">
        <v>711694</v>
      </c>
      <c r="C409" t="s">
        <v>198</v>
      </c>
      <c r="E409" t="str">
        <f>"3491953621294"</f>
        <v>3491953621294</v>
      </c>
      <c r="F409" t="str">
        <f>"3491955027964"</f>
        <v>3491955027964</v>
      </c>
      <c r="G409" t="str">
        <f>"3491955512545"</f>
        <v>3491955512545</v>
      </c>
      <c r="H409" t="s">
        <v>17</v>
      </c>
      <c r="I409">
        <v>63079098</v>
      </c>
      <c r="J409">
        <v>1</v>
      </c>
      <c r="K409">
        <v>2</v>
      </c>
      <c r="L409">
        <v>2</v>
      </c>
      <c r="M409">
        <v>5.4279999999999999</v>
      </c>
      <c r="N409">
        <v>4.8849999999999998</v>
      </c>
      <c r="O409">
        <v>13.45</v>
      </c>
      <c r="P409">
        <v>26.9</v>
      </c>
      <c r="Q409">
        <v>5.98</v>
      </c>
      <c r="R409">
        <v>11.96</v>
      </c>
    </row>
    <row r="410" spans="1:18" x14ac:dyDescent="0.25">
      <c r="A410">
        <v>18816018</v>
      </c>
      <c r="B410">
        <v>216675</v>
      </c>
      <c r="C410" t="s">
        <v>199</v>
      </c>
      <c r="E410" t="str">
        <f>"5400351121921"</f>
        <v>5400351121921</v>
      </c>
      <c r="F410" t="str">
        <f>"3166780145533"</f>
        <v>3166780145533</v>
      </c>
      <c r="G410" t="str">
        <f>"5400351750121"</f>
        <v>5400351750121</v>
      </c>
      <c r="H410" t="s">
        <v>200</v>
      </c>
      <c r="I410">
        <v>23099096</v>
      </c>
      <c r="J410">
        <v>1</v>
      </c>
      <c r="K410">
        <v>3</v>
      </c>
      <c r="L410">
        <v>7</v>
      </c>
      <c r="M410">
        <v>21.756</v>
      </c>
      <c r="N410">
        <v>19.579999999999998</v>
      </c>
      <c r="O410">
        <v>5.6</v>
      </c>
      <c r="P410">
        <v>39.200000000000003</v>
      </c>
      <c r="Q410">
        <v>2.46</v>
      </c>
      <c r="R410">
        <v>17.22</v>
      </c>
    </row>
    <row r="411" spans="1:18" x14ac:dyDescent="0.25">
      <c r="A411">
        <v>18816018</v>
      </c>
      <c r="B411">
        <v>980426</v>
      </c>
      <c r="C411" t="s">
        <v>201</v>
      </c>
      <c r="E411" t="str">
        <f>"3491955512521"</f>
        <v>3491955512521</v>
      </c>
      <c r="H411" t="s">
        <v>17</v>
      </c>
      <c r="I411">
        <v>39269097</v>
      </c>
      <c r="J411">
        <v>1</v>
      </c>
      <c r="K411">
        <v>2</v>
      </c>
      <c r="L411">
        <v>2</v>
      </c>
      <c r="M411">
        <v>0.79</v>
      </c>
      <c r="N411">
        <v>0.71099999999999997</v>
      </c>
      <c r="O411">
        <v>7.1390000000000002</v>
      </c>
      <c r="P411">
        <v>14.278</v>
      </c>
      <c r="Q411">
        <v>3.13</v>
      </c>
      <c r="R411">
        <v>6.26</v>
      </c>
    </row>
    <row r="412" spans="1:18" x14ac:dyDescent="0.25">
      <c r="A412">
        <v>18816018</v>
      </c>
      <c r="B412">
        <v>650658</v>
      </c>
      <c r="C412" t="s">
        <v>202</v>
      </c>
      <c r="E412" t="str">
        <f>"3491955580872"</f>
        <v>3491955580872</v>
      </c>
      <c r="F412" t="str">
        <f>"8009404212868"</f>
        <v>8009404212868</v>
      </c>
      <c r="G412" t="str">
        <f>"8009404253083"</f>
        <v>8009404253083</v>
      </c>
      <c r="H412" t="s">
        <v>203</v>
      </c>
      <c r="I412">
        <v>94037000</v>
      </c>
      <c r="J412">
        <v>1</v>
      </c>
      <c r="K412">
        <v>1</v>
      </c>
      <c r="L412">
        <v>1</v>
      </c>
      <c r="M412">
        <v>2.86</v>
      </c>
      <c r="N412">
        <v>2.5739999999999998</v>
      </c>
      <c r="O412">
        <v>79.92</v>
      </c>
      <c r="P412">
        <v>79.92</v>
      </c>
      <c r="Q412">
        <v>12.03</v>
      </c>
      <c r="R412">
        <v>12.03</v>
      </c>
    </row>
    <row r="413" spans="1:18" x14ac:dyDescent="0.25">
      <c r="A413">
        <v>18816018</v>
      </c>
      <c r="B413">
        <v>393014</v>
      </c>
      <c r="C413" t="s">
        <v>204</v>
      </c>
      <c r="E413" t="str">
        <f>"3234530002013"</f>
        <v>3234530002013</v>
      </c>
      <c r="H413" t="s">
        <v>97</v>
      </c>
      <c r="I413">
        <v>39249000</v>
      </c>
      <c r="J413">
        <v>1</v>
      </c>
      <c r="K413">
        <v>2</v>
      </c>
      <c r="L413">
        <v>2</v>
      </c>
      <c r="M413">
        <v>5.32</v>
      </c>
      <c r="N413">
        <v>4.7880000000000003</v>
      </c>
      <c r="O413">
        <v>71.424000000000007</v>
      </c>
      <c r="P413">
        <v>142.84800000000001</v>
      </c>
      <c r="Q413">
        <v>9.85</v>
      </c>
      <c r="R413">
        <v>19.7</v>
      </c>
    </row>
    <row r="414" spans="1:18" x14ac:dyDescent="0.25">
      <c r="A414">
        <v>18816018</v>
      </c>
      <c r="B414">
        <v>382708</v>
      </c>
      <c r="C414" t="s">
        <v>205</v>
      </c>
      <c r="E414" t="str">
        <f>"2090000689013"</f>
        <v>2090000689013</v>
      </c>
      <c r="H414" t="s">
        <v>206</v>
      </c>
      <c r="I414">
        <v>94049090</v>
      </c>
      <c r="J414">
        <v>1</v>
      </c>
      <c r="K414">
        <v>3</v>
      </c>
      <c r="L414">
        <v>3</v>
      </c>
      <c r="M414">
        <v>8.25</v>
      </c>
      <c r="N414">
        <v>7.4249999999999998</v>
      </c>
      <c r="O414">
        <v>60</v>
      </c>
      <c r="P414">
        <v>180</v>
      </c>
      <c r="Q414">
        <v>15.34</v>
      </c>
      <c r="R414">
        <v>46.02</v>
      </c>
    </row>
    <row r="415" spans="1:18" x14ac:dyDescent="0.25">
      <c r="A415">
        <v>18816018</v>
      </c>
      <c r="B415">
        <v>382720</v>
      </c>
      <c r="C415" t="s">
        <v>207</v>
      </c>
      <c r="E415" t="str">
        <f>"2090000689112"</f>
        <v>2090000689112</v>
      </c>
      <c r="H415" t="s">
        <v>206</v>
      </c>
      <c r="I415">
        <v>94049090</v>
      </c>
      <c r="J415">
        <v>1</v>
      </c>
      <c r="K415">
        <v>3</v>
      </c>
      <c r="L415">
        <v>3</v>
      </c>
      <c r="M415">
        <v>10.199999999999999</v>
      </c>
      <c r="N415">
        <v>9.18</v>
      </c>
      <c r="O415">
        <v>60</v>
      </c>
      <c r="P415">
        <v>180</v>
      </c>
      <c r="Q415">
        <v>18.48</v>
      </c>
      <c r="R415">
        <v>55.44</v>
      </c>
    </row>
    <row r="416" spans="1:18" x14ac:dyDescent="0.25">
      <c r="A416">
        <v>18816018</v>
      </c>
      <c r="B416">
        <v>913655</v>
      </c>
      <c r="C416" t="s">
        <v>208</v>
      </c>
      <c r="E416" t="str">
        <f>"3491955560010"</f>
        <v>3491955560010</v>
      </c>
      <c r="H416" t="s">
        <v>17</v>
      </c>
      <c r="I416">
        <v>62143000</v>
      </c>
      <c r="J416">
        <v>1</v>
      </c>
      <c r="K416">
        <v>3</v>
      </c>
      <c r="L416">
        <v>3</v>
      </c>
      <c r="M416">
        <v>1.7490000000000001</v>
      </c>
      <c r="N416">
        <v>1.5740000000000001</v>
      </c>
      <c r="O416">
        <v>6.16</v>
      </c>
      <c r="P416">
        <v>18.48</v>
      </c>
      <c r="Q416">
        <v>3.16</v>
      </c>
      <c r="R416">
        <v>9.48</v>
      </c>
    </row>
    <row r="417" spans="1:18" x14ac:dyDescent="0.25">
      <c r="A417">
        <v>18816018</v>
      </c>
      <c r="B417">
        <v>218778</v>
      </c>
      <c r="C417" t="s">
        <v>209</v>
      </c>
      <c r="E417" t="str">
        <f>"5601297411002"</f>
        <v>5601297411002</v>
      </c>
      <c r="F417" t="str">
        <f>"5400370862300"</f>
        <v>5400370862300</v>
      </c>
      <c r="G417" t="str">
        <f>"5400370014624"</f>
        <v>5400370014624</v>
      </c>
      <c r="H417" t="s">
        <v>17</v>
      </c>
      <c r="I417">
        <v>76151010</v>
      </c>
      <c r="J417">
        <v>1</v>
      </c>
      <c r="K417">
        <v>2</v>
      </c>
      <c r="L417">
        <v>2</v>
      </c>
      <c r="M417">
        <v>0.90600000000000003</v>
      </c>
      <c r="N417">
        <v>0.81499999999999995</v>
      </c>
      <c r="O417">
        <v>9.0660000000000007</v>
      </c>
      <c r="P417">
        <v>18.132000000000001</v>
      </c>
      <c r="Q417">
        <v>4.5</v>
      </c>
      <c r="R417">
        <v>9</v>
      </c>
    </row>
    <row r="418" spans="1:18" x14ac:dyDescent="0.25">
      <c r="A418">
        <v>18816018</v>
      </c>
      <c r="B418">
        <v>967938</v>
      </c>
      <c r="C418" t="s">
        <v>210</v>
      </c>
      <c r="E418" t="str">
        <f>"3560239686439"</f>
        <v>3560239686439</v>
      </c>
      <c r="H418" t="s">
        <v>17</v>
      </c>
      <c r="I418">
        <v>44219100</v>
      </c>
      <c r="J418">
        <v>1</v>
      </c>
      <c r="K418">
        <v>1</v>
      </c>
      <c r="L418">
        <v>1</v>
      </c>
      <c r="M418">
        <v>0.83799999999999997</v>
      </c>
      <c r="N418">
        <v>0.754</v>
      </c>
      <c r="O418">
        <v>5.3760000000000003</v>
      </c>
      <c r="P418">
        <v>5.3760000000000003</v>
      </c>
      <c r="Q418">
        <v>4.82</v>
      </c>
      <c r="R418">
        <v>4.82</v>
      </c>
    </row>
    <row r="419" spans="1:18" x14ac:dyDescent="0.25">
      <c r="A419">
        <v>18816018</v>
      </c>
      <c r="B419">
        <v>913660</v>
      </c>
      <c r="C419" t="s">
        <v>211</v>
      </c>
      <c r="E419" t="str">
        <f>"3491955560034"</f>
        <v>3491955560034</v>
      </c>
      <c r="H419" t="s">
        <v>17</v>
      </c>
      <c r="I419">
        <v>63014090</v>
      </c>
      <c r="J419">
        <v>1</v>
      </c>
      <c r="K419">
        <v>3</v>
      </c>
      <c r="L419">
        <v>3</v>
      </c>
      <c r="M419">
        <v>1.113</v>
      </c>
      <c r="N419">
        <v>1.002</v>
      </c>
      <c r="O419">
        <v>3.78</v>
      </c>
      <c r="P419">
        <v>11.34</v>
      </c>
      <c r="Q419">
        <v>3.33</v>
      </c>
      <c r="R419">
        <v>9.99</v>
      </c>
    </row>
    <row r="420" spans="1:18" x14ac:dyDescent="0.25">
      <c r="A420">
        <v>18816018</v>
      </c>
      <c r="B420">
        <v>1006513</v>
      </c>
      <c r="C420" t="s">
        <v>212</v>
      </c>
      <c r="E420" t="str">
        <f>"5411397147806"</f>
        <v>5411397147806</v>
      </c>
      <c r="H420" t="s">
        <v>17</v>
      </c>
      <c r="I420">
        <v>85165000</v>
      </c>
      <c r="J420">
        <v>1</v>
      </c>
      <c r="K420">
        <v>2</v>
      </c>
      <c r="L420">
        <v>2</v>
      </c>
      <c r="M420">
        <v>30</v>
      </c>
      <c r="N420">
        <v>27</v>
      </c>
      <c r="O420">
        <v>60</v>
      </c>
      <c r="P420">
        <v>120</v>
      </c>
      <c r="Q420">
        <v>53.3</v>
      </c>
      <c r="R420">
        <v>106.6</v>
      </c>
    </row>
    <row r="421" spans="1:18" x14ac:dyDescent="0.25">
      <c r="A421">
        <v>18817120</v>
      </c>
      <c r="B421">
        <v>951432</v>
      </c>
      <c r="C421" t="s">
        <v>213</v>
      </c>
      <c r="E421" t="str">
        <f>"195161618109"</f>
        <v>195161618109</v>
      </c>
      <c r="H421" t="s">
        <v>17</v>
      </c>
      <c r="I421">
        <v>84433100</v>
      </c>
      <c r="J421">
        <v>1</v>
      </c>
      <c r="K421">
        <v>3</v>
      </c>
      <c r="L421">
        <v>3</v>
      </c>
      <c r="M421">
        <v>9</v>
      </c>
      <c r="N421">
        <v>8.1</v>
      </c>
      <c r="O421">
        <v>29.61</v>
      </c>
      <c r="P421">
        <v>88.83</v>
      </c>
      <c r="Q421">
        <v>38.26</v>
      </c>
      <c r="R421">
        <v>114.78</v>
      </c>
    </row>
    <row r="422" spans="1:18" x14ac:dyDescent="0.25">
      <c r="A422">
        <v>18817120</v>
      </c>
      <c r="B422">
        <v>904509</v>
      </c>
      <c r="C422" t="s">
        <v>214</v>
      </c>
      <c r="E422" t="str">
        <f>"3491955526993"</f>
        <v>3491955526993</v>
      </c>
      <c r="H422" t="s">
        <v>17</v>
      </c>
      <c r="I422">
        <v>39264000</v>
      </c>
      <c r="J422">
        <v>6</v>
      </c>
      <c r="K422">
        <v>1</v>
      </c>
      <c r="L422">
        <v>6</v>
      </c>
      <c r="M422">
        <v>2.052</v>
      </c>
      <c r="N422">
        <v>1.847</v>
      </c>
      <c r="O422">
        <v>4.6550000000000002</v>
      </c>
      <c r="P422">
        <v>27.93</v>
      </c>
      <c r="Q422">
        <v>4.79</v>
      </c>
      <c r="R422">
        <v>28.74</v>
      </c>
    </row>
    <row r="423" spans="1:18" x14ac:dyDescent="0.25">
      <c r="A423">
        <v>18817120</v>
      </c>
      <c r="B423">
        <v>703384</v>
      </c>
      <c r="C423" t="s">
        <v>215</v>
      </c>
      <c r="E423" t="str">
        <f>"2000006810298"</f>
        <v>2000006810298</v>
      </c>
      <c r="H423" t="s">
        <v>17</v>
      </c>
      <c r="I423">
        <v>67029000</v>
      </c>
      <c r="J423">
        <v>4</v>
      </c>
      <c r="K423">
        <v>1</v>
      </c>
      <c r="L423">
        <v>4</v>
      </c>
      <c r="M423">
        <v>0.52</v>
      </c>
      <c r="N423">
        <v>0.46800000000000003</v>
      </c>
      <c r="O423">
        <v>3.25</v>
      </c>
      <c r="P423">
        <v>13</v>
      </c>
      <c r="Q423">
        <v>1.48</v>
      </c>
      <c r="R423">
        <v>5.92</v>
      </c>
    </row>
    <row r="424" spans="1:18" x14ac:dyDescent="0.25">
      <c r="A424">
        <v>18817120</v>
      </c>
      <c r="B424">
        <v>948080</v>
      </c>
      <c r="C424" t="s">
        <v>216</v>
      </c>
      <c r="E424" t="str">
        <f>"3491955517793"</f>
        <v>3491955517793</v>
      </c>
      <c r="H424" t="s">
        <v>17</v>
      </c>
      <c r="I424">
        <v>85081100</v>
      </c>
      <c r="J424">
        <v>1</v>
      </c>
      <c r="K424">
        <v>1</v>
      </c>
      <c r="L424">
        <v>1</v>
      </c>
      <c r="M424">
        <v>2.0329999999999999</v>
      </c>
      <c r="N424">
        <v>1.83</v>
      </c>
      <c r="O424">
        <v>15.551</v>
      </c>
      <c r="P424">
        <v>15.551</v>
      </c>
      <c r="Q424">
        <v>11.88</v>
      </c>
      <c r="R424">
        <v>11.88</v>
      </c>
    </row>
    <row r="425" spans="1:18" x14ac:dyDescent="0.25">
      <c r="A425">
        <v>18817120</v>
      </c>
      <c r="B425">
        <v>994409</v>
      </c>
      <c r="C425" t="s">
        <v>217</v>
      </c>
      <c r="E425" t="str">
        <f>"3523930099441"</f>
        <v>3523930099441</v>
      </c>
      <c r="H425" t="s">
        <v>17</v>
      </c>
      <c r="I425">
        <v>85167970</v>
      </c>
      <c r="J425">
        <v>1</v>
      </c>
      <c r="K425">
        <v>2</v>
      </c>
      <c r="L425">
        <v>2</v>
      </c>
      <c r="M425">
        <v>4</v>
      </c>
      <c r="N425">
        <v>3.6</v>
      </c>
      <c r="O425">
        <v>16.965</v>
      </c>
      <c r="P425">
        <v>33.93</v>
      </c>
      <c r="Q425">
        <v>14.9</v>
      </c>
      <c r="R425">
        <v>29.8</v>
      </c>
    </row>
    <row r="426" spans="1:18" x14ac:dyDescent="0.25">
      <c r="A426">
        <v>18817120</v>
      </c>
      <c r="B426">
        <v>904595</v>
      </c>
      <c r="C426" t="s">
        <v>218</v>
      </c>
      <c r="E426" t="str">
        <f>"3491955341190"</f>
        <v>3491955341190</v>
      </c>
      <c r="H426" t="s">
        <v>17</v>
      </c>
      <c r="I426">
        <v>95059000</v>
      </c>
      <c r="J426">
        <v>1</v>
      </c>
      <c r="K426">
        <v>1</v>
      </c>
      <c r="L426">
        <v>1</v>
      </c>
      <c r="M426">
        <v>2.2000000000000002</v>
      </c>
      <c r="N426">
        <v>1.98</v>
      </c>
      <c r="O426">
        <v>41.151000000000003</v>
      </c>
      <c r="P426">
        <v>41.151000000000003</v>
      </c>
      <c r="Q426">
        <v>29.55</v>
      </c>
      <c r="R426">
        <v>29.55</v>
      </c>
    </row>
    <row r="427" spans="1:18" x14ac:dyDescent="0.25">
      <c r="A427">
        <v>18817120</v>
      </c>
      <c r="B427">
        <v>950342</v>
      </c>
      <c r="C427" t="s">
        <v>219</v>
      </c>
      <c r="E427" t="str">
        <f>"3491955524579"</f>
        <v>3491955524579</v>
      </c>
      <c r="H427" t="s">
        <v>17</v>
      </c>
      <c r="I427">
        <v>39264000</v>
      </c>
      <c r="J427">
        <v>1</v>
      </c>
      <c r="K427">
        <v>1</v>
      </c>
      <c r="L427">
        <v>1</v>
      </c>
      <c r="M427">
        <v>1.9</v>
      </c>
      <c r="N427">
        <v>1.71</v>
      </c>
      <c r="O427">
        <v>34.32</v>
      </c>
      <c r="P427">
        <v>34.32</v>
      </c>
      <c r="Q427">
        <v>24.03</v>
      </c>
      <c r="R427">
        <v>24.03</v>
      </c>
    </row>
    <row r="428" spans="1:18" x14ac:dyDescent="0.25">
      <c r="A428">
        <v>18817120</v>
      </c>
      <c r="B428">
        <v>985295</v>
      </c>
      <c r="C428" t="s">
        <v>220</v>
      </c>
      <c r="E428" t="str">
        <f>"3491955930486"</f>
        <v>3491955930486</v>
      </c>
      <c r="F428" t="str">
        <f>"3491955525460"</f>
        <v>3491955525460</v>
      </c>
      <c r="H428" t="s">
        <v>17</v>
      </c>
      <c r="I428">
        <v>61032300</v>
      </c>
      <c r="J428">
        <v>3</v>
      </c>
      <c r="K428">
        <v>1</v>
      </c>
      <c r="L428">
        <v>3</v>
      </c>
      <c r="M428">
        <v>0.66900000000000004</v>
      </c>
      <c r="N428">
        <v>0.60199999999999998</v>
      </c>
      <c r="O428">
        <v>1.4</v>
      </c>
      <c r="P428">
        <v>4.2</v>
      </c>
      <c r="Q428">
        <v>2.57</v>
      </c>
      <c r="R428">
        <v>7.71</v>
      </c>
    </row>
    <row r="429" spans="1:18" x14ac:dyDescent="0.25">
      <c r="A429">
        <v>18817120</v>
      </c>
      <c r="B429">
        <v>653907</v>
      </c>
      <c r="C429" t="s">
        <v>221</v>
      </c>
      <c r="E429" t="str">
        <f>"3491955568429"</f>
        <v>3491955568429</v>
      </c>
      <c r="F429" t="str">
        <f>"3491953521679"</f>
        <v>3491953521679</v>
      </c>
      <c r="H429" t="s">
        <v>17</v>
      </c>
      <c r="I429">
        <v>61032300</v>
      </c>
      <c r="J429">
        <v>3</v>
      </c>
      <c r="K429">
        <v>1</v>
      </c>
      <c r="L429">
        <v>3</v>
      </c>
      <c r="M429">
        <v>1.5</v>
      </c>
      <c r="N429">
        <v>1.35</v>
      </c>
      <c r="O429">
        <v>2.89</v>
      </c>
      <c r="P429">
        <v>8.67</v>
      </c>
      <c r="Q429">
        <v>3.79</v>
      </c>
      <c r="R429">
        <v>11.37</v>
      </c>
    </row>
    <row r="430" spans="1:18" x14ac:dyDescent="0.25">
      <c r="A430">
        <v>18817120</v>
      </c>
      <c r="B430">
        <v>909028</v>
      </c>
      <c r="C430" t="s">
        <v>222</v>
      </c>
      <c r="E430" t="str">
        <f>"3491955312749"</f>
        <v>3491955312749</v>
      </c>
      <c r="H430" t="s">
        <v>17</v>
      </c>
      <c r="I430">
        <v>61042300</v>
      </c>
      <c r="J430">
        <v>3</v>
      </c>
      <c r="K430">
        <v>1</v>
      </c>
      <c r="L430">
        <v>3</v>
      </c>
      <c r="M430">
        <v>0.79800000000000004</v>
      </c>
      <c r="N430">
        <v>0.71799999999999997</v>
      </c>
      <c r="O430">
        <v>1.7849999999999999</v>
      </c>
      <c r="P430">
        <v>5.3550000000000004</v>
      </c>
      <c r="Q430">
        <v>4.8899999999999997</v>
      </c>
      <c r="R430">
        <v>14.67</v>
      </c>
    </row>
    <row r="431" spans="1:18" x14ac:dyDescent="0.25">
      <c r="A431">
        <v>18817120</v>
      </c>
      <c r="B431">
        <v>654110</v>
      </c>
      <c r="C431" t="s">
        <v>223</v>
      </c>
      <c r="E431" t="str">
        <f>"3491953886860"</f>
        <v>3491953886860</v>
      </c>
      <c r="H431" t="s">
        <v>17</v>
      </c>
      <c r="I431">
        <v>63039290</v>
      </c>
      <c r="J431">
        <v>6</v>
      </c>
      <c r="K431">
        <v>1</v>
      </c>
      <c r="L431">
        <v>6</v>
      </c>
      <c r="M431">
        <v>1.6140000000000001</v>
      </c>
      <c r="N431">
        <v>1.4530000000000001</v>
      </c>
      <c r="O431">
        <v>2.9209999999999998</v>
      </c>
      <c r="P431">
        <v>17.526</v>
      </c>
      <c r="Q431">
        <v>1.8</v>
      </c>
      <c r="R431">
        <v>10.8</v>
      </c>
    </row>
    <row r="432" spans="1:18" x14ac:dyDescent="0.25">
      <c r="A432">
        <v>18817120</v>
      </c>
      <c r="B432">
        <v>382641</v>
      </c>
      <c r="C432" t="s">
        <v>224</v>
      </c>
      <c r="E432" t="str">
        <f>"3491954912353"</f>
        <v>3491954912353</v>
      </c>
      <c r="F432" t="str">
        <f>"2090000688030"</f>
        <v>2090000688030</v>
      </c>
      <c r="H432" t="s">
        <v>17</v>
      </c>
      <c r="I432">
        <v>39249000</v>
      </c>
      <c r="J432">
        <v>12</v>
      </c>
      <c r="K432">
        <v>1</v>
      </c>
      <c r="L432">
        <v>12</v>
      </c>
      <c r="M432">
        <v>0.54</v>
      </c>
      <c r="N432">
        <v>0.48599999999999999</v>
      </c>
      <c r="O432">
        <v>0.73499999999999999</v>
      </c>
      <c r="P432">
        <v>8.82</v>
      </c>
      <c r="Q432">
        <v>0.93</v>
      </c>
      <c r="R432">
        <v>11.16</v>
      </c>
    </row>
    <row r="433" spans="1:18" x14ac:dyDescent="0.25">
      <c r="A433">
        <v>18817120</v>
      </c>
      <c r="B433">
        <v>708440</v>
      </c>
      <c r="C433" t="s">
        <v>225</v>
      </c>
      <c r="E433" t="str">
        <f>"3700866605568"</f>
        <v>3700866605568</v>
      </c>
      <c r="H433" t="s">
        <v>17</v>
      </c>
      <c r="I433">
        <v>39241000</v>
      </c>
      <c r="J433">
        <v>12</v>
      </c>
      <c r="K433">
        <v>1</v>
      </c>
      <c r="L433">
        <v>12</v>
      </c>
      <c r="M433">
        <v>2.34</v>
      </c>
      <c r="N433">
        <v>2.1059999999999999</v>
      </c>
      <c r="O433">
        <v>1.2549999999999999</v>
      </c>
      <c r="P433">
        <v>15.06</v>
      </c>
      <c r="Q433">
        <v>1.98</v>
      </c>
      <c r="R433">
        <v>23.76</v>
      </c>
    </row>
    <row r="434" spans="1:18" x14ac:dyDescent="0.25">
      <c r="A434">
        <v>18817120</v>
      </c>
      <c r="B434">
        <v>1023486</v>
      </c>
      <c r="C434" t="s">
        <v>226</v>
      </c>
      <c r="E434" t="str">
        <f>"5413128351193"</f>
        <v>5413128351193</v>
      </c>
      <c r="H434" t="s">
        <v>17</v>
      </c>
      <c r="I434">
        <v>17049065</v>
      </c>
      <c r="J434">
        <v>12</v>
      </c>
      <c r="K434">
        <v>1</v>
      </c>
      <c r="L434">
        <v>12</v>
      </c>
      <c r="M434">
        <v>3.3</v>
      </c>
      <c r="N434">
        <v>2.97</v>
      </c>
      <c r="O434">
        <v>2.7</v>
      </c>
      <c r="P434">
        <v>32.4</v>
      </c>
      <c r="Q434">
        <v>2.5499999999999998</v>
      </c>
      <c r="R434">
        <v>30.6</v>
      </c>
    </row>
    <row r="435" spans="1:18" x14ac:dyDescent="0.25">
      <c r="A435">
        <v>18817120</v>
      </c>
      <c r="B435">
        <v>923615</v>
      </c>
      <c r="C435" t="s">
        <v>227</v>
      </c>
      <c r="E435" t="str">
        <f>"778988394878"</f>
        <v>778988394878</v>
      </c>
      <c r="F435" t="str">
        <f>"778988416143"</f>
        <v>778988416143</v>
      </c>
      <c r="G435" t="str">
        <f>"778988297391"</f>
        <v>778988297391</v>
      </c>
      <c r="H435" t="s">
        <v>17</v>
      </c>
      <c r="I435">
        <v>95030070</v>
      </c>
      <c r="J435">
        <v>1</v>
      </c>
      <c r="K435">
        <v>4</v>
      </c>
      <c r="L435">
        <v>4</v>
      </c>
      <c r="M435">
        <v>0.42399999999999999</v>
      </c>
      <c r="N435">
        <v>0.38200000000000001</v>
      </c>
      <c r="O435">
        <v>0.98099999999999998</v>
      </c>
      <c r="P435">
        <v>3.9239999999999999</v>
      </c>
      <c r="Q435">
        <v>5.18</v>
      </c>
      <c r="R435">
        <v>20.72</v>
      </c>
    </row>
    <row r="436" spans="1:18" x14ac:dyDescent="0.25">
      <c r="A436">
        <v>18817120</v>
      </c>
      <c r="B436">
        <v>958857</v>
      </c>
      <c r="C436" t="s">
        <v>228</v>
      </c>
      <c r="E436">
        <v>35051584049</v>
      </c>
      <c r="F436">
        <v>35051579564</v>
      </c>
      <c r="G436">
        <v>35051576662</v>
      </c>
      <c r="H436" t="s">
        <v>17</v>
      </c>
      <c r="I436">
        <v>95030021</v>
      </c>
      <c r="J436">
        <v>4</v>
      </c>
      <c r="K436">
        <v>1</v>
      </c>
      <c r="L436">
        <v>4</v>
      </c>
      <c r="M436">
        <v>2</v>
      </c>
      <c r="N436">
        <v>1.8</v>
      </c>
      <c r="O436">
        <v>4.1040000000000001</v>
      </c>
      <c r="P436">
        <v>16.416</v>
      </c>
      <c r="Q436">
        <v>13.95</v>
      </c>
      <c r="R436">
        <v>55.8</v>
      </c>
    </row>
    <row r="437" spans="1:18" x14ac:dyDescent="0.25">
      <c r="A437">
        <v>18817120</v>
      </c>
      <c r="B437">
        <v>974943</v>
      </c>
      <c r="C437" t="s">
        <v>229</v>
      </c>
      <c r="E437" t="str">
        <f>"3491955816155"</f>
        <v>3491955816155</v>
      </c>
      <c r="H437" t="s">
        <v>17</v>
      </c>
      <c r="I437">
        <v>69120029</v>
      </c>
      <c r="J437">
        <v>4</v>
      </c>
      <c r="K437">
        <v>1</v>
      </c>
      <c r="L437">
        <v>4</v>
      </c>
      <c r="M437">
        <v>2.5</v>
      </c>
      <c r="N437">
        <v>2.25</v>
      </c>
      <c r="O437">
        <v>3.5430000000000001</v>
      </c>
      <c r="P437">
        <v>14.172000000000001</v>
      </c>
      <c r="Q437">
        <v>3.25</v>
      </c>
      <c r="R437">
        <v>13</v>
      </c>
    </row>
    <row r="438" spans="1:18" x14ac:dyDescent="0.25">
      <c r="A438">
        <v>18817120</v>
      </c>
      <c r="B438">
        <v>988741</v>
      </c>
      <c r="C438" t="s">
        <v>230</v>
      </c>
      <c r="E438" t="str">
        <f>"3491955968717"</f>
        <v>3491955968717</v>
      </c>
      <c r="H438" t="s">
        <v>17</v>
      </c>
      <c r="I438">
        <v>67021000</v>
      </c>
      <c r="J438">
        <v>6</v>
      </c>
      <c r="K438">
        <v>1</v>
      </c>
      <c r="L438">
        <v>6</v>
      </c>
      <c r="M438">
        <v>0.24</v>
      </c>
      <c r="N438">
        <v>0.216</v>
      </c>
      <c r="O438">
        <v>2.4889999999999999</v>
      </c>
      <c r="P438">
        <v>14.933999999999999</v>
      </c>
      <c r="Q438">
        <v>1.61</v>
      </c>
      <c r="R438">
        <v>9.66</v>
      </c>
    </row>
    <row r="439" spans="1:18" x14ac:dyDescent="0.25">
      <c r="A439">
        <v>18817120</v>
      </c>
      <c r="B439">
        <v>701335</v>
      </c>
      <c r="C439" t="s">
        <v>231</v>
      </c>
      <c r="E439" t="str">
        <f>"2000006810243"</f>
        <v>2000006810243</v>
      </c>
      <c r="H439" t="s">
        <v>17</v>
      </c>
      <c r="I439">
        <v>67029000</v>
      </c>
      <c r="J439">
        <v>4</v>
      </c>
      <c r="K439">
        <v>2</v>
      </c>
      <c r="L439">
        <v>8</v>
      </c>
      <c r="M439">
        <v>0.32800000000000001</v>
      </c>
      <c r="N439">
        <v>0.29499999999999998</v>
      </c>
      <c r="O439">
        <v>1.363</v>
      </c>
      <c r="P439">
        <v>10.904</v>
      </c>
      <c r="Q439">
        <v>0.42</v>
      </c>
      <c r="R439">
        <v>3.36</v>
      </c>
    </row>
    <row r="440" spans="1:18" x14ac:dyDescent="0.25">
      <c r="A440">
        <v>18826346</v>
      </c>
      <c r="B440">
        <v>907329</v>
      </c>
      <c r="C440" t="s">
        <v>232</v>
      </c>
      <c r="E440" t="str">
        <f>"5420023187826"</f>
        <v>5420023187826</v>
      </c>
      <c r="H440" t="s">
        <v>17</v>
      </c>
      <c r="I440">
        <v>95030010</v>
      </c>
      <c r="J440">
        <v>8</v>
      </c>
      <c r="K440">
        <v>1</v>
      </c>
      <c r="L440">
        <v>8</v>
      </c>
      <c r="M440">
        <v>7.4</v>
      </c>
      <c r="N440">
        <v>6.66</v>
      </c>
      <c r="O440">
        <v>14.663</v>
      </c>
      <c r="P440">
        <v>117.304</v>
      </c>
      <c r="Q440">
        <v>5.71</v>
      </c>
      <c r="R440">
        <v>45.68</v>
      </c>
    </row>
    <row r="441" spans="1:18" x14ac:dyDescent="0.25">
      <c r="A441">
        <v>18826346</v>
      </c>
      <c r="B441">
        <v>994918</v>
      </c>
      <c r="C441" t="s">
        <v>233</v>
      </c>
      <c r="E441" t="str">
        <f>"5050841682717"</f>
        <v>5050841682717</v>
      </c>
      <c r="H441" t="s">
        <v>17</v>
      </c>
      <c r="I441">
        <v>95030095</v>
      </c>
      <c r="J441">
        <v>1</v>
      </c>
      <c r="K441">
        <v>2</v>
      </c>
      <c r="L441">
        <v>2</v>
      </c>
      <c r="M441">
        <v>1.716</v>
      </c>
      <c r="N441">
        <v>1.544</v>
      </c>
      <c r="O441">
        <v>0.90600000000000003</v>
      </c>
      <c r="P441">
        <v>1.8120000000000001</v>
      </c>
      <c r="Q441">
        <v>8.32</v>
      </c>
      <c r="R441">
        <v>16.64</v>
      </c>
    </row>
    <row r="442" spans="1:18" x14ac:dyDescent="0.25">
      <c r="A442">
        <v>18826346</v>
      </c>
      <c r="B442">
        <v>952858</v>
      </c>
      <c r="C442" t="s">
        <v>234</v>
      </c>
      <c r="E442" t="str">
        <f>"3491955629960"</f>
        <v>3491955629960</v>
      </c>
      <c r="F442" t="str">
        <f>"3491955544034"</f>
        <v>3491955544034</v>
      </c>
      <c r="H442" t="s">
        <v>17</v>
      </c>
      <c r="I442">
        <v>95030030</v>
      </c>
      <c r="J442">
        <v>1</v>
      </c>
      <c r="K442">
        <v>3</v>
      </c>
      <c r="L442">
        <v>3</v>
      </c>
      <c r="M442">
        <v>21</v>
      </c>
      <c r="N442">
        <v>18.899999999999999</v>
      </c>
      <c r="O442">
        <v>35.712000000000003</v>
      </c>
      <c r="P442">
        <v>107.136</v>
      </c>
      <c r="Q442">
        <v>24.19</v>
      </c>
      <c r="R442">
        <v>72.569999999999993</v>
      </c>
    </row>
    <row r="443" spans="1:18" x14ac:dyDescent="0.25">
      <c r="A443">
        <v>18826346</v>
      </c>
      <c r="B443">
        <v>907330</v>
      </c>
      <c r="C443" t="s">
        <v>235</v>
      </c>
      <c r="E443" t="str">
        <f>"5420023187956"</f>
        <v>5420023187956</v>
      </c>
      <c r="H443" t="s">
        <v>17</v>
      </c>
      <c r="I443">
        <v>95030010</v>
      </c>
      <c r="J443">
        <v>6</v>
      </c>
      <c r="K443">
        <v>1</v>
      </c>
      <c r="L443">
        <v>6</v>
      </c>
      <c r="M443">
        <v>8.4960000000000004</v>
      </c>
      <c r="N443">
        <v>7.6459999999999999</v>
      </c>
      <c r="O443">
        <v>19.466000000000001</v>
      </c>
      <c r="P443">
        <v>116.79600000000001</v>
      </c>
      <c r="Q443">
        <v>3.76</v>
      </c>
      <c r="R443">
        <v>22.56</v>
      </c>
    </row>
    <row r="444" spans="1:18" x14ac:dyDescent="0.25">
      <c r="A444">
        <v>18826346</v>
      </c>
      <c r="B444">
        <v>992372</v>
      </c>
      <c r="C444" t="s">
        <v>236</v>
      </c>
      <c r="E444" t="str">
        <f>"778988418314"</f>
        <v>778988418314</v>
      </c>
      <c r="H444" t="s">
        <v>69</v>
      </c>
      <c r="I444">
        <v>95030095</v>
      </c>
      <c r="J444">
        <v>1</v>
      </c>
      <c r="K444">
        <v>4</v>
      </c>
      <c r="L444">
        <v>4</v>
      </c>
      <c r="M444">
        <v>2.2639999999999998</v>
      </c>
      <c r="N444">
        <v>2.0379999999999998</v>
      </c>
      <c r="O444">
        <v>6.63</v>
      </c>
      <c r="P444">
        <v>26.52</v>
      </c>
      <c r="Q444">
        <v>13.88</v>
      </c>
      <c r="R444">
        <v>55.52</v>
      </c>
    </row>
    <row r="445" spans="1:18" x14ac:dyDescent="0.25">
      <c r="A445">
        <v>18826346</v>
      </c>
      <c r="B445">
        <v>992380</v>
      </c>
      <c r="C445" t="s">
        <v>237</v>
      </c>
      <c r="E445" t="str">
        <f>"778988426074"</f>
        <v>778988426074</v>
      </c>
      <c r="H445" t="s">
        <v>69</v>
      </c>
      <c r="I445">
        <v>95030095</v>
      </c>
      <c r="J445">
        <v>1</v>
      </c>
      <c r="K445">
        <v>4</v>
      </c>
      <c r="L445">
        <v>4</v>
      </c>
      <c r="M445">
        <v>1</v>
      </c>
      <c r="N445">
        <v>0.9</v>
      </c>
      <c r="O445">
        <v>2.73</v>
      </c>
      <c r="P445">
        <v>10.92</v>
      </c>
      <c r="Q445">
        <v>8.2799999999999994</v>
      </c>
      <c r="R445">
        <v>33.119999999999997</v>
      </c>
    </row>
    <row r="446" spans="1:18" x14ac:dyDescent="0.25">
      <c r="A446">
        <v>18826346</v>
      </c>
      <c r="B446">
        <v>904788</v>
      </c>
      <c r="C446" t="s">
        <v>238</v>
      </c>
      <c r="E446" t="str">
        <f>"3491955531287"</f>
        <v>3491955531287</v>
      </c>
      <c r="F446" t="str">
        <f>"3491955957391"</f>
        <v>3491955957391</v>
      </c>
      <c r="H446" t="s">
        <v>17</v>
      </c>
      <c r="I446">
        <v>95030030</v>
      </c>
      <c r="J446">
        <v>1</v>
      </c>
      <c r="K446">
        <v>2</v>
      </c>
      <c r="L446">
        <v>2</v>
      </c>
      <c r="M446">
        <v>2.6</v>
      </c>
      <c r="N446">
        <v>2.34</v>
      </c>
      <c r="O446">
        <v>10.54</v>
      </c>
      <c r="P446">
        <v>21.08</v>
      </c>
      <c r="Q446">
        <v>14.1</v>
      </c>
      <c r="R446">
        <v>28.2</v>
      </c>
    </row>
    <row r="447" spans="1:18" x14ac:dyDescent="0.25">
      <c r="A447">
        <v>18826346</v>
      </c>
      <c r="B447">
        <v>907298</v>
      </c>
      <c r="C447" t="s">
        <v>239</v>
      </c>
      <c r="E447" t="str">
        <f>"5420023187642"</f>
        <v>5420023187642</v>
      </c>
      <c r="H447" t="s">
        <v>17</v>
      </c>
      <c r="I447">
        <v>95030075</v>
      </c>
      <c r="J447">
        <v>1</v>
      </c>
      <c r="K447">
        <v>2</v>
      </c>
      <c r="L447">
        <v>2</v>
      </c>
      <c r="M447">
        <v>4.3</v>
      </c>
      <c r="N447">
        <v>3.87</v>
      </c>
      <c r="O447">
        <v>38.408999999999999</v>
      </c>
      <c r="P447">
        <v>76.817999999999998</v>
      </c>
      <c r="Q447">
        <v>26.8</v>
      </c>
      <c r="R447">
        <v>53.6</v>
      </c>
    </row>
    <row r="448" spans="1:18" x14ac:dyDescent="0.25">
      <c r="A448">
        <v>18826346</v>
      </c>
      <c r="B448">
        <v>1002963</v>
      </c>
      <c r="C448" t="s">
        <v>240</v>
      </c>
      <c r="E448" t="str">
        <f>"2018205446125"</f>
        <v>2018205446125</v>
      </c>
      <c r="F448" t="str">
        <f>"5420023193605"</f>
        <v>5420023193605</v>
      </c>
      <c r="H448" t="s">
        <v>17</v>
      </c>
      <c r="I448">
        <v>95030095</v>
      </c>
      <c r="J448">
        <v>8</v>
      </c>
      <c r="K448">
        <v>1</v>
      </c>
      <c r="L448">
        <v>8</v>
      </c>
      <c r="M448">
        <v>1.8480000000000001</v>
      </c>
      <c r="N448">
        <v>1.663</v>
      </c>
      <c r="O448">
        <v>2.4390000000000001</v>
      </c>
      <c r="P448">
        <v>19.512</v>
      </c>
      <c r="Q448">
        <v>1.74</v>
      </c>
      <c r="R448">
        <v>13.92</v>
      </c>
    </row>
    <row r="449" spans="1:18" x14ac:dyDescent="0.25">
      <c r="A449">
        <v>18826346</v>
      </c>
      <c r="B449">
        <v>965227</v>
      </c>
      <c r="C449" t="s">
        <v>241</v>
      </c>
      <c r="E449" t="str">
        <f>"4891813881308"</f>
        <v>4891813881308</v>
      </c>
      <c r="F449" t="str">
        <f>"4891813880738"</f>
        <v>4891813880738</v>
      </c>
      <c r="G449" t="str">
        <f>"4891813881100"</f>
        <v>4891813881100</v>
      </c>
      <c r="H449" t="s">
        <v>17</v>
      </c>
      <c r="I449">
        <v>95030075</v>
      </c>
      <c r="J449">
        <v>8</v>
      </c>
      <c r="K449">
        <v>1</v>
      </c>
      <c r="L449">
        <v>8</v>
      </c>
      <c r="M449">
        <v>1.256</v>
      </c>
      <c r="N449">
        <v>1.1299999999999999</v>
      </c>
      <c r="O449">
        <v>1.2250000000000001</v>
      </c>
      <c r="P449">
        <v>9.8000000000000007</v>
      </c>
      <c r="Q449">
        <v>5.08</v>
      </c>
      <c r="R449">
        <v>40.64</v>
      </c>
    </row>
    <row r="450" spans="1:18" x14ac:dyDescent="0.25">
      <c r="A450">
        <v>18826346</v>
      </c>
      <c r="B450">
        <v>757125</v>
      </c>
      <c r="C450" t="s">
        <v>242</v>
      </c>
      <c r="E450" t="str">
        <f>"5420023188243"</f>
        <v>5420023188243</v>
      </c>
      <c r="F450" t="str">
        <f>"2000006849038"</f>
        <v>2000006849038</v>
      </c>
      <c r="H450" t="s">
        <v>17</v>
      </c>
      <c r="I450">
        <v>95030010</v>
      </c>
      <c r="J450">
        <v>6</v>
      </c>
      <c r="K450">
        <v>1</v>
      </c>
      <c r="L450">
        <v>6</v>
      </c>
      <c r="M450">
        <v>0.69599999999999995</v>
      </c>
      <c r="N450">
        <v>0.626</v>
      </c>
      <c r="O450">
        <v>1.86</v>
      </c>
      <c r="P450">
        <v>11.16</v>
      </c>
      <c r="Q450">
        <v>2.58</v>
      </c>
      <c r="R450">
        <v>15.48</v>
      </c>
    </row>
    <row r="451" spans="1:18" x14ac:dyDescent="0.25">
      <c r="A451">
        <v>18826346</v>
      </c>
      <c r="B451">
        <v>992382</v>
      </c>
      <c r="C451" t="s">
        <v>243</v>
      </c>
      <c r="E451" t="str">
        <f>"778988424803"</f>
        <v>778988424803</v>
      </c>
      <c r="F451" t="str">
        <f>"778988345863"</f>
        <v>778988345863</v>
      </c>
      <c r="H451" t="s">
        <v>17</v>
      </c>
      <c r="I451">
        <v>42022100</v>
      </c>
      <c r="J451">
        <v>6</v>
      </c>
      <c r="K451">
        <v>1</v>
      </c>
      <c r="L451">
        <v>6</v>
      </c>
      <c r="M451">
        <v>2.04</v>
      </c>
      <c r="N451">
        <v>1.8360000000000001</v>
      </c>
      <c r="O451">
        <v>0.77400000000000002</v>
      </c>
      <c r="P451">
        <v>4.6440000000000001</v>
      </c>
      <c r="Q451">
        <v>7.76</v>
      </c>
      <c r="R451">
        <v>46.56</v>
      </c>
    </row>
    <row r="452" spans="1:18" x14ac:dyDescent="0.25">
      <c r="A452">
        <v>18826346</v>
      </c>
      <c r="B452">
        <v>962853</v>
      </c>
      <c r="C452" t="s">
        <v>244</v>
      </c>
      <c r="E452" t="str">
        <f>"778988375402"</f>
        <v>778988375402</v>
      </c>
      <c r="H452" t="s">
        <v>69</v>
      </c>
      <c r="I452">
        <v>42022100</v>
      </c>
      <c r="J452">
        <v>4</v>
      </c>
      <c r="K452">
        <v>1</v>
      </c>
      <c r="L452">
        <v>4</v>
      </c>
      <c r="M452">
        <v>1.8</v>
      </c>
      <c r="N452">
        <v>1.62</v>
      </c>
      <c r="O452">
        <v>3.8719999999999999</v>
      </c>
      <c r="P452">
        <v>15.488</v>
      </c>
      <c r="Q452">
        <v>15.98</v>
      </c>
      <c r="R452">
        <v>63.92</v>
      </c>
    </row>
    <row r="453" spans="1:18" x14ac:dyDescent="0.25">
      <c r="A453">
        <v>18826346</v>
      </c>
      <c r="B453">
        <v>992365</v>
      </c>
      <c r="C453" t="s">
        <v>245</v>
      </c>
      <c r="E453" t="str">
        <f>"778988380314"</f>
        <v>778988380314</v>
      </c>
      <c r="H453" t="s">
        <v>69</v>
      </c>
      <c r="I453">
        <v>42022100</v>
      </c>
      <c r="J453">
        <v>4</v>
      </c>
      <c r="K453">
        <v>1</v>
      </c>
      <c r="L453">
        <v>4</v>
      </c>
      <c r="M453">
        <v>1.8</v>
      </c>
      <c r="N453">
        <v>1.62</v>
      </c>
      <c r="O453">
        <v>3.8719999999999999</v>
      </c>
      <c r="P453">
        <v>15.488</v>
      </c>
      <c r="Q453">
        <v>15.98</v>
      </c>
      <c r="R453">
        <v>63.92</v>
      </c>
    </row>
    <row r="454" spans="1:18" x14ac:dyDescent="0.25">
      <c r="A454">
        <v>18826346</v>
      </c>
      <c r="B454">
        <v>992381</v>
      </c>
      <c r="C454" t="s">
        <v>246</v>
      </c>
      <c r="E454" t="str">
        <f>"778988380307"</f>
        <v>778988380307</v>
      </c>
      <c r="H454" t="s">
        <v>69</v>
      </c>
      <c r="I454">
        <v>42022100</v>
      </c>
      <c r="J454">
        <v>4</v>
      </c>
      <c r="K454">
        <v>1</v>
      </c>
      <c r="L454">
        <v>4</v>
      </c>
      <c r="M454">
        <v>1.8</v>
      </c>
      <c r="N454">
        <v>1.62</v>
      </c>
      <c r="O454">
        <v>3.8719999999999999</v>
      </c>
      <c r="P454">
        <v>15.488</v>
      </c>
      <c r="Q454">
        <v>15.98</v>
      </c>
      <c r="R454">
        <v>63.92</v>
      </c>
    </row>
    <row r="455" spans="1:18" x14ac:dyDescent="0.25">
      <c r="A455">
        <v>18826346</v>
      </c>
      <c r="B455">
        <v>1007228</v>
      </c>
      <c r="C455" t="s">
        <v>247</v>
      </c>
      <c r="E455" t="str">
        <f>"820650555312"</f>
        <v>820650555312</v>
      </c>
      <c r="H455" t="s">
        <v>45</v>
      </c>
      <c r="I455">
        <v>95044000</v>
      </c>
      <c r="J455">
        <v>6</v>
      </c>
      <c r="K455">
        <v>2</v>
      </c>
      <c r="L455">
        <v>12</v>
      </c>
      <c r="M455">
        <v>1.992</v>
      </c>
      <c r="N455">
        <v>1.7929999999999999</v>
      </c>
      <c r="O455">
        <v>3.5840000000000001</v>
      </c>
      <c r="P455">
        <v>43.008000000000003</v>
      </c>
      <c r="Q455">
        <v>13.06</v>
      </c>
      <c r="R455">
        <v>156.72</v>
      </c>
    </row>
    <row r="456" spans="1:18" x14ac:dyDescent="0.25">
      <c r="A456">
        <v>18826346</v>
      </c>
      <c r="B456">
        <v>759346</v>
      </c>
      <c r="C456" t="s">
        <v>248</v>
      </c>
      <c r="E456" t="str">
        <f>"3491953973492"</f>
        <v>3491953973492</v>
      </c>
      <c r="F456" t="str">
        <f>"8710675063027"</f>
        <v>8710675063027</v>
      </c>
      <c r="G456" t="str">
        <f>"8710675212395"</f>
        <v>8710675212395</v>
      </c>
      <c r="H456" t="s">
        <v>17</v>
      </c>
      <c r="I456">
        <v>48119000</v>
      </c>
      <c r="J456">
        <v>60</v>
      </c>
      <c r="K456">
        <v>1</v>
      </c>
      <c r="L456">
        <v>60</v>
      </c>
      <c r="M456">
        <v>6.24</v>
      </c>
      <c r="N456">
        <v>5.6159999999999997</v>
      </c>
      <c r="O456">
        <v>0.79200000000000004</v>
      </c>
      <c r="P456">
        <v>47.52</v>
      </c>
      <c r="Q456">
        <v>0.23</v>
      </c>
      <c r="R456">
        <v>13.8</v>
      </c>
    </row>
    <row r="457" spans="1:18" x14ac:dyDescent="0.25">
      <c r="A457">
        <v>18834498</v>
      </c>
      <c r="B457">
        <v>907272</v>
      </c>
      <c r="C457" t="s">
        <v>249</v>
      </c>
      <c r="E457" t="str">
        <f>"5420023168207"</f>
        <v>5420023168207</v>
      </c>
      <c r="H457" t="s">
        <v>17</v>
      </c>
      <c r="I457">
        <v>95030070</v>
      </c>
      <c r="J457">
        <v>1</v>
      </c>
      <c r="K457">
        <v>4</v>
      </c>
      <c r="L457">
        <v>4</v>
      </c>
      <c r="M457">
        <v>3.3319999999999999</v>
      </c>
      <c r="N457">
        <v>2.9990000000000001</v>
      </c>
      <c r="O457">
        <v>11.292999999999999</v>
      </c>
      <c r="P457">
        <v>45.171999999999997</v>
      </c>
      <c r="Q457">
        <v>7.41</v>
      </c>
      <c r="R457">
        <v>29.64</v>
      </c>
    </row>
    <row r="458" spans="1:18" x14ac:dyDescent="0.25">
      <c r="A458">
        <v>18834498</v>
      </c>
      <c r="B458">
        <v>991740</v>
      </c>
      <c r="C458" t="s">
        <v>250</v>
      </c>
      <c r="E458" t="str">
        <f>"3491955954888"</f>
        <v>3491955954888</v>
      </c>
      <c r="H458" t="s">
        <v>17</v>
      </c>
      <c r="I458">
        <v>95030099</v>
      </c>
      <c r="J458">
        <v>1</v>
      </c>
      <c r="K458">
        <v>2</v>
      </c>
      <c r="L458">
        <v>2</v>
      </c>
      <c r="M458">
        <v>2.1</v>
      </c>
      <c r="N458">
        <v>1.89</v>
      </c>
      <c r="O458">
        <v>0.41699999999999998</v>
      </c>
      <c r="P458">
        <v>0.83399999999999996</v>
      </c>
      <c r="Q458">
        <v>5.38</v>
      </c>
      <c r="R458">
        <v>10.76</v>
      </c>
    </row>
    <row r="459" spans="1:18" x14ac:dyDescent="0.25">
      <c r="A459">
        <v>18834498</v>
      </c>
      <c r="B459">
        <v>1007939</v>
      </c>
      <c r="C459" t="s">
        <v>251</v>
      </c>
      <c r="E459" t="str">
        <f>"8411865025442"</f>
        <v>8411865025442</v>
      </c>
      <c r="H459" t="s">
        <v>17</v>
      </c>
      <c r="I459">
        <v>95030055</v>
      </c>
      <c r="J459">
        <v>1</v>
      </c>
      <c r="K459">
        <v>3</v>
      </c>
      <c r="L459">
        <v>3</v>
      </c>
      <c r="M459">
        <v>1.8</v>
      </c>
      <c r="N459">
        <v>1.62</v>
      </c>
      <c r="O459">
        <v>7.7279999999999998</v>
      </c>
      <c r="P459">
        <v>23.184000000000001</v>
      </c>
      <c r="Q459">
        <v>6.09</v>
      </c>
      <c r="R459">
        <v>18.27</v>
      </c>
    </row>
    <row r="460" spans="1:18" x14ac:dyDescent="0.25">
      <c r="A460">
        <v>18834498</v>
      </c>
      <c r="B460">
        <v>952880</v>
      </c>
      <c r="C460" t="s">
        <v>252</v>
      </c>
      <c r="E460" t="str">
        <f>"3491955643447"</f>
        <v>3491955643447</v>
      </c>
      <c r="H460" t="s">
        <v>17</v>
      </c>
      <c r="I460">
        <v>95030095</v>
      </c>
      <c r="J460">
        <v>6</v>
      </c>
      <c r="K460">
        <v>2</v>
      </c>
      <c r="L460">
        <v>12</v>
      </c>
      <c r="M460">
        <v>11.4</v>
      </c>
      <c r="N460">
        <v>10.26</v>
      </c>
      <c r="O460">
        <v>7.48</v>
      </c>
      <c r="P460">
        <v>89.76</v>
      </c>
      <c r="Q460">
        <v>4.6100000000000003</v>
      </c>
      <c r="R460">
        <v>55.32</v>
      </c>
    </row>
    <row r="461" spans="1:18" x14ac:dyDescent="0.25">
      <c r="A461">
        <v>18834498</v>
      </c>
      <c r="B461">
        <v>994369</v>
      </c>
      <c r="C461" t="s">
        <v>253</v>
      </c>
      <c r="E461" t="str">
        <f>"4891813810124"</f>
        <v>4891813810124</v>
      </c>
      <c r="H461" t="s">
        <v>17</v>
      </c>
      <c r="I461">
        <v>95030075</v>
      </c>
      <c r="J461">
        <v>1</v>
      </c>
      <c r="K461">
        <v>2</v>
      </c>
      <c r="L461">
        <v>2</v>
      </c>
      <c r="M461">
        <v>2.2919999999999998</v>
      </c>
      <c r="N461">
        <v>2.0630000000000002</v>
      </c>
      <c r="O461">
        <v>17.100000000000001</v>
      </c>
      <c r="P461">
        <v>34.200000000000003</v>
      </c>
      <c r="Q461">
        <v>20.25</v>
      </c>
      <c r="R461">
        <v>40.5</v>
      </c>
    </row>
    <row r="462" spans="1:18" x14ac:dyDescent="0.25">
      <c r="A462">
        <v>18834498</v>
      </c>
      <c r="B462">
        <v>907292</v>
      </c>
      <c r="C462" t="s">
        <v>254</v>
      </c>
      <c r="E462" t="str">
        <f>"5420023188090"</f>
        <v>5420023188090</v>
      </c>
      <c r="H462" t="s">
        <v>17</v>
      </c>
      <c r="I462">
        <v>95030069</v>
      </c>
      <c r="J462">
        <v>6</v>
      </c>
      <c r="K462">
        <v>1</v>
      </c>
      <c r="L462">
        <v>6</v>
      </c>
      <c r="M462">
        <v>12</v>
      </c>
      <c r="N462">
        <v>10.8</v>
      </c>
      <c r="O462">
        <v>14.933</v>
      </c>
      <c r="P462">
        <v>89.597999999999999</v>
      </c>
      <c r="Q462">
        <v>4.76</v>
      </c>
      <c r="R462">
        <v>28.56</v>
      </c>
    </row>
    <row r="463" spans="1:18" x14ac:dyDescent="0.25">
      <c r="A463">
        <v>18834498</v>
      </c>
      <c r="B463">
        <v>907285</v>
      </c>
      <c r="C463" t="s">
        <v>255</v>
      </c>
      <c r="E463" t="str">
        <f>"5420023187253"</f>
        <v>5420023187253</v>
      </c>
      <c r="H463" t="s">
        <v>17</v>
      </c>
      <c r="I463">
        <v>95030055</v>
      </c>
      <c r="J463">
        <v>1</v>
      </c>
      <c r="K463">
        <v>2</v>
      </c>
      <c r="L463">
        <v>2</v>
      </c>
      <c r="M463">
        <v>1.244</v>
      </c>
      <c r="N463">
        <v>1.1200000000000001</v>
      </c>
      <c r="O463">
        <v>7.492</v>
      </c>
      <c r="P463">
        <v>14.984</v>
      </c>
      <c r="Q463">
        <v>5.0199999999999996</v>
      </c>
      <c r="R463">
        <v>10.039999999999999</v>
      </c>
    </row>
    <row r="464" spans="1:18" x14ac:dyDescent="0.25">
      <c r="A464">
        <v>18834498</v>
      </c>
      <c r="B464">
        <v>991742</v>
      </c>
      <c r="C464" t="s">
        <v>256</v>
      </c>
      <c r="E464" t="str">
        <f>"341955947744"</f>
        <v>341955947744</v>
      </c>
      <c r="F464" t="str">
        <f>"3491955947743"</f>
        <v>3491955947743</v>
      </c>
      <c r="H464" t="s">
        <v>17</v>
      </c>
      <c r="I464">
        <v>95030069</v>
      </c>
      <c r="J464">
        <v>1</v>
      </c>
      <c r="K464">
        <v>2</v>
      </c>
      <c r="L464">
        <v>2</v>
      </c>
      <c r="M464">
        <v>1.6</v>
      </c>
      <c r="N464">
        <v>1.44</v>
      </c>
      <c r="O464">
        <v>2.403</v>
      </c>
      <c r="P464">
        <v>4.806</v>
      </c>
      <c r="Q464">
        <v>4.8499999999999996</v>
      </c>
      <c r="R464">
        <v>9.6999999999999993</v>
      </c>
    </row>
    <row r="465" spans="1:18" x14ac:dyDescent="0.25">
      <c r="A465">
        <v>18834498</v>
      </c>
      <c r="B465">
        <v>907286</v>
      </c>
      <c r="C465" t="s">
        <v>257</v>
      </c>
      <c r="E465" t="str">
        <f>"5420023187376"</f>
        <v>5420023187376</v>
      </c>
      <c r="F465" t="str">
        <f>"5420023190772"</f>
        <v>5420023190772</v>
      </c>
      <c r="H465" t="s">
        <v>17</v>
      </c>
      <c r="I465">
        <v>95030075</v>
      </c>
      <c r="J465">
        <v>1</v>
      </c>
      <c r="K465">
        <v>3</v>
      </c>
      <c r="L465">
        <v>3</v>
      </c>
      <c r="M465">
        <v>2.5499999999999998</v>
      </c>
      <c r="N465">
        <v>2.2949999999999999</v>
      </c>
      <c r="O465">
        <v>10.125999999999999</v>
      </c>
      <c r="P465">
        <v>30.378</v>
      </c>
      <c r="Q465">
        <v>11.15</v>
      </c>
      <c r="R465">
        <v>33.450000000000003</v>
      </c>
    </row>
    <row r="466" spans="1:18" x14ac:dyDescent="0.25">
      <c r="A466">
        <v>18834498</v>
      </c>
      <c r="B466">
        <v>982522</v>
      </c>
      <c r="C466" t="s">
        <v>258</v>
      </c>
      <c r="E466" t="str">
        <f>"887961612042"</f>
        <v>887961612042</v>
      </c>
      <c r="H466" t="s">
        <v>17</v>
      </c>
      <c r="I466">
        <v>95030095</v>
      </c>
      <c r="J466">
        <v>2</v>
      </c>
      <c r="K466">
        <v>1</v>
      </c>
      <c r="L466">
        <v>2</v>
      </c>
      <c r="M466">
        <v>1.5</v>
      </c>
      <c r="N466">
        <v>1.35</v>
      </c>
      <c r="O466">
        <v>15.282999999999999</v>
      </c>
      <c r="P466">
        <v>30.565999999999999</v>
      </c>
      <c r="Q466">
        <v>16.329999999999998</v>
      </c>
      <c r="R466">
        <v>32.659999999999997</v>
      </c>
    </row>
    <row r="467" spans="1:18" x14ac:dyDescent="0.25">
      <c r="A467">
        <v>18834498</v>
      </c>
      <c r="B467">
        <v>991741</v>
      </c>
      <c r="C467" t="s">
        <v>259</v>
      </c>
      <c r="E467" t="str">
        <f>"3491955658076"</f>
        <v>3491955658076</v>
      </c>
      <c r="H467" t="s">
        <v>17</v>
      </c>
      <c r="I467">
        <v>95030095</v>
      </c>
      <c r="J467">
        <v>1</v>
      </c>
      <c r="K467">
        <v>2</v>
      </c>
      <c r="L467">
        <v>2</v>
      </c>
      <c r="M467">
        <v>1.1539999999999999</v>
      </c>
      <c r="N467">
        <v>1.0389999999999999</v>
      </c>
      <c r="O467">
        <v>3.9</v>
      </c>
      <c r="P467">
        <v>7.8</v>
      </c>
      <c r="Q467">
        <v>5.37</v>
      </c>
      <c r="R467">
        <v>10.74</v>
      </c>
    </row>
    <row r="468" spans="1:18" x14ac:dyDescent="0.25">
      <c r="A468">
        <v>18834498</v>
      </c>
      <c r="B468">
        <v>909861</v>
      </c>
      <c r="C468" t="s">
        <v>260</v>
      </c>
      <c r="E468" t="str">
        <f>"8711808310308"</f>
        <v>8711808310308</v>
      </c>
      <c r="H468" t="s">
        <v>17</v>
      </c>
      <c r="I468">
        <v>95030095</v>
      </c>
      <c r="J468">
        <v>1</v>
      </c>
      <c r="K468">
        <v>2</v>
      </c>
      <c r="L468">
        <v>2</v>
      </c>
      <c r="M468">
        <v>1.4</v>
      </c>
      <c r="N468">
        <v>1.26</v>
      </c>
      <c r="O468">
        <v>9.6</v>
      </c>
      <c r="P468">
        <v>19.2</v>
      </c>
      <c r="Q468">
        <v>12.58</v>
      </c>
      <c r="R468">
        <v>25.16</v>
      </c>
    </row>
    <row r="469" spans="1:18" x14ac:dyDescent="0.25">
      <c r="A469">
        <v>18834498</v>
      </c>
      <c r="B469">
        <v>956079</v>
      </c>
      <c r="C469" t="s">
        <v>261</v>
      </c>
      <c r="E469" t="str">
        <f>"8411865055401"</f>
        <v>8411865055401</v>
      </c>
      <c r="F469" t="str">
        <f>"3491954955558"</f>
        <v>3491954955558</v>
      </c>
      <c r="H469" t="s">
        <v>17</v>
      </c>
      <c r="I469">
        <v>95030055</v>
      </c>
      <c r="J469">
        <v>1</v>
      </c>
      <c r="K469">
        <v>2</v>
      </c>
      <c r="L469">
        <v>2</v>
      </c>
      <c r="M469">
        <v>1.44</v>
      </c>
      <c r="N469">
        <v>1.296</v>
      </c>
      <c r="O469">
        <v>9.7200000000000006</v>
      </c>
      <c r="P469">
        <v>19.440000000000001</v>
      </c>
      <c r="Q469">
        <v>7.61</v>
      </c>
      <c r="R469">
        <v>15.22</v>
      </c>
    </row>
    <row r="470" spans="1:18" x14ac:dyDescent="0.25">
      <c r="A470">
        <v>18834498</v>
      </c>
      <c r="B470">
        <v>907265</v>
      </c>
      <c r="C470" t="s">
        <v>262</v>
      </c>
      <c r="E470" t="str">
        <f>"5420023187918"</f>
        <v>5420023187918</v>
      </c>
      <c r="H470" t="s">
        <v>17</v>
      </c>
      <c r="I470">
        <v>95030070</v>
      </c>
      <c r="J470">
        <v>1</v>
      </c>
      <c r="K470">
        <v>2</v>
      </c>
      <c r="L470">
        <v>2</v>
      </c>
      <c r="M470">
        <v>1.222</v>
      </c>
      <c r="N470">
        <v>1.1000000000000001</v>
      </c>
      <c r="O470">
        <v>5.7350000000000003</v>
      </c>
      <c r="P470">
        <v>11.47</v>
      </c>
      <c r="Q470">
        <v>4.51</v>
      </c>
      <c r="R470">
        <v>9.02</v>
      </c>
    </row>
    <row r="471" spans="1:18" x14ac:dyDescent="0.25">
      <c r="A471">
        <v>18834498</v>
      </c>
      <c r="B471">
        <v>991751</v>
      </c>
      <c r="C471" t="s">
        <v>263</v>
      </c>
      <c r="E471" t="str">
        <f>"3491955953812"</f>
        <v>3491955953812</v>
      </c>
      <c r="F471" t="str">
        <f>"3491955952815"</f>
        <v>3491955952815</v>
      </c>
      <c r="H471" t="s">
        <v>17</v>
      </c>
      <c r="I471">
        <v>95030069</v>
      </c>
      <c r="J471">
        <v>1</v>
      </c>
      <c r="K471">
        <v>2</v>
      </c>
      <c r="L471">
        <v>2</v>
      </c>
      <c r="M471">
        <v>0.64400000000000002</v>
      </c>
      <c r="N471">
        <v>0.57999999999999996</v>
      </c>
      <c r="O471">
        <v>0.85</v>
      </c>
      <c r="P471">
        <v>1.7</v>
      </c>
      <c r="Q471">
        <v>3.07</v>
      </c>
      <c r="R471">
        <v>6.14</v>
      </c>
    </row>
    <row r="472" spans="1:18" x14ac:dyDescent="0.25">
      <c r="A472">
        <v>18834498</v>
      </c>
      <c r="B472">
        <v>976055</v>
      </c>
      <c r="C472" t="s">
        <v>264</v>
      </c>
      <c r="E472" t="str">
        <f>"5420023187161"</f>
        <v>5420023187161</v>
      </c>
      <c r="H472" t="s">
        <v>17</v>
      </c>
      <c r="I472">
        <v>95030010</v>
      </c>
      <c r="J472">
        <v>1</v>
      </c>
      <c r="K472">
        <v>2</v>
      </c>
      <c r="L472">
        <v>2</v>
      </c>
      <c r="M472">
        <v>1.32</v>
      </c>
      <c r="N472">
        <v>1.1879999999999999</v>
      </c>
      <c r="O472">
        <v>11.506</v>
      </c>
      <c r="P472">
        <v>23.012</v>
      </c>
      <c r="Q472">
        <v>9.83</v>
      </c>
      <c r="R472">
        <v>19.66</v>
      </c>
    </row>
    <row r="473" spans="1:18" x14ac:dyDescent="0.25">
      <c r="A473">
        <v>18834498</v>
      </c>
      <c r="B473">
        <v>392025</v>
      </c>
      <c r="C473" t="s">
        <v>265</v>
      </c>
      <c r="E473" t="str">
        <f>"5420023188175"</f>
        <v>5420023188175</v>
      </c>
      <c r="F473" t="str">
        <f>"6918110300115"</f>
        <v>6918110300115</v>
      </c>
      <c r="G473" t="str">
        <f>"2090001145846"</f>
        <v>2090001145846</v>
      </c>
      <c r="H473" t="s">
        <v>17</v>
      </c>
      <c r="I473">
        <v>95030095</v>
      </c>
      <c r="J473">
        <v>6</v>
      </c>
      <c r="K473">
        <v>1</v>
      </c>
      <c r="L473">
        <v>6</v>
      </c>
      <c r="M473">
        <v>3</v>
      </c>
      <c r="N473">
        <v>2.7</v>
      </c>
      <c r="O473">
        <v>7.093</v>
      </c>
      <c r="P473">
        <v>42.558</v>
      </c>
      <c r="Q473">
        <v>4.1900000000000004</v>
      </c>
      <c r="R473">
        <v>25.14</v>
      </c>
    </row>
    <row r="474" spans="1:18" x14ac:dyDescent="0.25">
      <c r="A474">
        <v>18834498</v>
      </c>
      <c r="B474">
        <v>1007952</v>
      </c>
      <c r="C474" t="s">
        <v>266</v>
      </c>
      <c r="E474" t="str">
        <f>"8411865026920"</f>
        <v>8411865026920</v>
      </c>
      <c r="H474" t="s">
        <v>17</v>
      </c>
      <c r="I474">
        <v>95030055</v>
      </c>
      <c r="J474">
        <v>1</v>
      </c>
      <c r="K474">
        <v>2</v>
      </c>
      <c r="L474">
        <v>2</v>
      </c>
      <c r="M474">
        <v>2</v>
      </c>
      <c r="N474">
        <v>1.8</v>
      </c>
      <c r="O474">
        <v>8.0640000000000001</v>
      </c>
      <c r="P474">
        <v>16.128</v>
      </c>
      <c r="Q474">
        <v>6.09</v>
      </c>
      <c r="R474">
        <v>12.18</v>
      </c>
    </row>
    <row r="475" spans="1:18" x14ac:dyDescent="0.25">
      <c r="A475">
        <v>18834498</v>
      </c>
      <c r="B475">
        <v>991735</v>
      </c>
      <c r="C475" t="s">
        <v>267</v>
      </c>
      <c r="E475" t="str">
        <f>"3491955954406"</f>
        <v>3491955954406</v>
      </c>
      <c r="H475" t="s">
        <v>17</v>
      </c>
      <c r="I475">
        <v>95030099</v>
      </c>
      <c r="J475">
        <v>1</v>
      </c>
      <c r="K475">
        <v>2</v>
      </c>
      <c r="L475">
        <v>2</v>
      </c>
      <c r="M475">
        <v>0.96599999999999997</v>
      </c>
      <c r="N475">
        <v>0.86899999999999999</v>
      </c>
      <c r="O475">
        <v>2.6059999999999999</v>
      </c>
      <c r="P475">
        <v>5.2119999999999997</v>
      </c>
      <c r="Q475">
        <v>6.11</v>
      </c>
      <c r="R475">
        <v>12.22</v>
      </c>
    </row>
    <row r="476" spans="1:18" x14ac:dyDescent="0.25">
      <c r="A476">
        <v>18834498</v>
      </c>
      <c r="B476">
        <v>952873</v>
      </c>
      <c r="C476" t="s">
        <v>268</v>
      </c>
      <c r="E476" t="str">
        <f>"3491955635411"</f>
        <v>3491955635411</v>
      </c>
      <c r="H476" t="s">
        <v>17</v>
      </c>
      <c r="I476">
        <v>96100000</v>
      </c>
      <c r="J476">
        <v>6</v>
      </c>
      <c r="K476">
        <v>1</v>
      </c>
      <c r="L476">
        <v>6</v>
      </c>
      <c r="M476">
        <v>18.995999999999999</v>
      </c>
      <c r="N476">
        <v>17.096</v>
      </c>
      <c r="O476">
        <v>23.74</v>
      </c>
      <c r="P476">
        <v>142.44</v>
      </c>
      <c r="Q476">
        <v>20.59</v>
      </c>
      <c r="R476">
        <v>123.54</v>
      </c>
    </row>
    <row r="477" spans="1:18" x14ac:dyDescent="0.25">
      <c r="A477">
        <v>18834498</v>
      </c>
      <c r="B477">
        <v>1005564</v>
      </c>
      <c r="C477" t="s">
        <v>269</v>
      </c>
      <c r="E477" t="str">
        <f>"8410446311172"</f>
        <v>8410446311172</v>
      </c>
      <c r="H477" t="s">
        <v>17</v>
      </c>
      <c r="I477">
        <v>95049080</v>
      </c>
      <c r="J477">
        <v>1</v>
      </c>
      <c r="K477">
        <v>2</v>
      </c>
      <c r="L477">
        <v>2</v>
      </c>
      <c r="M477">
        <v>1.6659999999999999</v>
      </c>
      <c r="N477">
        <v>1.4990000000000001</v>
      </c>
      <c r="O477">
        <v>3.5</v>
      </c>
      <c r="P477">
        <v>7</v>
      </c>
      <c r="Q477">
        <v>14.72</v>
      </c>
      <c r="R477">
        <v>29.44</v>
      </c>
    </row>
    <row r="478" spans="1:18" x14ac:dyDescent="0.25">
      <c r="A478">
        <v>18834498</v>
      </c>
      <c r="B478">
        <v>991750</v>
      </c>
      <c r="C478" t="s">
        <v>270</v>
      </c>
      <c r="E478" t="str">
        <f>"3491955954192"</f>
        <v>3491955954192</v>
      </c>
      <c r="H478" t="s">
        <v>17</v>
      </c>
      <c r="I478">
        <v>95030099</v>
      </c>
      <c r="J478">
        <v>1</v>
      </c>
      <c r="K478">
        <v>2</v>
      </c>
      <c r="L478">
        <v>2</v>
      </c>
      <c r="M478">
        <v>1.3</v>
      </c>
      <c r="N478">
        <v>1.17</v>
      </c>
      <c r="O478">
        <v>4.0949999999999998</v>
      </c>
      <c r="P478">
        <v>8.19</v>
      </c>
      <c r="Q478">
        <v>5.53</v>
      </c>
      <c r="R478">
        <v>11.06</v>
      </c>
    </row>
    <row r="479" spans="1:18" x14ac:dyDescent="0.25">
      <c r="A479">
        <v>18834498</v>
      </c>
      <c r="B479">
        <v>907323</v>
      </c>
      <c r="C479" t="s">
        <v>271</v>
      </c>
      <c r="E479" t="str">
        <f>"5420023187802"</f>
        <v>5420023187802</v>
      </c>
      <c r="H479" t="s">
        <v>17</v>
      </c>
      <c r="I479">
        <v>95030070</v>
      </c>
      <c r="J479">
        <v>1</v>
      </c>
      <c r="K479">
        <v>4</v>
      </c>
      <c r="L479">
        <v>4</v>
      </c>
      <c r="M479">
        <v>0.33200000000000002</v>
      </c>
      <c r="N479">
        <v>0.29899999999999999</v>
      </c>
      <c r="O479">
        <v>8.1370000000000005</v>
      </c>
      <c r="P479">
        <v>32.548000000000002</v>
      </c>
      <c r="Q479">
        <v>7.97</v>
      </c>
      <c r="R479">
        <v>31.88</v>
      </c>
    </row>
    <row r="480" spans="1:18" x14ac:dyDescent="0.25">
      <c r="A480">
        <v>18834498</v>
      </c>
      <c r="B480">
        <v>952877</v>
      </c>
      <c r="C480" t="s">
        <v>272</v>
      </c>
      <c r="E480" t="str">
        <f>"3491955658038"</f>
        <v>3491955658038</v>
      </c>
      <c r="H480" t="s">
        <v>17</v>
      </c>
      <c r="I480">
        <v>95030070</v>
      </c>
      <c r="J480">
        <v>1</v>
      </c>
      <c r="K480">
        <v>6</v>
      </c>
      <c r="L480">
        <v>6</v>
      </c>
      <c r="M480">
        <v>3.996</v>
      </c>
      <c r="N480">
        <v>3.5960000000000001</v>
      </c>
      <c r="O480">
        <v>2.625</v>
      </c>
      <c r="P480">
        <v>15.75</v>
      </c>
      <c r="Q480">
        <v>5.52</v>
      </c>
      <c r="R480">
        <v>33.119999999999997</v>
      </c>
    </row>
    <row r="481" spans="1:18" x14ac:dyDescent="0.25">
      <c r="A481">
        <v>18834498</v>
      </c>
      <c r="B481">
        <v>712678</v>
      </c>
      <c r="C481" t="s">
        <v>273</v>
      </c>
      <c r="E481" t="str">
        <f>"8008324091621"</f>
        <v>8008324091621</v>
      </c>
      <c r="F481" t="str">
        <f>"8008324066315"</f>
        <v>8008324066315</v>
      </c>
      <c r="G481" t="str">
        <f>"8008324080502"</f>
        <v>8008324080502</v>
      </c>
      <c r="H481" t="s">
        <v>203</v>
      </c>
      <c r="I481">
        <v>95030070</v>
      </c>
      <c r="J481">
        <v>6</v>
      </c>
      <c r="K481">
        <v>1</v>
      </c>
      <c r="L481">
        <v>6</v>
      </c>
      <c r="M481">
        <v>2.9580000000000002</v>
      </c>
      <c r="N481">
        <v>2.6619999999999999</v>
      </c>
      <c r="O481">
        <v>11.76</v>
      </c>
      <c r="P481">
        <v>70.56</v>
      </c>
      <c r="Q481">
        <v>6.6</v>
      </c>
      <c r="R481">
        <v>39.6</v>
      </c>
    </row>
    <row r="482" spans="1:18" x14ac:dyDescent="0.25">
      <c r="A482">
        <v>18834498</v>
      </c>
      <c r="B482">
        <v>952312</v>
      </c>
      <c r="C482" t="s">
        <v>274</v>
      </c>
      <c r="E482" t="str">
        <f>"3491955658434"</f>
        <v>3491955658434</v>
      </c>
      <c r="F482" t="str">
        <f>"3491955541507"</f>
        <v>3491955541507</v>
      </c>
      <c r="H482" t="s">
        <v>17</v>
      </c>
      <c r="I482">
        <v>95030095</v>
      </c>
      <c r="J482">
        <v>3</v>
      </c>
      <c r="K482">
        <v>1</v>
      </c>
      <c r="L482">
        <v>3</v>
      </c>
      <c r="M482">
        <v>4.5</v>
      </c>
      <c r="N482">
        <v>4.05</v>
      </c>
      <c r="O482">
        <v>13.708</v>
      </c>
      <c r="P482">
        <v>41.124000000000002</v>
      </c>
      <c r="Q482">
        <v>11.54</v>
      </c>
      <c r="R482">
        <v>34.619999999999997</v>
      </c>
    </row>
    <row r="483" spans="1:18" x14ac:dyDescent="0.25">
      <c r="A483">
        <v>18834498</v>
      </c>
      <c r="B483">
        <v>907260</v>
      </c>
      <c r="C483" t="s">
        <v>275</v>
      </c>
      <c r="E483" t="str">
        <f>"5420023188304"</f>
        <v>5420023188304</v>
      </c>
      <c r="H483" t="s">
        <v>17</v>
      </c>
      <c r="I483">
        <v>95030030</v>
      </c>
      <c r="J483">
        <v>6</v>
      </c>
      <c r="K483">
        <v>1</v>
      </c>
      <c r="L483">
        <v>6</v>
      </c>
      <c r="M483">
        <v>2.1</v>
      </c>
      <c r="N483">
        <v>1.89</v>
      </c>
      <c r="O483">
        <v>4.8</v>
      </c>
      <c r="P483">
        <v>28.8</v>
      </c>
      <c r="Q483">
        <v>4.66</v>
      </c>
      <c r="R483">
        <v>27.96</v>
      </c>
    </row>
    <row r="484" spans="1:18" x14ac:dyDescent="0.25">
      <c r="A484">
        <v>18834498</v>
      </c>
      <c r="B484">
        <v>907271</v>
      </c>
      <c r="C484" t="s">
        <v>276</v>
      </c>
      <c r="E484" t="str">
        <f>"5420023187260"</f>
        <v>5420023187260</v>
      </c>
      <c r="H484" t="s">
        <v>17</v>
      </c>
      <c r="I484">
        <v>95030070</v>
      </c>
      <c r="J484">
        <v>6</v>
      </c>
      <c r="K484">
        <v>1</v>
      </c>
      <c r="L484">
        <v>6</v>
      </c>
      <c r="M484">
        <v>3.996</v>
      </c>
      <c r="N484">
        <v>3.5960000000000001</v>
      </c>
      <c r="O484">
        <v>7.02</v>
      </c>
      <c r="P484">
        <v>42.12</v>
      </c>
      <c r="Q484">
        <v>5.52</v>
      </c>
      <c r="R484">
        <v>33.119999999999997</v>
      </c>
    </row>
    <row r="485" spans="1:18" x14ac:dyDescent="0.25">
      <c r="A485">
        <v>18834498</v>
      </c>
      <c r="B485">
        <v>612306</v>
      </c>
      <c r="C485" t="s">
        <v>277</v>
      </c>
      <c r="E485" t="str">
        <f>"2000006761767"</f>
        <v>2000006761767</v>
      </c>
      <c r="F485" t="str">
        <f>"6919060730168"</f>
        <v>6919060730168</v>
      </c>
      <c r="G485" t="str">
        <f>"5420023186935"</f>
        <v>5420023186935</v>
      </c>
      <c r="H485" t="s">
        <v>17</v>
      </c>
      <c r="I485">
        <v>95030070</v>
      </c>
      <c r="J485">
        <v>6</v>
      </c>
      <c r="K485">
        <v>1</v>
      </c>
      <c r="L485">
        <v>6</v>
      </c>
      <c r="M485">
        <v>10.398</v>
      </c>
      <c r="N485">
        <v>9.3580000000000005</v>
      </c>
      <c r="O485">
        <v>7.6</v>
      </c>
      <c r="P485">
        <v>45.6</v>
      </c>
      <c r="Q485">
        <v>5.38</v>
      </c>
      <c r="R485">
        <v>32.28</v>
      </c>
    </row>
    <row r="486" spans="1:18" x14ac:dyDescent="0.25">
      <c r="A486">
        <v>18834698</v>
      </c>
      <c r="B486">
        <v>919927</v>
      </c>
      <c r="C486" t="s">
        <v>278</v>
      </c>
      <c r="E486" t="str">
        <f>"3395503109969"</f>
        <v>3395503109969</v>
      </c>
      <c r="H486" t="s">
        <v>17</v>
      </c>
      <c r="I486">
        <v>17049071</v>
      </c>
      <c r="J486">
        <v>1</v>
      </c>
      <c r="K486">
        <v>14</v>
      </c>
      <c r="L486">
        <v>14</v>
      </c>
      <c r="M486">
        <v>28</v>
      </c>
      <c r="N486">
        <v>25.2</v>
      </c>
      <c r="O486">
        <v>10.101000000000001</v>
      </c>
      <c r="P486">
        <v>141.41399999999999</v>
      </c>
      <c r="Q486">
        <v>0.71</v>
      </c>
      <c r="R486">
        <v>9.94</v>
      </c>
    </row>
    <row r="487" spans="1:18" x14ac:dyDescent="0.25">
      <c r="A487">
        <v>18834698</v>
      </c>
      <c r="B487">
        <v>275282</v>
      </c>
      <c r="C487" t="s">
        <v>279</v>
      </c>
      <c r="E487" t="str">
        <f>"5413548280585"</f>
        <v>5413548280585</v>
      </c>
      <c r="F487" t="str">
        <f>"5413548283128"</f>
        <v>5413548283128</v>
      </c>
      <c r="H487" t="s">
        <v>54</v>
      </c>
      <c r="I487">
        <v>18069019</v>
      </c>
      <c r="J487">
        <v>1</v>
      </c>
      <c r="K487">
        <v>1</v>
      </c>
      <c r="L487">
        <v>27</v>
      </c>
      <c r="M487">
        <v>6.0209999999999999</v>
      </c>
      <c r="N487">
        <v>5.4189999999999996</v>
      </c>
      <c r="O487">
        <v>1.333</v>
      </c>
      <c r="P487">
        <v>35.991</v>
      </c>
      <c r="Q487">
        <v>2.5099999999999998</v>
      </c>
      <c r="R487">
        <v>67.77</v>
      </c>
    </row>
    <row r="488" spans="1:18" x14ac:dyDescent="0.25">
      <c r="A488">
        <v>18834698</v>
      </c>
      <c r="B488">
        <v>381193</v>
      </c>
      <c r="C488" t="s">
        <v>280</v>
      </c>
      <c r="E488" t="str">
        <f>"4008400202525"</f>
        <v>4008400202525</v>
      </c>
      <c r="F488">
        <v>80177609</v>
      </c>
      <c r="H488" t="s">
        <v>203</v>
      </c>
      <c r="I488">
        <v>18069019</v>
      </c>
      <c r="J488">
        <v>1</v>
      </c>
      <c r="K488">
        <v>1</v>
      </c>
      <c r="L488">
        <v>30</v>
      </c>
      <c r="M488">
        <v>1.8</v>
      </c>
      <c r="N488">
        <v>1.62</v>
      </c>
      <c r="O488">
        <v>9.9000000000000005E-2</v>
      </c>
      <c r="P488">
        <v>2.97</v>
      </c>
      <c r="Q488">
        <v>0.45</v>
      </c>
      <c r="R488">
        <v>13.5</v>
      </c>
    </row>
    <row r="489" spans="1:18" x14ac:dyDescent="0.25">
      <c r="A489">
        <v>18834698</v>
      </c>
      <c r="B489">
        <v>397282</v>
      </c>
      <c r="C489" t="s">
        <v>281</v>
      </c>
      <c r="E489" t="str">
        <f>"8000500141601"</f>
        <v>8000500141601</v>
      </c>
      <c r="H489" t="s">
        <v>200</v>
      </c>
      <c r="I489">
        <v>18069019</v>
      </c>
      <c r="J489">
        <v>1</v>
      </c>
      <c r="K489">
        <v>1</v>
      </c>
      <c r="L489">
        <v>24</v>
      </c>
      <c r="M489">
        <v>4.2</v>
      </c>
      <c r="N489">
        <v>3.78</v>
      </c>
      <c r="O489">
        <v>0.309</v>
      </c>
      <c r="P489">
        <v>7.4160000000000004</v>
      </c>
      <c r="Q489">
        <v>1.48</v>
      </c>
      <c r="R489">
        <v>35.520000000000003</v>
      </c>
    </row>
    <row r="490" spans="1:18" x14ac:dyDescent="0.25">
      <c r="A490">
        <v>18834698</v>
      </c>
      <c r="B490">
        <v>625297</v>
      </c>
      <c r="C490" t="s">
        <v>282</v>
      </c>
      <c r="E490" t="str">
        <f>"4008400240527"</f>
        <v>4008400240527</v>
      </c>
      <c r="H490" t="s">
        <v>200</v>
      </c>
      <c r="I490">
        <v>18069031</v>
      </c>
      <c r="J490">
        <v>1</v>
      </c>
      <c r="K490">
        <v>1</v>
      </c>
      <c r="L490">
        <v>40</v>
      </c>
      <c r="M490">
        <v>6.92</v>
      </c>
      <c r="N490">
        <v>6.2279999999999998</v>
      </c>
      <c r="O490">
        <v>1.5169999999999999</v>
      </c>
      <c r="P490">
        <v>60.68</v>
      </c>
      <c r="Q490">
        <v>2.73</v>
      </c>
      <c r="R490">
        <v>109.2</v>
      </c>
    </row>
    <row r="491" spans="1:18" x14ac:dyDescent="0.25">
      <c r="A491">
        <v>18834698</v>
      </c>
      <c r="B491">
        <v>681025</v>
      </c>
      <c r="C491" t="s">
        <v>283</v>
      </c>
      <c r="E491" t="str">
        <f>"8000500026731"</f>
        <v>8000500026731</v>
      </c>
      <c r="H491" t="s">
        <v>200</v>
      </c>
      <c r="I491">
        <v>18069019</v>
      </c>
      <c r="J491">
        <v>1</v>
      </c>
      <c r="K491">
        <v>1</v>
      </c>
      <c r="L491">
        <v>64</v>
      </c>
      <c r="M491">
        <v>3.7759999999999998</v>
      </c>
      <c r="N491">
        <v>3.3980000000000001</v>
      </c>
      <c r="O491">
        <v>0.44800000000000001</v>
      </c>
      <c r="P491">
        <v>28.672000000000001</v>
      </c>
      <c r="Q491">
        <v>2.06</v>
      </c>
      <c r="R491">
        <v>131.84</v>
      </c>
    </row>
    <row r="492" spans="1:18" x14ac:dyDescent="0.25">
      <c r="A492">
        <v>18834698</v>
      </c>
      <c r="B492">
        <v>913426</v>
      </c>
      <c r="C492" t="s">
        <v>284</v>
      </c>
      <c r="E492" t="str">
        <f>"4008400280127"</f>
        <v>4008400280127</v>
      </c>
      <c r="F492">
        <v>80846116</v>
      </c>
      <c r="H492" t="s">
        <v>200</v>
      </c>
      <c r="I492">
        <v>18069031</v>
      </c>
      <c r="J492">
        <v>1</v>
      </c>
      <c r="K492">
        <v>1</v>
      </c>
      <c r="L492">
        <v>14</v>
      </c>
      <c r="M492">
        <v>2.3940000000000001</v>
      </c>
      <c r="N492">
        <v>2.1549999999999998</v>
      </c>
      <c r="O492">
        <v>1.954</v>
      </c>
      <c r="P492">
        <v>27.356000000000002</v>
      </c>
      <c r="Q492">
        <v>3.54</v>
      </c>
      <c r="R492">
        <v>49.56</v>
      </c>
    </row>
    <row r="493" spans="1:18" x14ac:dyDescent="0.25">
      <c r="A493">
        <v>18834698</v>
      </c>
      <c r="B493">
        <v>917555</v>
      </c>
      <c r="C493" t="s">
        <v>285</v>
      </c>
      <c r="E493" t="str">
        <f>"4008400511528"</f>
        <v>4008400511528</v>
      </c>
      <c r="H493" t="s">
        <v>206</v>
      </c>
      <c r="I493">
        <v>18069031</v>
      </c>
      <c r="J493">
        <v>1</v>
      </c>
      <c r="K493">
        <v>1</v>
      </c>
      <c r="L493">
        <v>52</v>
      </c>
      <c r="M493">
        <v>2.028</v>
      </c>
      <c r="N493">
        <v>1.825</v>
      </c>
      <c r="O493">
        <v>0.47799999999999998</v>
      </c>
      <c r="P493">
        <v>24.856000000000002</v>
      </c>
      <c r="Q493">
        <v>1.34</v>
      </c>
      <c r="R493">
        <v>69.680000000000007</v>
      </c>
    </row>
    <row r="494" spans="1:18" x14ac:dyDescent="0.25">
      <c r="A494">
        <v>18834698</v>
      </c>
      <c r="B494">
        <v>1015840</v>
      </c>
      <c r="C494" t="s">
        <v>286</v>
      </c>
      <c r="E494">
        <v>80969112</v>
      </c>
      <c r="H494" t="s">
        <v>206</v>
      </c>
      <c r="I494">
        <v>18069031</v>
      </c>
      <c r="J494">
        <v>1</v>
      </c>
      <c r="K494">
        <v>1</v>
      </c>
      <c r="L494">
        <v>36</v>
      </c>
      <c r="M494">
        <v>1.8</v>
      </c>
      <c r="N494">
        <v>1.62</v>
      </c>
      <c r="O494">
        <v>0.32500000000000001</v>
      </c>
      <c r="P494">
        <v>11.7</v>
      </c>
      <c r="Q494">
        <v>0.86</v>
      </c>
      <c r="R494">
        <v>30.96</v>
      </c>
    </row>
    <row r="495" spans="1:18" x14ac:dyDescent="0.25">
      <c r="A495">
        <v>18834698</v>
      </c>
      <c r="B495">
        <v>717595</v>
      </c>
      <c r="C495" t="s">
        <v>287</v>
      </c>
      <c r="E495">
        <v>80809180</v>
      </c>
      <c r="H495" t="s">
        <v>203</v>
      </c>
      <c r="I495">
        <v>18069060</v>
      </c>
      <c r="J495">
        <v>64</v>
      </c>
      <c r="K495">
        <v>1</v>
      </c>
      <c r="L495">
        <v>64</v>
      </c>
      <c r="M495">
        <v>4.5439999999999996</v>
      </c>
      <c r="N495">
        <v>4.09</v>
      </c>
      <c r="O495">
        <v>0.125</v>
      </c>
      <c r="P495">
        <v>8</v>
      </c>
      <c r="Q495">
        <v>0.54</v>
      </c>
      <c r="R495">
        <v>34.56</v>
      </c>
    </row>
    <row r="496" spans="1:18" x14ac:dyDescent="0.25">
      <c r="A496">
        <v>18834698</v>
      </c>
      <c r="B496">
        <v>591389</v>
      </c>
      <c r="C496" t="s">
        <v>288</v>
      </c>
      <c r="E496" t="str">
        <f>"4008613005432"</f>
        <v>4008613005432</v>
      </c>
      <c r="H496" t="s">
        <v>54</v>
      </c>
      <c r="I496">
        <v>18069039</v>
      </c>
      <c r="J496">
        <v>32</v>
      </c>
      <c r="K496">
        <v>1</v>
      </c>
      <c r="L496">
        <v>32</v>
      </c>
      <c r="M496">
        <v>4.992</v>
      </c>
      <c r="N496">
        <v>4.4930000000000003</v>
      </c>
      <c r="O496">
        <v>0.93700000000000006</v>
      </c>
      <c r="P496">
        <v>29.984000000000002</v>
      </c>
      <c r="Q496">
        <v>0.72</v>
      </c>
      <c r="R496">
        <v>23.04</v>
      </c>
    </row>
    <row r="497" spans="1:18" x14ac:dyDescent="0.25">
      <c r="A497">
        <v>18834698</v>
      </c>
      <c r="B497">
        <v>777168</v>
      </c>
      <c r="C497" t="s">
        <v>289</v>
      </c>
      <c r="E497" t="str">
        <f>"4008400230726"</f>
        <v>4008400230726</v>
      </c>
      <c r="H497" t="s">
        <v>200</v>
      </c>
      <c r="I497">
        <v>18069031</v>
      </c>
      <c r="J497">
        <v>1</v>
      </c>
      <c r="K497">
        <v>1</v>
      </c>
      <c r="L497">
        <v>36</v>
      </c>
      <c r="M497">
        <v>6.8760000000000003</v>
      </c>
      <c r="N497">
        <v>6.1879999999999997</v>
      </c>
      <c r="O497">
        <v>1.4690000000000001</v>
      </c>
      <c r="P497">
        <v>52.884</v>
      </c>
      <c r="Q497">
        <v>4.2699999999999996</v>
      </c>
      <c r="R497">
        <v>153.72</v>
      </c>
    </row>
    <row r="498" spans="1:18" x14ac:dyDescent="0.25">
      <c r="A498">
        <v>18834698</v>
      </c>
      <c r="B498">
        <v>777170</v>
      </c>
      <c r="C498" t="s">
        <v>290</v>
      </c>
      <c r="E498" t="str">
        <f>"4008400270326"</f>
        <v>4008400270326</v>
      </c>
      <c r="H498" t="s">
        <v>54</v>
      </c>
      <c r="I498">
        <v>18063100</v>
      </c>
      <c r="J498">
        <v>1</v>
      </c>
      <c r="K498">
        <v>1</v>
      </c>
      <c r="L498">
        <v>16</v>
      </c>
      <c r="M498">
        <v>5.12</v>
      </c>
      <c r="N498">
        <v>4.6079999999999997</v>
      </c>
      <c r="O498">
        <v>4.5</v>
      </c>
      <c r="P498">
        <v>72</v>
      </c>
      <c r="Q498">
        <v>6.1</v>
      </c>
      <c r="R498">
        <v>97.6</v>
      </c>
    </row>
    <row r="499" spans="1:18" x14ac:dyDescent="0.25">
      <c r="A499">
        <v>18834698</v>
      </c>
      <c r="B499">
        <v>1015783</v>
      </c>
      <c r="C499" t="s">
        <v>291</v>
      </c>
      <c r="E499" t="str">
        <f>"8000500391440"</f>
        <v>8000500391440</v>
      </c>
      <c r="H499" t="s">
        <v>200</v>
      </c>
      <c r="I499">
        <v>18069031</v>
      </c>
      <c r="J499">
        <v>1</v>
      </c>
      <c r="K499">
        <v>1</v>
      </c>
      <c r="L499">
        <v>8</v>
      </c>
      <c r="M499">
        <v>1.528</v>
      </c>
      <c r="N499">
        <v>1.375</v>
      </c>
      <c r="O499">
        <v>1.734</v>
      </c>
      <c r="P499">
        <v>13.872</v>
      </c>
      <c r="Q499">
        <v>4.91</v>
      </c>
      <c r="R499">
        <v>39.28</v>
      </c>
    </row>
    <row r="500" spans="1:18" x14ac:dyDescent="0.25">
      <c r="A500">
        <v>18834698</v>
      </c>
      <c r="B500">
        <v>1015799</v>
      </c>
      <c r="C500" t="s">
        <v>292</v>
      </c>
      <c r="E500" t="str">
        <f>"8000500392379"</f>
        <v>8000500392379</v>
      </c>
      <c r="H500" t="s">
        <v>54</v>
      </c>
      <c r="I500">
        <v>18063100</v>
      </c>
      <c r="J500">
        <v>1</v>
      </c>
      <c r="K500">
        <v>1</v>
      </c>
      <c r="L500">
        <v>18</v>
      </c>
      <c r="M500">
        <v>3.6720000000000002</v>
      </c>
      <c r="N500">
        <v>3.3050000000000002</v>
      </c>
      <c r="O500">
        <v>1.4359999999999999</v>
      </c>
      <c r="P500">
        <v>25.847999999999999</v>
      </c>
      <c r="Q500">
        <v>5.26</v>
      </c>
      <c r="R500">
        <v>94.68</v>
      </c>
    </row>
    <row r="501" spans="1:18" x14ac:dyDescent="0.25">
      <c r="A501">
        <v>18834698</v>
      </c>
      <c r="B501">
        <v>1015838</v>
      </c>
      <c r="C501" t="s">
        <v>293</v>
      </c>
      <c r="E501">
        <v>80935179</v>
      </c>
      <c r="H501" t="s">
        <v>54</v>
      </c>
      <c r="I501">
        <v>18063100</v>
      </c>
      <c r="J501">
        <v>1</v>
      </c>
      <c r="K501">
        <v>1</v>
      </c>
      <c r="L501">
        <v>18</v>
      </c>
      <c r="M501">
        <v>14.4</v>
      </c>
      <c r="N501">
        <v>12.96</v>
      </c>
      <c r="O501">
        <v>1.4359999999999999</v>
      </c>
      <c r="P501">
        <v>25.847999999999999</v>
      </c>
      <c r="Q501">
        <v>2.1800000000000002</v>
      </c>
      <c r="R501">
        <v>39.24</v>
      </c>
    </row>
    <row r="502" spans="1:18" x14ac:dyDescent="0.25">
      <c r="A502">
        <v>18834698</v>
      </c>
      <c r="B502">
        <v>1015839</v>
      </c>
      <c r="C502" t="s">
        <v>294</v>
      </c>
      <c r="E502" t="str">
        <f>"8000500266564"</f>
        <v>8000500266564</v>
      </c>
      <c r="H502" t="s">
        <v>200</v>
      </c>
      <c r="I502">
        <v>18069031</v>
      </c>
      <c r="J502">
        <v>1</v>
      </c>
      <c r="K502">
        <v>1</v>
      </c>
      <c r="L502">
        <v>6</v>
      </c>
      <c r="M502">
        <v>1.32</v>
      </c>
      <c r="N502">
        <v>1.1879999999999999</v>
      </c>
      <c r="O502">
        <v>0.432</v>
      </c>
      <c r="P502">
        <v>2.5920000000000001</v>
      </c>
      <c r="Q502">
        <v>8.42</v>
      </c>
      <c r="R502">
        <v>50.52</v>
      </c>
    </row>
    <row r="503" spans="1:18" x14ac:dyDescent="0.25">
      <c r="A503">
        <v>18838562</v>
      </c>
      <c r="B503">
        <v>963073</v>
      </c>
      <c r="C503" t="s">
        <v>295</v>
      </c>
      <c r="E503" t="str">
        <f>"7622201784843"</f>
        <v>7622201784843</v>
      </c>
      <c r="F503" t="str">
        <f>"7622201784904"</f>
        <v>7622201784904</v>
      </c>
      <c r="H503" t="s">
        <v>296</v>
      </c>
      <c r="I503">
        <v>18069019</v>
      </c>
      <c r="J503">
        <v>14</v>
      </c>
      <c r="K503">
        <v>1</v>
      </c>
      <c r="L503">
        <v>14</v>
      </c>
      <c r="M503">
        <v>2.6880000000000002</v>
      </c>
      <c r="N503">
        <v>2.419</v>
      </c>
      <c r="O503">
        <v>1.85</v>
      </c>
      <c r="P503">
        <v>25.9</v>
      </c>
      <c r="Q503">
        <v>2.1</v>
      </c>
      <c r="R503">
        <v>29.4</v>
      </c>
    </row>
    <row r="504" spans="1:18" x14ac:dyDescent="0.25">
      <c r="A504">
        <v>18838562</v>
      </c>
      <c r="B504">
        <v>777178</v>
      </c>
      <c r="C504" t="s">
        <v>297</v>
      </c>
      <c r="E504" t="str">
        <f>"5411446006047"</f>
        <v>5411446006047</v>
      </c>
      <c r="H504" t="s">
        <v>200</v>
      </c>
      <c r="I504">
        <v>17049065</v>
      </c>
      <c r="J504">
        <v>30</v>
      </c>
      <c r="K504">
        <v>2</v>
      </c>
      <c r="L504">
        <v>60</v>
      </c>
      <c r="M504">
        <v>2.52</v>
      </c>
      <c r="N504">
        <v>2.2679999999999998</v>
      </c>
      <c r="O504">
        <v>0.184</v>
      </c>
      <c r="P504">
        <v>11.04</v>
      </c>
      <c r="Q504">
        <v>0.36</v>
      </c>
      <c r="R504">
        <v>21.6</v>
      </c>
    </row>
    <row r="505" spans="1:18" x14ac:dyDescent="0.25">
      <c r="A505">
        <v>18838562</v>
      </c>
      <c r="B505">
        <v>724084</v>
      </c>
      <c r="C505" t="s">
        <v>298</v>
      </c>
      <c r="E505" t="str">
        <f>"5411446001103"</f>
        <v>5411446001103</v>
      </c>
      <c r="H505" t="s">
        <v>200</v>
      </c>
      <c r="I505">
        <v>17049065</v>
      </c>
      <c r="J505">
        <v>24</v>
      </c>
      <c r="K505">
        <v>2</v>
      </c>
      <c r="L505">
        <v>48</v>
      </c>
      <c r="M505">
        <v>11.76</v>
      </c>
      <c r="N505">
        <v>10.584</v>
      </c>
      <c r="O505">
        <v>1.2410000000000001</v>
      </c>
      <c r="P505">
        <v>59.567999999999998</v>
      </c>
      <c r="Q505">
        <v>1.05</v>
      </c>
      <c r="R505">
        <v>50.4</v>
      </c>
    </row>
    <row r="506" spans="1:18" x14ac:dyDescent="0.25">
      <c r="A506">
        <v>18840388</v>
      </c>
      <c r="B506">
        <v>1003544</v>
      </c>
      <c r="C506" t="s">
        <v>299</v>
      </c>
      <c r="E506" t="str">
        <f>"3491955963668"</f>
        <v>3491955963668</v>
      </c>
      <c r="F506" t="str">
        <f>"3491956020131"</f>
        <v>3491956020131</v>
      </c>
      <c r="H506" t="s">
        <v>17</v>
      </c>
      <c r="I506">
        <v>70134999</v>
      </c>
      <c r="J506">
        <v>4</v>
      </c>
      <c r="K506">
        <v>1</v>
      </c>
      <c r="L506">
        <v>4</v>
      </c>
      <c r="M506">
        <v>13</v>
      </c>
      <c r="N506">
        <v>11.7</v>
      </c>
      <c r="O506">
        <v>21.527999999999999</v>
      </c>
      <c r="P506">
        <v>86.111999999999995</v>
      </c>
      <c r="Q506">
        <v>10.02</v>
      </c>
      <c r="R506">
        <v>40.08</v>
      </c>
    </row>
    <row r="507" spans="1:18" x14ac:dyDescent="0.25">
      <c r="A507">
        <v>18840388</v>
      </c>
      <c r="B507">
        <v>986213</v>
      </c>
      <c r="C507" t="s">
        <v>300</v>
      </c>
      <c r="E507" t="str">
        <f>"3491955927479"</f>
        <v>3491955927479</v>
      </c>
      <c r="H507" t="s">
        <v>17</v>
      </c>
      <c r="I507">
        <v>95059000</v>
      </c>
      <c r="J507">
        <v>1</v>
      </c>
      <c r="K507">
        <v>4</v>
      </c>
      <c r="L507">
        <v>4</v>
      </c>
      <c r="M507">
        <v>2</v>
      </c>
      <c r="N507">
        <v>1.8</v>
      </c>
      <c r="O507">
        <v>7.2</v>
      </c>
      <c r="P507">
        <v>28.8</v>
      </c>
      <c r="Q507">
        <v>8.09</v>
      </c>
      <c r="R507">
        <v>32.36</v>
      </c>
    </row>
    <row r="508" spans="1:18" x14ac:dyDescent="0.25">
      <c r="A508">
        <v>18840388</v>
      </c>
      <c r="B508">
        <v>950232</v>
      </c>
      <c r="C508" t="s">
        <v>301</v>
      </c>
      <c r="E508" t="str">
        <f>"3491955968649"</f>
        <v>3491955968649</v>
      </c>
      <c r="F508" t="str">
        <f>"3491955680992"</f>
        <v>3491955680992</v>
      </c>
      <c r="H508" t="s">
        <v>17</v>
      </c>
      <c r="I508">
        <v>62044300</v>
      </c>
      <c r="J508">
        <v>3</v>
      </c>
      <c r="K508">
        <v>2</v>
      </c>
      <c r="L508">
        <v>6</v>
      </c>
      <c r="M508">
        <v>2.04</v>
      </c>
      <c r="N508">
        <v>1.8360000000000001</v>
      </c>
      <c r="O508">
        <v>2.4500000000000002</v>
      </c>
      <c r="P508">
        <v>14.7</v>
      </c>
      <c r="Q508">
        <v>11.8</v>
      </c>
      <c r="R508">
        <v>70.8</v>
      </c>
    </row>
    <row r="509" spans="1:18" x14ac:dyDescent="0.25">
      <c r="A509">
        <v>18840388</v>
      </c>
      <c r="B509">
        <v>950453</v>
      </c>
      <c r="C509" t="s">
        <v>302</v>
      </c>
      <c r="E509" t="str">
        <f>"3491955634384"</f>
        <v>3491955634384</v>
      </c>
      <c r="H509" t="s">
        <v>17</v>
      </c>
      <c r="I509">
        <v>39264000</v>
      </c>
      <c r="J509">
        <v>1</v>
      </c>
      <c r="K509">
        <v>3</v>
      </c>
      <c r="L509">
        <v>3</v>
      </c>
      <c r="M509">
        <v>2.25</v>
      </c>
      <c r="N509">
        <v>2.0249999999999999</v>
      </c>
      <c r="O509">
        <v>8.9250000000000007</v>
      </c>
      <c r="P509">
        <v>26.774999999999999</v>
      </c>
      <c r="Q509">
        <v>18.23</v>
      </c>
      <c r="R509">
        <v>54.69</v>
      </c>
    </row>
    <row r="510" spans="1:18" x14ac:dyDescent="0.25">
      <c r="A510">
        <v>18840388</v>
      </c>
      <c r="B510">
        <v>986221</v>
      </c>
      <c r="C510" t="s">
        <v>303</v>
      </c>
      <c r="E510" t="str">
        <f>"3491955927677"</f>
        <v>3491955927677</v>
      </c>
      <c r="H510" t="s">
        <v>17</v>
      </c>
      <c r="I510">
        <v>95059000</v>
      </c>
      <c r="J510">
        <v>1</v>
      </c>
      <c r="K510">
        <v>3</v>
      </c>
      <c r="L510">
        <v>3</v>
      </c>
      <c r="M510">
        <v>1.7849999999999999</v>
      </c>
      <c r="N510">
        <v>1.607</v>
      </c>
      <c r="O510">
        <v>5.25</v>
      </c>
      <c r="P510">
        <v>15.75</v>
      </c>
      <c r="Q510">
        <v>5.67</v>
      </c>
      <c r="R510">
        <v>17.010000000000002</v>
      </c>
    </row>
    <row r="511" spans="1:18" x14ac:dyDescent="0.25">
      <c r="A511">
        <v>18840388</v>
      </c>
      <c r="B511">
        <v>986220</v>
      </c>
      <c r="C511" t="s">
        <v>304</v>
      </c>
      <c r="E511" t="str">
        <f>"3491955927608"</f>
        <v>3491955927608</v>
      </c>
      <c r="H511" t="s">
        <v>17</v>
      </c>
      <c r="I511">
        <v>95059000</v>
      </c>
      <c r="J511">
        <v>3</v>
      </c>
      <c r="K511">
        <v>2</v>
      </c>
      <c r="L511">
        <v>6</v>
      </c>
      <c r="M511">
        <v>4.8</v>
      </c>
      <c r="N511">
        <v>4.32</v>
      </c>
      <c r="O511">
        <v>10.176</v>
      </c>
      <c r="P511">
        <v>61.055999999999997</v>
      </c>
      <c r="Q511">
        <v>12.91</v>
      </c>
      <c r="R511">
        <v>77.459999999999994</v>
      </c>
    </row>
    <row r="512" spans="1:18" x14ac:dyDescent="0.25">
      <c r="A512">
        <v>18840388</v>
      </c>
      <c r="B512">
        <v>986214</v>
      </c>
      <c r="C512" t="s">
        <v>305</v>
      </c>
      <c r="E512" t="str">
        <f>"3491955927707"</f>
        <v>3491955927707</v>
      </c>
      <c r="H512" t="s">
        <v>17</v>
      </c>
      <c r="I512">
        <v>95059000</v>
      </c>
      <c r="J512">
        <v>4</v>
      </c>
      <c r="K512">
        <v>1</v>
      </c>
      <c r="L512">
        <v>4</v>
      </c>
      <c r="M512">
        <v>6.4</v>
      </c>
      <c r="N512">
        <v>5.76</v>
      </c>
      <c r="O512">
        <v>11.137</v>
      </c>
      <c r="P512">
        <v>44.548000000000002</v>
      </c>
      <c r="Q512">
        <v>16.11</v>
      </c>
      <c r="R512">
        <v>64.44</v>
      </c>
    </row>
    <row r="513" spans="1:18" x14ac:dyDescent="0.25">
      <c r="A513">
        <v>18840388</v>
      </c>
      <c r="B513">
        <v>950447</v>
      </c>
      <c r="C513" t="s">
        <v>306</v>
      </c>
      <c r="E513" t="str">
        <f>"3491955526566"</f>
        <v>3491955526566</v>
      </c>
      <c r="H513" t="s">
        <v>17</v>
      </c>
      <c r="I513">
        <v>39264000</v>
      </c>
      <c r="J513">
        <v>2</v>
      </c>
      <c r="K513">
        <v>2</v>
      </c>
      <c r="L513">
        <v>4</v>
      </c>
      <c r="M513">
        <v>17.72</v>
      </c>
      <c r="N513">
        <v>15.948</v>
      </c>
      <c r="O513">
        <v>29.6</v>
      </c>
      <c r="P513">
        <v>118.4</v>
      </c>
      <c r="Q513">
        <v>22.81</v>
      </c>
      <c r="R513">
        <v>91.24</v>
      </c>
    </row>
    <row r="514" spans="1:18" x14ac:dyDescent="0.25">
      <c r="A514">
        <v>18840388</v>
      </c>
      <c r="B514">
        <v>986206</v>
      </c>
      <c r="C514" t="s">
        <v>307</v>
      </c>
      <c r="E514" t="str">
        <f>"3491955927622"</f>
        <v>3491955927622</v>
      </c>
      <c r="H514" t="s">
        <v>17</v>
      </c>
      <c r="I514">
        <v>95059000</v>
      </c>
      <c r="J514">
        <v>6</v>
      </c>
      <c r="K514">
        <v>2</v>
      </c>
      <c r="L514">
        <v>12</v>
      </c>
      <c r="M514">
        <v>3.24</v>
      </c>
      <c r="N514">
        <v>2.9159999999999999</v>
      </c>
      <c r="O514">
        <v>3.1030000000000002</v>
      </c>
      <c r="P514">
        <v>37.235999999999997</v>
      </c>
      <c r="Q514">
        <v>2.23</v>
      </c>
      <c r="R514">
        <v>26.76</v>
      </c>
    </row>
    <row r="515" spans="1:18" x14ac:dyDescent="0.25">
      <c r="A515">
        <v>18840388</v>
      </c>
      <c r="B515">
        <v>986216</v>
      </c>
      <c r="C515" t="s">
        <v>308</v>
      </c>
      <c r="E515" t="str">
        <f>"3491955927691"</f>
        <v>3491955927691</v>
      </c>
      <c r="H515" t="s">
        <v>17</v>
      </c>
      <c r="I515">
        <v>95059000</v>
      </c>
      <c r="J515">
        <v>1</v>
      </c>
      <c r="K515">
        <v>3</v>
      </c>
      <c r="L515">
        <v>3</v>
      </c>
      <c r="M515">
        <v>1.887</v>
      </c>
      <c r="N515">
        <v>1.698</v>
      </c>
      <c r="O515">
        <v>5.25</v>
      </c>
      <c r="P515">
        <v>15.75</v>
      </c>
      <c r="Q515">
        <v>5.96</v>
      </c>
      <c r="R515">
        <v>17.88</v>
      </c>
    </row>
    <row r="516" spans="1:18" x14ac:dyDescent="0.25">
      <c r="A516">
        <v>18840388</v>
      </c>
      <c r="B516">
        <v>986204</v>
      </c>
      <c r="C516" t="s">
        <v>309</v>
      </c>
      <c r="E516" t="str">
        <f>"3491955927301"</f>
        <v>3491955927301</v>
      </c>
      <c r="H516" t="s">
        <v>17</v>
      </c>
      <c r="I516">
        <v>95059000</v>
      </c>
      <c r="J516">
        <v>1</v>
      </c>
      <c r="K516">
        <v>4</v>
      </c>
      <c r="L516">
        <v>4</v>
      </c>
      <c r="M516">
        <v>2.0640000000000001</v>
      </c>
      <c r="N516">
        <v>1.8580000000000001</v>
      </c>
      <c r="O516">
        <v>6.2329999999999997</v>
      </c>
      <c r="P516">
        <v>24.931999999999999</v>
      </c>
      <c r="Q516">
        <v>5.43</v>
      </c>
      <c r="R516">
        <v>21.72</v>
      </c>
    </row>
    <row r="517" spans="1:18" x14ac:dyDescent="0.25">
      <c r="A517">
        <v>18840388</v>
      </c>
      <c r="B517">
        <v>654135</v>
      </c>
      <c r="C517" t="s">
        <v>310</v>
      </c>
      <c r="E517" t="str">
        <f>"3491955929664"</f>
        <v>3491955929664</v>
      </c>
      <c r="F517" t="str">
        <f>"3491953661221"</f>
        <v>3491953661221</v>
      </c>
      <c r="H517" t="s">
        <v>17</v>
      </c>
      <c r="I517">
        <v>95059000</v>
      </c>
      <c r="J517">
        <v>6</v>
      </c>
      <c r="K517">
        <v>2</v>
      </c>
      <c r="L517">
        <v>12</v>
      </c>
      <c r="M517">
        <v>2.94</v>
      </c>
      <c r="N517">
        <v>2.6459999999999999</v>
      </c>
      <c r="O517">
        <v>2.097</v>
      </c>
      <c r="P517">
        <v>25.164000000000001</v>
      </c>
      <c r="Q517">
        <v>1.83</v>
      </c>
      <c r="R517">
        <v>21.96</v>
      </c>
    </row>
    <row r="518" spans="1:18" x14ac:dyDescent="0.25">
      <c r="A518">
        <v>18840388</v>
      </c>
      <c r="B518">
        <v>799545</v>
      </c>
      <c r="C518" t="s">
        <v>311</v>
      </c>
      <c r="E518" t="str">
        <f>"3491955932787"</f>
        <v>3491955932787</v>
      </c>
      <c r="F518" t="str">
        <f>"3491955525897"</f>
        <v>3491955525897</v>
      </c>
      <c r="H518" t="s">
        <v>17</v>
      </c>
      <c r="I518">
        <v>95059000</v>
      </c>
      <c r="J518">
        <v>12</v>
      </c>
      <c r="K518">
        <v>1</v>
      </c>
      <c r="L518">
        <v>12</v>
      </c>
      <c r="M518">
        <v>0.80400000000000005</v>
      </c>
      <c r="N518">
        <v>0.72399999999999998</v>
      </c>
      <c r="O518">
        <v>1.1679999999999999</v>
      </c>
      <c r="P518">
        <v>14.016</v>
      </c>
      <c r="Q518">
        <v>1.82</v>
      </c>
      <c r="R518">
        <v>21.84</v>
      </c>
    </row>
    <row r="519" spans="1:18" x14ac:dyDescent="0.25">
      <c r="A519">
        <v>18840388</v>
      </c>
      <c r="B519">
        <v>986210</v>
      </c>
      <c r="C519" t="s">
        <v>312</v>
      </c>
      <c r="E519" t="str">
        <f>"3491955524524"</f>
        <v>3491955524524</v>
      </c>
      <c r="H519" t="s">
        <v>17</v>
      </c>
      <c r="I519">
        <v>95030081</v>
      </c>
      <c r="J519">
        <v>24</v>
      </c>
      <c r="K519">
        <v>1</v>
      </c>
      <c r="L519">
        <v>24</v>
      </c>
      <c r="M519">
        <v>3</v>
      </c>
      <c r="N519">
        <v>2.7</v>
      </c>
      <c r="O519">
        <v>2.7090000000000001</v>
      </c>
      <c r="P519">
        <v>65.016000000000005</v>
      </c>
      <c r="Q519">
        <v>2.1</v>
      </c>
      <c r="R519">
        <v>50.4</v>
      </c>
    </row>
    <row r="520" spans="1:18" x14ac:dyDescent="0.25">
      <c r="A520">
        <v>18840388</v>
      </c>
      <c r="B520">
        <v>986212</v>
      </c>
      <c r="C520" t="s">
        <v>313</v>
      </c>
      <c r="E520" t="str">
        <f>"3491955927448"</f>
        <v>3491955927448</v>
      </c>
      <c r="H520" t="s">
        <v>17</v>
      </c>
      <c r="I520">
        <v>95059000</v>
      </c>
      <c r="J520">
        <v>1</v>
      </c>
      <c r="K520">
        <v>4</v>
      </c>
      <c r="L520">
        <v>4</v>
      </c>
      <c r="M520">
        <v>1.6639999999999999</v>
      </c>
      <c r="N520">
        <v>1.498</v>
      </c>
      <c r="O520">
        <v>5.3259999999999996</v>
      </c>
      <c r="P520">
        <v>21.303999999999998</v>
      </c>
      <c r="Q520">
        <v>6.45</v>
      </c>
      <c r="R520">
        <v>25.8</v>
      </c>
    </row>
    <row r="521" spans="1:18" x14ac:dyDescent="0.25">
      <c r="A521">
        <v>18840388</v>
      </c>
      <c r="B521">
        <v>986189</v>
      </c>
      <c r="C521" t="s">
        <v>314</v>
      </c>
      <c r="E521" t="str">
        <f>"3491955927455"</f>
        <v>3491955927455</v>
      </c>
      <c r="H521" t="s">
        <v>17</v>
      </c>
      <c r="I521">
        <v>95059000</v>
      </c>
      <c r="J521">
        <v>1</v>
      </c>
      <c r="K521">
        <v>4</v>
      </c>
      <c r="L521">
        <v>4</v>
      </c>
      <c r="M521">
        <v>1.3320000000000001</v>
      </c>
      <c r="N521">
        <v>1.1990000000000001</v>
      </c>
      <c r="O521">
        <v>8.2319999999999993</v>
      </c>
      <c r="P521">
        <v>32.927999999999997</v>
      </c>
      <c r="Q521">
        <v>6.45</v>
      </c>
      <c r="R521">
        <v>25.8</v>
      </c>
    </row>
    <row r="522" spans="1:18" x14ac:dyDescent="0.25">
      <c r="A522">
        <v>18840388</v>
      </c>
      <c r="B522">
        <v>751147</v>
      </c>
      <c r="C522" t="s">
        <v>315</v>
      </c>
      <c r="E522" t="str">
        <f>"3491954636822"</f>
        <v>3491954636822</v>
      </c>
      <c r="F522" t="str">
        <f>"3491955968670"</f>
        <v>3491955968670</v>
      </c>
      <c r="H522" t="s">
        <v>17</v>
      </c>
      <c r="I522">
        <v>70133791</v>
      </c>
      <c r="J522">
        <v>24</v>
      </c>
      <c r="K522">
        <v>1</v>
      </c>
      <c r="L522">
        <v>24</v>
      </c>
      <c r="M522">
        <v>9.9600000000000009</v>
      </c>
      <c r="N522">
        <v>8.9640000000000004</v>
      </c>
      <c r="O522">
        <v>1.577</v>
      </c>
      <c r="P522">
        <v>37.847999999999999</v>
      </c>
      <c r="Q522">
        <v>1.23</v>
      </c>
      <c r="R522">
        <v>29.52</v>
      </c>
    </row>
    <row r="523" spans="1:18" x14ac:dyDescent="0.25">
      <c r="A523">
        <v>18840388</v>
      </c>
      <c r="B523">
        <v>904594</v>
      </c>
      <c r="C523" t="s">
        <v>316</v>
      </c>
      <c r="E523" t="str">
        <f>"3491955341169"</f>
        <v>3491955341169</v>
      </c>
      <c r="H523" t="s">
        <v>17</v>
      </c>
      <c r="I523">
        <v>95059000</v>
      </c>
      <c r="J523">
        <v>1</v>
      </c>
      <c r="K523">
        <v>3</v>
      </c>
      <c r="L523">
        <v>3</v>
      </c>
      <c r="M523">
        <v>6.96</v>
      </c>
      <c r="N523">
        <v>6.2640000000000002</v>
      </c>
      <c r="O523">
        <v>39.904000000000003</v>
      </c>
      <c r="P523">
        <v>119.712</v>
      </c>
      <c r="Q523">
        <v>29.56</v>
      </c>
      <c r="R523">
        <v>88.68</v>
      </c>
    </row>
    <row r="524" spans="1:18" x14ac:dyDescent="0.25">
      <c r="A524">
        <v>18840388</v>
      </c>
      <c r="B524">
        <v>799445</v>
      </c>
      <c r="C524" t="s">
        <v>317</v>
      </c>
      <c r="E524" t="str">
        <f>"3491955932404"</f>
        <v>3491955932404</v>
      </c>
      <c r="F524" t="str">
        <f>"3491955331276"</f>
        <v>3491955331276</v>
      </c>
      <c r="H524" t="s">
        <v>17</v>
      </c>
      <c r="I524">
        <v>95059000</v>
      </c>
      <c r="J524">
        <v>18</v>
      </c>
      <c r="K524">
        <v>1</v>
      </c>
      <c r="L524">
        <v>18</v>
      </c>
      <c r="M524">
        <v>0.93600000000000005</v>
      </c>
      <c r="N524">
        <v>0.84199999999999997</v>
      </c>
      <c r="O524">
        <v>0.44400000000000001</v>
      </c>
      <c r="P524">
        <v>7.992</v>
      </c>
      <c r="Q524">
        <v>0.96</v>
      </c>
      <c r="R524">
        <v>17.28</v>
      </c>
    </row>
    <row r="525" spans="1:18" x14ac:dyDescent="0.25">
      <c r="A525">
        <v>18840388</v>
      </c>
      <c r="B525">
        <v>904609</v>
      </c>
      <c r="C525" t="s">
        <v>318</v>
      </c>
      <c r="E525" t="str">
        <f>"3491955933135"</f>
        <v>3491955933135</v>
      </c>
      <c r="F525" t="str">
        <f>"3491955531775"</f>
        <v>3491955531775</v>
      </c>
      <c r="H525" t="s">
        <v>17</v>
      </c>
      <c r="I525">
        <v>95059000</v>
      </c>
      <c r="J525">
        <v>12</v>
      </c>
      <c r="K525">
        <v>1</v>
      </c>
      <c r="L525">
        <v>12</v>
      </c>
      <c r="M525">
        <v>0.39600000000000002</v>
      </c>
      <c r="N525">
        <v>0.35599999999999998</v>
      </c>
      <c r="O525">
        <v>0.23699999999999999</v>
      </c>
      <c r="P525">
        <v>2.8439999999999999</v>
      </c>
      <c r="Q525">
        <v>0.55000000000000004</v>
      </c>
      <c r="R525">
        <v>6.6</v>
      </c>
    </row>
    <row r="526" spans="1:18" x14ac:dyDescent="0.25">
      <c r="A526">
        <v>18844010</v>
      </c>
      <c r="B526">
        <v>757126</v>
      </c>
      <c r="C526" t="s">
        <v>319</v>
      </c>
      <c r="E526" t="str">
        <f>"5420023187017"</f>
        <v>5420023187017</v>
      </c>
      <c r="F526" t="str">
        <f>"2000006849045"</f>
        <v>2000006849045</v>
      </c>
      <c r="H526" t="s">
        <v>17</v>
      </c>
      <c r="I526">
        <v>95030095</v>
      </c>
      <c r="J526">
        <v>8</v>
      </c>
      <c r="K526">
        <v>1</v>
      </c>
      <c r="L526">
        <v>8</v>
      </c>
      <c r="M526">
        <v>4.6959999999999997</v>
      </c>
      <c r="N526">
        <v>4.226</v>
      </c>
      <c r="O526">
        <v>8.64</v>
      </c>
      <c r="P526">
        <v>69.12</v>
      </c>
      <c r="Q526">
        <v>4.59</v>
      </c>
      <c r="R526">
        <v>36.72</v>
      </c>
    </row>
    <row r="527" spans="1:18" x14ac:dyDescent="0.25">
      <c r="A527">
        <v>18844010</v>
      </c>
      <c r="B527">
        <v>907287</v>
      </c>
      <c r="C527" t="s">
        <v>320</v>
      </c>
      <c r="E527" t="str">
        <f>"5420023187352"</f>
        <v>5420023187352</v>
      </c>
      <c r="H527" t="s">
        <v>17</v>
      </c>
      <c r="I527">
        <v>95030095</v>
      </c>
      <c r="J527">
        <v>1</v>
      </c>
      <c r="K527">
        <v>3</v>
      </c>
      <c r="L527">
        <v>3</v>
      </c>
      <c r="M527">
        <v>8.94</v>
      </c>
      <c r="N527">
        <v>8.0459999999999994</v>
      </c>
      <c r="O527">
        <v>45.432000000000002</v>
      </c>
      <c r="P527">
        <v>136.29599999999999</v>
      </c>
      <c r="Q527">
        <v>25.01</v>
      </c>
      <c r="R527">
        <v>75.03</v>
      </c>
    </row>
    <row r="528" spans="1:18" x14ac:dyDescent="0.25">
      <c r="A528">
        <v>18844010</v>
      </c>
      <c r="B528">
        <v>907289</v>
      </c>
      <c r="C528" t="s">
        <v>321</v>
      </c>
      <c r="E528" t="str">
        <f>"5420023188991"</f>
        <v>5420023188991</v>
      </c>
      <c r="F528" t="str">
        <f>"2018203963099"</f>
        <v>2018203963099</v>
      </c>
      <c r="H528" t="s">
        <v>17</v>
      </c>
      <c r="I528">
        <v>95030021</v>
      </c>
      <c r="J528">
        <v>6</v>
      </c>
      <c r="K528">
        <v>1</v>
      </c>
      <c r="L528">
        <v>6</v>
      </c>
      <c r="M528">
        <v>8.298</v>
      </c>
      <c r="N528">
        <v>7.468</v>
      </c>
      <c r="O528">
        <v>22.331</v>
      </c>
      <c r="P528">
        <v>133.98599999999999</v>
      </c>
      <c r="Q528">
        <v>7.86</v>
      </c>
      <c r="R528">
        <v>47.16</v>
      </c>
    </row>
    <row r="529" spans="1:18" x14ac:dyDescent="0.25">
      <c r="A529">
        <v>18769449</v>
      </c>
      <c r="B529">
        <v>708351</v>
      </c>
      <c r="C529" t="s">
        <v>18</v>
      </c>
      <c r="E529" t="str">
        <f>"887961660029"</f>
        <v>887961660029</v>
      </c>
      <c r="H529" t="s">
        <v>17</v>
      </c>
      <c r="I529">
        <v>95030021</v>
      </c>
      <c r="J529">
        <v>1</v>
      </c>
      <c r="K529">
        <v>2</v>
      </c>
      <c r="L529">
        <v>2</v>
      </c>
      <c r="M529">
        <v>0.8</v>
      </c>
      <c r="N529">
        <v>0.72</v>
      </c>
      <c r="O529">
        <v>4.8959999999999999</v>
      </c>
      <c r="P529">
        <v>9.7919999999999998</v>
      </c>
      <c r="Q529">
        <v>9.67</v>
      </c>
      <c r="R529">
        <v>19.34</v>
      </c>
    </row>
    <row r="530" spans="1:18" x14ac:dyDescent="0.25">
      <c r="A530">
        <v>18769449</v>
      </c>
      <c r="B530">
        <v>764821</v>
      </c>
      <c r="C530" t="s">
        <v>26</v>
      </c>
      <c r="E530" t="str">
        <f>"887961683820"</f>
        <v>887961683820</v>
      </c>
      <c r="H530" t="s">
        <v>17</v>
      </c>
      <c r="I530">
        <v>95030021</v>
      </c>
      <c r="J530">
        <v>1</v>
      </c>
      <c r="K530">
        <v>2</v>
      </c>
      <c r="L530">
        <v>2</v>
      </c>
      <c r="M530">
        <v>0.84599999999999997</v>
      </c>
      <c r="N530">
        <v>0.76100000000000001</v>
      </c>
      <c r="O530">
        <v>5.3040000000000003</v>
      </c>
      <c r="P530">
        <v>10.608000000000001</v>
      </c>
      <c r="Q530">
        <v>17.75</v>
      </c>
      <c r="R530">
        <v>35.5</v>
      </c>
    </row>
    <row r="531" spans="1:18" x14ac:dyDescent="0.25">
      <c r="A531">
        <v>18769449</v>
      </c>
      <c r="B531">
        <v>347843</v>
      </c>
      <c r="C531" t="s">
        <v>25</v>
      </c>
      <c r="E531" t="str">
        <f>"4006592532000"</f>
        <v>4006592532000</v>
      </c>
      <c r="H531" t="s">
        <v>17</v>
      </c>
      <c r="I531">
        <v>95030070</v>
      </c>
      <c r="J531">
        <v>1</v>
      </c>
      <c r="K531">
        <v>2</v>
      </c>
      <c r="L531">
        <v>2</v>
      </c>
      <c r="M531">
        <v>1.3</v>
      </c>
      <c r="N531">
        <v>1.17</v>
      </c>
      <c r="O531">
        <v>9.7200000000000006</v>
      </c>
      <c r="P531">
        <v>19.440000000000001</v>
      </c>
      <c r="Q531">
        <v>9.57</v>
      </c>
      <c r="R531">
        <v>19.14</v>
      </c>
    </row>
    <row r="532" spans="1:18" x14ac:dyDescent="0.25">
      <c r="A532">
        <v>18769449</v>
      </c>
      <c r="B532">
        <v>754990</v>
      </c>
      <c r="C532" t="s">
        <v>24</v>
      </c>
      <c r="E532" t="str">
        <f>"3491955528942"</f>
        <v>3491955528942</v>
      </c>
      <c r="F532" t="str">
        <f>"3491953864158"</f>
        <v>3491953864158</v>
      </c>
      <c r="H532" t="s">
        <v>17</v>
      </c>
      <c r="I532">
        <v>95030095</v>
      </c>
      <c r="J532">
        <v>12</v>
      </c>
      <c r="K532">
        <v>1</v>
      </c>
      <c r="L532">
        <v>12</v>
      </c>
      <c r="M532">
        <v>4.1159999999999997</v>
      </c>
      <c r="N532">
        <v>3.7040000000000002</v>
      </c>
      <c r="O532">
        <v>7.9359999999999999</v>
      </c>
      <c r="P532">
        <v>95.231999999999999</v>
      </c>
      <c r="Q532">
        <v>4.41</v>
      </c>
      <c r="R532">
        <v>52.92</v>
      </c>
    </row>
    <row r="533" spans="1:18" x14ac:dyDescent="0.25">
      <c r="A533">
        <v>18769449</v>
      </c>
      <c r="B533">
        <v>994930</v>
      </c>
      <c r="C533" t="s">
        <v>23</v>
      </c>
      <c r="E533" t="str">
        <f>"8713219446041"</f>
        <v>8713219446041</v>
      </c>
      <c r="H533" t="s">
        <v>17</v>
      </c>
      <c r="I533">
        <v>95030049</v>
      </c>
      <c r="J533">
        <v>1</v>
      </c>
      <c r="K533">
        <v>2</v>
      </c>
      <c r="L533">
        <v>2</v>
      </c>
      <c r="M533">
        <v>0.54200000000000004</v>
      </c>
      <c r="N533">
        <v>0.48799999999999999</v>
      </c>
      <c r="O533">
        <v>4.7119999999999997</v>
      </c>
      <c r="P533">
        <v>9.4239999999999995</v>
      </c>
      <c r="Q533">
        <v>3.81</v>
      </c>
      <c r="R533">
        <v>7.62</v>
      </c>
    </row>
    <row r="534" spans="1:18" x14ac:dyDescent="0.25">
      <c r="A534">
        <v>18769449</v>
      </c>
      <c r="B534">
        <v>907274</v>
      </c>
      <c r="C534" t="s">
        <v>22</v>
      </c>
      <c r="E534" t="str">
        <f>"5420023187154"</f>
        <v>5420023187154</v>
      </c>
      <c r="H534" t="s">
        <v>17</v>
      </c>
      <c r="I534">
        <v>95030095</v>
      </c>
      <c r="J534">
        <v>1</v>
      </c>
      <c r="K534">
        <v>2</v>
      </c>
      <c r="L534">
        <v>2</v>
      </c>
      <c r="M534">
        <v>2.1659999999999999</v>
      </c>
      <c r="N534">
        <v>1.9490000000000001</v>
      </c>
      <c r="O534">
        <v>16.875</v>
      </c>
      <c r="P534">
        <v>33.75</v>
      </c>
      <c r="Q534">
        <v>8.39</v>
      </c>
      <c r="R534">
        <v>16.78</v>
      </c>
    </row>
    <row r="535" spans="1:18" x14ac:dyDescent="0.25">
      <c r="A535">
        <v>18769449</v>
      </c>
      <c r="B535">
        <v>760038</v>
      </c>
      <c r="C535" t="s">
        <v>21</v>
      </c>
      <c r="E535" t="str">
        <f>"194735007677"</f>
        <v>194735007677</v>
      </c>
      <c r="F535" t="str">
        <f>"887961690781"</f>
        <v>887961690781</v>
      </c>
      <c r="H535" t="s">
        <v>17</v>
      </c>
      <c r="I535">
        <v>95030021</v>
      </c>
      <c r="J535">
        <v>2</v>
      </c>
      <c r="K535">
        <v>1</v>
      </c>
      <c r="L535">
        <v>2</v>
      </c>
      <c r="M535">
        <v>3.71</v>
      </c>
      <c r="N535">
        <v>3.339</v>
      </c>
      <c r="O535">
        <v>24.948</v>
      </c>
      <c r="P535">
        <v>49.896000000000001</v>
      </c>
      <c r="Q535">
        <v>29.78</v>
      </c>
      <c r="R535">
        <v>59.56</v>
      </c>
    </row>
    <row r="536" spans="1:18" x14ac:dyDescent="0.25">
      <c r="A536">
        <v>18769449</v>
      </c>
      <c r="B536">
        <v>718148</v>
      </c>
      <c r="C536" t="s">
        <v>39</v>
      </c>
      <c r="E536" t="str">
        <f>"3296580397457"</f>
        <v>3296580397457</v>
      </c>
      <c r="F536" t="str">
        <f>"3701405800376"</f>
        <v>3701405800376</v>
      </c>
      <c r="H536" t="s">
        <v>17</v>
      </c>
      <c r="I536">
        <v>95030021</v>
      </c>
      <c r="J536">
        <v>1</v>
      </c>
      <c r="K536">
        <v>2</v>
      </c>
      <c r="L536">
        <v>2</v>
      </c>
      <c r="M536">
        <v>0.46</v>
      </c>
      <c r="N536">
        <v>0.41399999999999998</v>
      </c>
      <c r="O536">
        <v>2.677</v>
      </c>
      <c r="P536">
        <v>5.3540000000000001</v>
      </c>
      <c r="Q536">
        <v>12.94</v>
      </c>
      <c r="R536">
        <v>25.88</v>
      </c>
    </row>
    <row r="537" spans="1:18" x14ac:dyDescent="0.25">
      <c r="A537">
        <v>18769449</v>
      </c>
      <c r="B537">
        <v>617949</v>
      </c>
      <c r="C537" t="s">
        <v>19</v>
      </c>
      <c r="E537" t="str">
        <f>"4006592585655"</f>
        <v>4006592585655</v>
      </c>
      <c r="H537" t="s">
        <v>17</v>
      </c>
      <c r="I537">
        <v>95030021</v>
      </c>
      <c r="J537">
        <v>1</v>
      </c>
      <c r="K537">
        <v>2</v>
      </c>
      <c r="L537">
        <v>2</v>
      </c>
      <c r="M537">
        <v>1.29</v>
      </c>
      <c r="N537">
        <v>1.161</v>
      </c>
      <c r="O537">
        <v>7.2290000000000001</v>
      </c>
      <c r="P537">
        <v>14.458</v>
      </c>
      <c r="Q537">
        <v>8.65</v>
      </c>
      <c r="R537">
        <v>17.3</v>
      </c>
    </row>
    <row r="538" spans="1:18" x14ac:dyDescent="0.25">
      <c r="A538">
        <v>18769449</v>
      </c>
      <c r="B538">
        <v>755833</v>
      </c>
      <c r="C538" t="s">
        <v>33</v>
      </c>
      <c r="E538" t="str">
        <f>"3491954469567"</f>
        <v>3491954469567</v>
      </c>
      <c r="H538" t="s">
        <v>17</v>
      </c>
      <c r="I538">
        <v>95030021</v>
      </c>
      <c r="J538">
        <v>8</v>
      </c>
      <c r="K538">
        <v>1</v>
      </c>
      <c r="L538">
        <v>8</v>
      </c>
      <c r="M538">
        <v>8.6959999999999997</v>
      </c>
      <c r="N538">
        <v>7.8259999999999996</v>
      </c>
      <c r="O538">
        <v>19.440000000000001</v>
      </c>
      <c r="P538">
        <v>155.52000000000001</v>
      </c>
      <c r="Q538">
        <v>12.79</v>
      </c>
      <c r="R538">
        <v>102.32</v>
      </c>
    </row>
    <row r="539" spans="1:18" x14ac:dyDescent="0.25">
      <c r="A539">
        <v>18769449</v>
      </c>
      <c r="B539">
        <v>1000284</v>
      </c>
      <c r="C539" t="s">
        <v>34</v>
      </c>
      <c r="E539" t="str">
        <f>"5413247006325"</f>
        <v>5413247006325</v>
      </c>
      <c r="H539" t="s">
        <v>17</v>
      </c>
      <c r="I539">
        <v>95059000</v>
      </c>
      <c r="J539">
        <v>12</v>
      </c>
      <c r="K539">
        <v>1</v>
      </c>
      <c r="L539">
        <v>12</v>
      </c>
      <c r="M539">
        <v>1.0680000000000001</v>
      </c>
      <c r="N539">
        <v>0.96099999999999997</v>
      </c>
      <c r="O539">
        <v>1.0309999999999999</v>
      </c>
      <c r="P539">
        <v>12.372</v>
      </c>
      <c r="Q539">
        <v>1.37</v>
      </c>
      <c r="R539">
        <v>16.440000000000001</v>
      </c>
    </row>
    <row r="540" spans="1:18" x14ac:dyDescent="0.25">
      <c r="A540">
        <v>18769449</v>
      </c>
      <c r="B540">
        <v>952379</v>
      </c>
      <c r="C540" t="s">
        <v>35</v>
      </c>
      <c r="E540" t="str">
        <f>"3491955640507"</f>
        <v>3491955640507</v>
      </c>
      <c r="H540" t="s">
        <v>17</v>
      </c>
      <c r="I540">
        <v>95030021</v>
      </c>
      <c r="J540">
        <v>4</v>
      </c>
      <c r="K540">
        <v>2</v>
      </c>
      <c r="L540">
        <v>8</v>
      </c>
      <c r="M540">
        <v>3.448</v>
      </c>
      <c r="N540">
        <v>3.1030000000000002</v>
      </c>
      <c r="O540">
        <v>7.02</v>
      </c>
      <c r="P540">
        <v>56.16</v>
      </c>
      <c r="Q540">
        <v>4.5999999999999996</v>
      </c>
      <c r="R540">
        <v>36.799999999999997</v>
      </c>
    </row>
    <row r="541" spans="1:18" x14ac:dyDescent="0.25">
      <c r="A541">
        <v>18769449</v>
      </c>
      <c r="B541">
        <v>1015895</v>
      </c>
      <c r="C541" t="s">
        <v>32</v>
      </c>
      <c r="E541" t="str">
        <f>"194735028634"</f>
        <v>194735028634</v>
      </c>
      <c r="F541" t="str">
        <f>"194735007189"</f>
        <v>194735007189</v>
      </c>
      <c r="H541" t="s">
        <v>17</v>
      </c>
      <c r="I541">
        <v>95030070</v>
      </c>
      <c r="J541">
        <v>6</v>
      </c>
      <c r="K541">
        <v>2</v>
      </c>
      <c r="L541">
        <v>12</v>
      </c>
      <c r="M541">
        <v>3.8759999999999999</v>
      </c>
      <c r="N541">
        <v>3.488</v>
      </c>
      <c r="O541">
        <v>3.4350000000000001</v>
      </c>
      <c r="P541">
        <v>41.22</v>
      </c>
      <c r="Q541">
        <v>7.87</v>
      </c>
      <c r="R541">
        <v>94.44</v>
      </c>
    </row>
    <row r="542" spans="1:18" x14ac:dyDescent="0.25">
      <c r="A542">
        <v>18769449</v>
      </c>
      <c r="B542">
        <v>1000258</v>
      </c>
      <c r="C542" t="s">
        <v>36</v>
      </c>
      <c r="E542" t="str">
        <f>"5413247013736"</f>
        <v>5413247013736</v>
      </c>
      <c r="H542" t="s">
        <v>17</v>
      </c>
      <c r="I542">
        <v>95030021</v>
      </c>
      <c r="J542">
        <v>1</v>
      </c>
      <c r="K542">
        <v>4</v>
      </c>
      <c r="L542">
        <v>4</v>
      </c>
      <c r="M542">
        <v>0.85599999999999998</v>
      </c>
      <c r="N542">
        <v>0.77</v>
      </c>
      <c r="O542">
        <v>2.677</v>
      </c>
      <c r="P542">
        <v>10.708</v>
      </c>
      <c r="Q542">
        <v>3.43</v>
      </c>
      <c r="R542">
        <v>13.72</v>
      </c>
    </row>
    <row r="543" spans="1:18" x14ac:dyDescent="0.25">
      <c r="A543">
        <v>18769449</v>
      </c>
      <c r="B543">
        <v>764117</v>
      </c>
      <c r="C543" t="s">
        <v>20</v>
      </c>
      <c r="E543" t="str">
        <f>"887961625790"</f>
        <v>887961625790</v>
      </c>
      <c r="F543" t="str">
        <f>"887961625769"</f>
        <v>887961625769</v>
      </c>
      <c r="G543" t="str">
        <f>"887961625776"</f>
        <v>887961625776</v>
      </c>
      <c r="H543" t="s">
        <v>17</v>
      </c>
      <c r="I543">
        <v>95030049</v>
      </c>
      <c r="J543">
        <v>1</v>
      </c>
      <c r="K543">
        <v>2</v>
      </c>
      <c r="L543">
        <v>2</v>
      </c>
      <c r="M543">
        <v>1.8</v>
      </c>
      <c r="N543">
        <v>1.62</v>
      </c>
      <c r="O543">
        <v>11.88</v>
      </c>
      <c r="P543">
        <v>23.76</v>
      </c>
      <c r="Q543">
        <v>14.31</v>
      </c>
      <c r="R543">
        <v>28.62</v>
      </c>
    </row>
    <row r="544" spans="1:18" x14ac:dyDescent="0.25">
      <c r="A544">
        <v>18769449</v>
      </c>
      <c r="B544">
        <v>764731</v>
      </c>
      <c r="C544" t="s">
        <v>37</v>
      </c>
      <c r="E544" t="str">
        <f>"887961632309"</f>
        <v>887961632309</v>
      </c>
      <c r="H544" t="s">
        <v>17</v>
      </c>
      <c r="I544">
        <v>95030021</v>
      </c>
      <c r="J544">
        <v>3</v>
      </c>
      <c r="K544">
        <v>1</v>
      </c>
      <c r="L544">
        <v>3</v>
      </c>
      <c r="M544">
        <v>3.3090000000000002</v>
      </c>
      <c r="N544">
        <v>2.9780000000000002</v>
      </c>
      <c r="O544">
        <v>12.6</v>
      </c>
      <c r="P544">
        <v>37.799999999999997</v>
      </c>
      <c r="Q544">
        <v>20.88</v>
      </c>
      <c r="R544">
        <v>62.64</v>
      </c>
    </row>
    <row r="545" spans="1:18" x14ac:dyDescent="0.25">
      <c r="A545">
        <v>18769449</v>
      </c>
      <c r="B545">
        <v>667921</v>
      </c>
      <c r="C545" t="s">
        <v>27</v>
      </c>
      <c r="E545" t="str">
        <f>"3491953867197"</f>
        <v>3491953867197</v>
      </c>
      <c r="F545" t="str">
        <f>"3491955640231"</f>
        <v>3491955640231</v>
      </c>
      <c r="H545" t="s">
        <v>17</v>
      </c>
      <c r="I545">
        <v>95030021</v>
      </c>
      <c r="J545">
        <v>6</v>
      </c>
      <c r="K545">
        <v>1</v>
      </c>
      <c r="L545">
        <v>6</v>
      </c>
      <c r="M545">
        <v>8.64</v>
      </c>
      <c r="N545">
        <v>7.7759999999999998</v>
      </c>
      <c r="O545">
        <v>32.735999999999997</v>
      </c>
      <c r="P545">
        <v>196.416</v>
      </c>
      <c r="Q545">
        <v>4.17</v>
      </c>
      <c r="R545">
        <v>25.02</v>
      </c>
    </row>
    <row r="546" spans="1:18" x14ac:dyDescent="0.25">
      <c r="A546">
        <v>18769449</v>
      </c>
      <c r="B546">
        <v>953062</v>
      </c>
      <c r="C546" t="s">
        <v>38</v>
      </c>
      <c r="E546" t="str">
        <f>"2018205183587"</f>
        <v>2018205183587</v>
      </c>
      <c r="F546" t="str">
        <f>"5420023190819"</f>
        <v>5420023190819</v>
      </c>
      <c r="H546" t="s">
        <v>17</v>
      </c>
      <c r="I546">
        <v>95030049</v>
      </c>
      <c r="J546">
        <v>1</v>
      </c>
      <c r="K546">
        <v>6</v>
      </c>
      <c r="L546">
        <v>6</v>
      </c>
      <c r="M546">
        <v>0.78600000000000003</v>
      </c>
      <c r="N546">
        <v>0.70699999999999996</v>
      </c>
      <c r="O546">
        <v>1.7689999999999999</v>
      </c>
      <c r="P546">
        <v>10.614000000000001</v>
      </c>
      <c r="Q546">
        <v>1.44</v>
      </c>
      <c r="R546">
        <v>8.64</v>
      </c>
    </row>
    <row r="547" spans="1:18" x14ac:dyDescent="0.25">
      <c r="A547">
        <v>18769449</v>
      </c>
      <c r="B547">
        <v>667930</v>
      </c>
      <c r="C547" t="s">
        <v>30</v>
      </c>
      <c r="E547" t="str">
        <f>"3491953645023"</f>
        <v>3491953645023</v>
      </c>
      <c r="F547" t="str">
        <f>"3491955935900"</f>
        <v>3491955935900</v>
      </c>
      <c r="H547" t="s">
        <v>17</v>
      </c>
      <c r="I547">
        <v>95030095</v>
      </c>
      <c r="J547">
        <v>6</v>
      </c>
      <c r="K547">
        <v>1</v>
      </c>
      <c r="L547">
        <v>6</v>
      </c>
      <c r="M547">
        <v>10.997999999999999</v>
      </c>
      <c r="N547">
        <v>9.8979999999999997</v>
      </c>
      <c r="O547">
        <v>43.68</v>
      </c>
      <c r="P547">
        <v>262.08</v>
      </c>
      <c r="Q547">
        <v>18.16</v>
      </c>
      <c r="R547">
        <v>108.96</v>
      </c>
    </row>
    <row r="548" spans="1:18" x14ac:dyDescent="0.25">
      <c r="A548">
        <v>18769449</v>
      </c>
      <c r="B548">
        <v>754975</v>
      </c>
      <c r="C548" t="s">
        <v>31</v>
      </c>
      <c r="E548" t="str">
        <f>"3491953644989"</f>
        <v>3491953644989</v>
      </c>
      <c r="H548" t="s">
        <v>17</v>
      </c>
      <c r="I548">
        <v>95030070</v>
      </c>
      <c r="J548">
        <v>6</v>
      </c>
      <c r="K548">
        <v>1</v>
      </c>
      <c r="L548">
        <v>6</v>
      </c>
      <c r="M548">
        <v>8.7959999999999994</v>
      </c>
      <c r="N548">
        <v>7.9160000000000004</v>
      </c>
      <c r="O548">
        <v>38.688000000000002</v>
      </c>
      <c r="P548">
        <v>232.12799999999999</v>
      </c>
      <c r="Q548">
        <v>11.15</v>
      </c>
      <c r="R548">
        <v>66.900000000000006</v>
      </c>
    </row>
    <row r="549" spans="1:18" x14ac:dyDescent="0.25">
      <c r="A549">
        <v>18769449</v>
      </c>
      <c r="B549">
        <v>982543</v>
      </c>
      <c r="C549" t="s">
        <v>29</v>
      </c>
      <c r="E549" t="str">
        <f>"887961928068"</f>
        <v>887961928068</v>
      </c>
      <c r="H549" t="s">
        <v>17</v>
      </c>
      <c r="I549">
        <v>95030021</v>
      </c>
      <c r="J549">
        <v>4</v>
      </c>
      <c r="K549">
        <v>1</v>
      </c>
      <c r="L549">
        <v>4</v>
      </c>
      <c r="M549">
        <v>1.3</v>
      </c>
      <c r="N549">
        <v>1.17</v>
      </c>
      <c r="O549">
        <v>4.8620000000000001</v>
      </c>
      <c r="P549">
        <v>19.448</v>
      </c>
      <c r="Q549">
        <v>10.53</v>
      </c>
      <c r="R549">
        <v>42.12</v>
      </c>
    </row>
    <row r="550" spans="1:18" x14ac:dyDescent="0.25">
      <c r="A550">
        <v>18769449</v>
      </c>
      <c r="B550">
        <v>962472</v>
      </c>
      <c r="C550" t="s">
        <v>40</v>
      </c>
      <c r="E550" t="str">
        <f>"5413247092496"</f>
        <v>5413247092496</v>
      </c>
      <c r="H550" t="s">
        <v>17</v>
      </c>
      <c r="I550">
        <v>95030049</v>
      </c>
      <c r="J550">
        <v>1</v>
      </c>
      <c r="K550">
        <v>2</v>
      </c>
      <c r="L550">
        <v>2</v>
      </c>
      <c r="M550">
        <v>1.208</v>
      </c>
      <c r="N550">
        <v>1.087</v>
      </c>
      <c r="O550">
        <v>6.0970000000000004</v>
      </c>
      <c r="P550">
        <v>12.194000000000001</v>
      </c>
      <c r="Q550">
        <v>6.28</v>
      </c>
      <c r="R550">
        <v>12.56</v>
      </c>
    </row>
    <row r="551" spans="1:18" x14ac:dyDescent="0.25">
      <c r="A551">
        <v>18769449</v>
      </c>
      <c r="B551">
        <v>986358</v>
      </c>
      <c r="C551" t="s">
        <v>41</v>
      </c>
      <c r="E551" t="str">
        <f>"887961954555"</f>
        <v>887961954555</v>
      </c>
      <c r="H551" t="s">
        <v>17</v>
      </c>
      <c r="I551">
        <v>95030021</v>
      </c>
      <c r="J551">
        <v>2</v>
      </c>
      <c r="K551">
        <v>1</v>
      </c>
      <c r="L551">
        <v>2</v>
      </c>
      <c r="M551">
        <v>2.16</v>
      </c>
      <c r="N551">
        <v>1.944</v>
      </c>
      <c r="O551">
        <v>15.96</v>
      </c>
      <c r="P551">
        <v>31.92</v>
      </c>
      <c r="Q551">
        <v>18.489999999999998</v>
      </c>
      <c r="R551">
        <v>36.979999999999997</v>
      </c>
    </row>
    <row r="552" spans="1:18" x14ac:dyDescent="0.25">
      <c r="A552">
        <v>18769449</v>
      </c>
      <c r="B552">
        <v>754989</v>
      </c>
      <c r="C552" t="s">
        <v>28</v>
      </c>
      <c r="E552" t="str">
        <f>"3491953501732"</f>
        <v>3491953501732</v>
      </c>
      <c r="F552" t="str">
        <f>"3491955528904"</f>
        <v>3491955528904</v>
      </c>
      <c r="H552" t="s">
        <v>17</v>
      </c>
      <c r="I552">
        <v>95030095</v>
      </c>
      <c r="J552">
        <v>1</v>
      </c>
      <c r="K552">
        <v>6</v>
      </c>
      <c r="L552">
        <v>6</v>
      </c>
      <c r="M552">
        <v>3.048</v>
      </c>
      <c r="N552">
        <v>2.7429999999999999</v>
      </c>
      <c r="O552">
        <v>11.55</v>
      </c>
      <c r="P552">
        <v>69.3</v>
      </c>
      <c r="Q552">
        <v>7.27</v>
      </c>
      <c r="R552">
        <v>43.62</v>
      </c>
    </row>
    <row r="553" spans="1:18" x14ac:dyDescent="0.25">
      <c r="A553">
        <v>18769449</v>
      </c>
      <c r="B553">
        <v>991609</v>
      </c>
      <c r="C553" t="s">
        <v>42</v>
      </c>
      <c r="E553" t="str">
        <f>"3491955640491"</f>
        <v>3491955640491</v>
      </c>
      <c r="H553" t="s">
        <v>17</v>
      </c>
      <c r="I553">
        <v>95030095</v>
      </c>
      <c r="J553">
        <v>4</v>
      </c>
      <c r="K553">
        <v>1</v>
      </c>
      <c r="L553">
        <v>4</v>
      </c>
      <c r="M553">
        <v>2.3319999999999999</v>
      </c>
      <c r="N553">
        <v>2.0990000000000002</v>
      </c>
      <c r="O553">
        <v>4.8330000000000002</v>
      </c>
      <c r="P553">
        <v>19.332000000000001</v>
      </c>
      <c r="Q553">
        <v>5.47</v>
      </c>
      <c r="R553">
        <v>21.88</v>
      </c>
    </row>
    <row r="554" spans="1:18" x14ac:dyDescent="0.25">
      <c r="A554">
        <v>18770082</v>
      </c>
      <c r="B554">
        <v>1001975</v>
      </c>
      <c r="C554" t="s">
        <v>84</v>
      </c>
      <c r="E554" t="str">
        <f>"5055114295892"</f>
        <v>5055114295892</v>
      </c>
      <c r="F554" t="str">
        <f>"5055114295939"</f>
        <v>5055114295939</v>
      </c>
      <c r="G554" t="str">
        <f>"5055114296066"</f>
        <v>5055114296066</v>
      </c>
      <c r="H554" t="s">
        <v>17</v>
      </c>
      <c r="I554">
        <v>40169200</v>
      </c>
      <c r="J554">
        <v>12</v>
      </c>
      <c r="K554">
        <v>1</v>
      </c>
      <c r="L554">
        <v>12</v>
      </c>
      <c r="M554">
        <v>1.944</v>
      </c>
      <c r="N554">
        <v>1.75</v>
      </c>
      <c r="O554">
        <v>0.65400000000000003</v>
      </c>
      <c r="P554">
        <v>7.8479999999999999</v>
      </c>
      <c r="Q554">
        <v>1.35</v>
      </c>
      <c r="R554">
        <v>16.2</v>
      </c>
    </row>
    <row r="555" spans="1:18" x14ac:dyDescent="0.25">
      <c r="A555">
        <v>18770082</v>
      </c>
      <c r="B555">
        <v>938436</v>
      </c>
      <c r="C555" t="s">
        <v>75</v>
      </c>
      <c r="E555" t="str">
        <f>"4891813542131"</f>
        <v>4891813542131</v>
      </c>
      <c r="H555" t="s">
        <v>17</v>
      </c>
      <c r="I555">
        <v>95030075</v>
      </c>
      <c r="J555">
        <v>1</v>
      </c>
      <c r="K555">
        <v>4</v>
      </c>
      <c r="L555">
        <v>4</v>
      </c>
      <c r="M555">
        <v>3.1640000000000001</v>
      </c>
      <c r="N555">
        <v>2.8479999999999999</v>
      </c>
      <c r="O555">
        <v>8.91</v>
      </c>
      <c r="P555">
        <v>35.64</v>
      </c>
      <c r="Q555">
        <v>14.08</v>
      </c>
      <c r="R555">
        <v>56.32</v>
      </c>
    </row>
    <row r="556" spans="1:18" x14ac:dyDescent="0.25">
      <c r="A556">
        <v>18770082</v>
      </c>
      <c r="B556">
        <v>999691</v>
      </c>
      <c r="C556" t="s">
        <v>73</v>
      </c>
      <c r="E556" t="str">
        <f>"5425002415846"</f>
        <v>5425002415846</v>
      </c>
      <c r="H556" t="s">
        <v>17</v>
      </c>
      <c r="I556">
        <v>95030075</v>
      </c>
      <c r="J556">
        <v>1</v>
      </c>
      <c r="K556">
        <v>2</v>
      </c>
      <c r="L556">
        <v>2</v>
      </c>
      <c r="M556">
        <v>0.79400000000000004</v>
      </c>
      <c r="N556">
        <v>0.71499999999999997</v>
      </c>
      <c r="O556">
        <v>4.1040000000000001</v>
      </c>
      <c r="P556">
        <v>8.2080000000000002</v>
      </c>
      <c r="Q556">
        <v>9.09</v>
      </c>
      <c r="R556">
        <v>18.18</v>
      </c>
    </row>
    <row r="557" spans="1:18" x14ac:dyDescent="0.25">
      <c r="A557">
        <v>18770082</v>
      </c>
      <c r="B557">
        <v>916259</v>
      </c>
      <c r="C557" t="s">
        <v>65</v>
      </c>
      <c r="E557" t="str">
        <f>"5425002415075"</f>
        <v>5425002415075</v>
      </c>
      <c r="H557" t="s">
        <v>17</v>
      </c>
      <c r="I557">
        <v>95030049</v>
      </c>
      <c r="J557">
        <v>1</v>
      </c>
      <c r="K557">
        <v>3</v>
      </c>
      <c r="L557">
        <v>3</v>
      </c>
      <c r="M557">
        <v>1.74</v>
      </c>
      <c r="N557">
        <v>1.5660000000000001</v>
      </c>
      <c r="O557">
        <v>7.6029999999999998</v>
      </c>
      <c r="P557">
        <v>22.809000000000001</v>
      </c>
      <c r="Q557">
        <v>8.94</v>
      </c>
      <c r="R557">
        <v>26.82</v>
      </c>
    </row>
    <row r="558" spans="1:18" x14ac:dyDescent="0.25">
      <c r="A558">
        <v>18770082</v>
      </c>
      <c r="B558">
        <v>907295</v>
      </c>
      <c r="C558" t="s">
        <v>76</v>
      </c>
      <c r="E558" t="str">
        <f>"5420023187901"</f>
        <v>5420023187901</v>
      </c>
      <c r="H558" t="s">
        <v>17</v>
      </c>
      <c r="I558">
        <v>95030075</v>
      </c>
      <c r="J558">
        <v>1</v>
      </c>
      <c r="K558">
        <v>4</v>
      </c>
      <c r="L558">
        <v>4</v>
      </c>
      <c r="M558">
        <v>1.4319999999999999</v>
      </c>
      <c r="N558">
        <v>1.2889999999999999</v>
      </c>
      <c r="O558">
        <v>5.1749999999999998</v>
      </c>
      <c r="P558">
        <v>20.7</v>
      </c>
      <c r="Q558">
        <v>3.16</v>
      </c>
      <c r="R558">
        <v>12.64</v>
      </c>
    </row>
    <row r="559" spans="1:18" x14ac:dyDescent="0.25">
      <c r="A559">
        <v>18770082</v>
      </c>
      <c r="B559">
        <v>953042</v>
      </c>
      <c r="C559" t="s">
        <v>77</v>
      </c>
      <c r="E559" t="str">
        <f>"5420023190376"</f>
        <v>5420023190376</v>
      </c>
      <c r="H559" t="s">
        <v>17</v>
      </c>
      <c r="I559">
        <v>95030075</v>
      </c>
      <c r="J559">
        <v>6</v>
      </c>
      <c r="K559">
        <v>1</v>
      </c>
      <c r="L559">
        <v>6</v>
      </c>
      <c r="M559">
        <v>2.1</v>
      </c>
      <c r="N559">
        <v>1.89</v>
      </c>
      <c r="O559">
        <v>2.6659999999999999</v>
      </c>
      <c r="P559">
        <v>15.996</v>
      </c>
      <c r="Q559">
        <v>2.4700000000000002</v>
      </c>
      <c r="R559">
        <v>14.82</v>
      </c>
    </row>
    <row r="560" spans="1:18" x14ac:dyDescent="0.25">
      <c r="A560">
        <v>18770082</v>
      </c>
      <c r="B560">
        <v>999688</v>
      </c>
      <c r="C560" t="s">
        <v>93</v>
      </c>
      <c r="E560" t="str">
        <f>"5425002416065"</f>
        <v>5425002416065</v>
      </c>
      <c r="H560" t="s">
        <v>17</v>
      </c>
      <c r="I560">
        <v>95030049</v>
      </c>
      <c r="J560">
        <v>1</v>
      </c>
      <c r="K560">
        <v>2</v>
      </c>
      <c r="L560">
        <v>2</v>
      </c>
      <c r="M560">
        <v>0.7</v>
      </c>
      <c r="N560">
        <v>0.63</v>
      </c>
      <c r="O560">
        <v>3.7719999999999998</v>
      </c>
      <c r="P560">
        <v>7.5439999999999996</v>
      </c>
      <c r="Q560">
        <v>5.84</v>
      </c>
      <c r="R560">
        <v>11.68</v>
      </c>
    </row>
    <row r="561" spans="1:18" x14ac:dyDescent="0.25">
      <c r="A561">
        <v>18770082</v>
      </c>
      <c r="B561">
        <v>953039</v>
      </c>
      <c r="C561" t="s">
        <v>92</v>
      </c>
      <c r="E561" t="str">
        <f>"5420023190581"</f>
        <v>5420023190581</v>
      </c>
      <c r="H561" t="s">
        <v>17</v>
      </c>
      <c r="I561">
        <v>95030075</v>
      </c>
      <c r="J561">
        <v>1</v>
      </c>
      <c r="K561">
        <v>2</v>
      </c>
      <c r="L561">
        <v>2</v>
      </c>
      <c r="M561">
        <v>1.5660000000000001</v>
      </c>
      <c r="N561">
        <v>1.409</v>
      </c>
      <c r="O561">
        <v>10.936999999999999</v>
      </c>
      <c r="P561">
        <v>21.873999999999999</v>
      </c>
      <c r="Q561">
        <v>6.42</v>
      </c>
      <c r="R561">
        <v>12.84</v>
      </c>
    </row>
    <row r="562" spans="1:18" x14ac:dyDescent="0.25">
      <c r="A562">
        <v>18770082</v>
      </c>
      <c r="B562">
        <v>999677</v>
      </c>
      <c r="C562" t="s">
        <v>90</v>
      </c>
      <c r="E562" t="str">
        <f>"4891813547242"</f>
        <v>4891813547242</v>
      </c>
      <c r="H562" t="s">
        <v>17</v>
      </c>
      <c r="I562">
        <v>95030075</v>
      </c>
      <c r="J562">
        <v>1</v>
      </c>
      <c r="K562">
        <v>2</v>
      </c>
      <c r="L562">
        <v>2</v>
      </c>
      <c r="M562">
        <v>0.65</v>
      </c>
      <c r="N562">
        <v>0.58499999999999996</v>
      </c>
      <c r="O562">
        <v>3.141</v>
      </c>
      <c r="P562">
        <v>6.282</v>
      </c>
      <c r="Q562">
        <v>9.2899999999999991</v>
      </c>
      <c r="R562">
        <v>18.579999999999998</v>
      </c>
    </row>
    <row r="563" spans="1:18" x14ac:dyDescent="0.25">
      <c r="A563">
        <v>18770082</v>
      </c>
      <c r="B563">
        <v>953056</v>
      </c>
      <c r="C563" t="s">
        <v>91</v>
      </c>
      <c r="E563" t="str">
        <f>"5420023190505"</f>
        <v>5420023190505</v>
      </c>
      <c r="H563" t="s">
        <v>17</v>
      </c>
      <c r="I563">
        <v>95030075</v>
      </c>
      <c r="J563">
        <v>1</v>
      </c>
      <c r="K563">
        <v>2</v>
      </c>
      <c r="L563">
        <v>2</v>
      </c>
      <c r="M563">
        <v>1.25</v>
      </c>
      <c r="N563">
        <v>1.125</v>
      </c>
      <c r="O563">
        <v>9.798</v>
      </c>
      <c r="P563">
        <v>19.596</v>
      </c>
      <c r="Q563">
        <v>8.99</v>
      </c>
      <c r="R563">
        <v>17.98</v>
      </c>
    </row>
    <row r="564" spans="1:18" x14ac:dyDescent="0.25">
      <c r="A564">
        <v>18770082</v>
      </c>
      <c r="B564">
        <v>994919</v>
      </c>
      <c r="C564" t="s">
        <v>62</v>
      </c>
      <c r="E564" t="str">
        <f>"8713219385630"</f>
        <v>8713219385630</v>
      </c>
      <c r="H564" t="s">
        <v>17</v>
      </c>
      <c r="I564">
        <v>95030070</v>
      </c>
      <c r="J564">
        <v>1</v>
      </c>
      <c r="K564">
        <v>4</v>
      </c>
      <c r="L564">
        <v>4</v>
      </c>
      <c r="M564">
        <v>0.97599999999999998</v>
      </c>
      <c r="N564">
        <v>0.878</v>
      </c>
      <c r="O564">
        <v>2.8</v>
      </c>
      <c r="P564">
        <v>11.2</v>
      </c>
      <c r="Q564">
        <v>4.28</v>
      </c>
      <c r="R564">
        <v>17.12</v>
      </c>
    </row>
    <row r="565" spans="1:18" x14ac:dyDescent="0.25">
      <c r="A565">
        <v>18770082</v>
      </c>
      <c r="B565">
        <v>756957</v>
      </c>
      <c r="C565" t="s">
        <v>43</v>
      </c>
      <c r="E565" t="str">
        <f>"5420023188212"</f>
        <v>5420023188212</v>
      </c>
      <c r="F565" t="str">
        <f>"2000006848857"</f>
        <v>2000006848857</v>
      </c>
      <c r="H565" t="s">
        <v>17</v>
      </c>
      <c r="I565">
        <v>95030075</v>
      </c>
      <c r="J565">
        <v>1</v>
      </c>
      <c r="K565">
        <v>2</v>
      </c>
      <c r="L565">
        <v>2</v>
      </c>
      <c r="M565">
        <v>0.38200000000000001</v>
      </c>
      <c r="N565">
        <v>0.34399999999999997</v>
      </c>
      <c r="O565">
        <v>2.64</v>
      </c>
      <c r="P565">
        <v>5.28</v>
      </c>
      <c r="Q565">
        <v>3.89</v>
      </c>
      <c r="R565">
        <v>7.78</v>
      </c>
    </row>
    <row r="566" spans="1:18" x14ac:dyDescent="0.25">
      <c r="A566">
        <v>18770082</v>
      </c>
      <c r="B566">
        <v>786962</v>
      </c>
      <c r="C566" t="s">
        <v>56</v>
      </c>
      <c r="E566" t="str">
        <f>"778988278659"</f>
        <v>778988278659</v>
      </c>
      <c r="H566" t="s">
        <v>17</v>
      </c>
      <c r="I566">
        <v>95030075</v>
      </c>
      <c r="J566">
        <v>2</v>
      </c>
      <c r="K566">
        <v>1</v>
      </c>
      <c r="L566">
        <v>2</v>
      </c>
      <c r="M566">
        <v>1.4</v>
      </c>
      <c r="N566">
        <v>1.26</v>
      </c>
      <c r="O566">
        <v>8.4239999999999995</v>
      </c>
      <c r="P566">
        <v>16.847999999999999</v>
      </c>
      <c r="Q566">
        <v>21.41</v>
      </c>
      <c r="R566">
        <v>42.82</v>
      </c>
    </row>
    <row r="567" spans="1:18" x14ac:dyDescent="0.25">
      <c r="A567">
        <v>18770082</v>
      </c>
      <c r="B567">
        <v>953050</v>
      </c>
      <c r="C567" t="s">
        <v>61</v>
      </c>
      <c r="E567" t="str">
        <f>"5420023190383"</f>
        <v>5420023190383</v>
      </c>
      <c r="H567" t="s">
        <v>17</v>
      </c>
      <c r="I567">
        <v>95030075</v>
      </c>
      <c r="J567">
        <v>1</v>
      </c>
      <c r="K567">
        <v>2</v>
      </c>
      <c r="L567">
        <v>2</v>
      </c>
      <c r="M567">
        <v>3.05</v>
      </c>
      <c r="N567">
        <v>2.7450000000000001</v>
      </c>
      <c r="O567">
        <v>20.7</v>
      </c>
      <c r="P567">
        <v>41.4</v>
      </c>
      <c r="Q567">
        <v>13.23</v>
      </c>
      <c r="R567">
        <v>26.46</v>
      </c>
    </row>
    <row r="568" spans="1:18" x14ac:dyDescent="0.25">
      <c r="A568">
        <v>18770082</v>
      </c>
      <c r="B568">
        <v>953027</v>
      </c>
      <c r="C568" t="s">
        <v>74</v>
      </c>
      <c r="E568" t="str">
        <f>"5420023187949"</f>
        <v>5420023187949</v>
      </c>
      <c r="H568" t="s">
        <v>17</v>
      </c>
      <c r="I568">
        <v>95030075</v>
      </c>
      <c r="J568">
        <v>1</v>
      </c>
      <c r="K568">
        <v>2</v>
      </c>
      <c r="L568">
        <v>2</v>
      </c>
      <c r="M568">
        <v>2.7240000000000002</v>
      </c>
      <c r="N568">
        <v>2.452</v>
      </c>
      <c r="O568">
        <v>16.8</v>
      </c>
      <c r="P568">
        <v>33.6</v>
      </c>
      <c r="Q568">
        <v>10.69</v>
      </c>
      <c r="R568">
        <v>21.38</v>
      </c>
    </row>
    <row r="569" spans="1:18" x14ac:dyDescent="0.25">
      <c r="A569">
        <v>18770082</v>
      </c>
      <c r="B569">
        <v>1002458</v>
      </c>
      <c r="C569" t="s">
        <v>63</v>
      </c>
      <c r="E569" t="str">
        <f>"3296580428007"</f>
        <v>3296580428007</v>
      </c>
      <c r="H569" t="s">
        <v>17</v>
      </c>
      <c r="I569">
        <v>95030095</v>
      </c>
      <c r="J569">
        <v>1</v>
      </c>
      <c r="K569">
        <v>2</v>
      </c>
      <c r="L569">
        <v>2</v>
      </c>
      <c r="M569">
        <v>0.83199999999999996</v>
      </c>
      <c r="N569">
        <v>0.749</v>
      </c>
      <c r="O569">
        <v>0.90600000000000003</v>
      </c>
      <c r="P569">
        <v>1.8120000000000001</v>
      </c>
      <c r="Q569">
        <v>12.94</v>
      </c>
      <c r="R569">
        <v>25.88</v>
      </c>
    </row>
    <row r="570" spans="1:18" x14ac:dyDescent="0.25">
      <c r="A570">
        <v>18770082</v>
      </c>
      <c r="B570">
        <v>771176</v>
      </c>
      <c r="C570" t="s">
        <v>64</v>
      </c>
      <c r="E570" t="str">
        <f>"4891813836902"</f>
        <v>4891813836902</v>
      </c>
      <c r="H570" t="s">
        <v>17</v>
      </c>
      <c r="I570">
        <v>95030075</v>
      </c>
      <c r="J570">
        <v>1</v>
      </c>
      <c r="K570">
        <v>2</v>
      </c>
      <c r="L570">
        <v>2</v>
      </c>
      <c r="M570">
        <v>0.6</v>
      </c>
      <c r="N570">
        <v>0.54</v>
      </c>
      <c r="O570">
        <v>1.204</v>
      </c>
      <c r="P570">
        <v>2.4079999999999999</v>
      </c>
      <c r="Q570">
        <v>3.75</v>
      </c>
      <c r="R570">
        <v>7.5</v>
      </c>
    </row>
    <row r="571" spans="1:18" x14ac:dyDescent="0.25">
      <c r="A571">
        <v>18770082</v>
      </c>
      <c r="B571">
        <v>235101</v>
      </c>
      <c r="C571" t="s">
        <v>52</v>
      </c>
      <c r="E571" t="str">
        <f>"8710675085272"</f>
        <v>8710675085272</v>
      </c>
      <c r="F571" t="str">
        <f>"4005264182116"</f>
        <v>4005264182116</v>
      </c>
      <c r="G571" t="str">
        <f>"8710675056395"</f>
        <v>8710675056395</v>
      </c>
      <c r="H571" t="s">
        <v>17</v>
      </c>
      <c r="I571">
        <v>48119000</v>
      </c>
      <c r="J571">
        <v>60</v>
      </c>
      <c r="K571">
        <v>1</v>
      </c>
      <c r="L571">
        <v>60</v>
      </c>
      <c r="M571">
        <v>6.06</v>
      </c>
      <c r="N571">
        <v>5.4539999999999997</v>
      </c>
      <c r="O571">
        <v>1.2190000000000001</v>
      </c>
      <c r="P571">
        <v>73.14</v>
      </c>
      <c r="Q571">
        <v>0.42</v>
      </c>
      <c r="R571">
        <v>25.2</v>
      </c>
    </row>
    <row r="572" spans="1:18" x14ac:dyDescent="0.25">
      <c r="A572">
        <v>18770082</v>
      </c>
      <c r="B572">
        <v>200994</v>
      </c>
      <c r="C572" t="s">
        <v>59</v>
      </c>
      <c r="E572" t="str">
        <f>"4005264294123"</f>
        <v>4005264294123</v>
      </c>
      <c r="F572" t="str">
        <f>"4005264130131"</f>
        <v>4005264130131</v>
      </c>
      <c r="G572" t="str">
        <f>"5420042188798"</f>
        <v>5420042188798</v>
      </c>
      <c r="H572" t="s">
        <v>17</v>
      </c>
      <c r="I572">
        <v>48119000</v>
      </c>
      <c r="J572">
        <v>60</v>
      </c>
      <c r="K572">
        <v>1</v>
      </c>
      <c r="L572">
        <v>60</v>
      </c>
      <c r="M572">
        <v>6.6</v>
      </c>
      <c r="N572">
        <v>5.94</v>
      </c>
      <c r="O572">
        <v>1.1910000000000001</v>
      </c>
      <c r="P572">
        <v>71.459999999999994</v>
      </c>
      <c r="Q572">
        <v>0.3</v>
      </c>
      <c r="R572">
        <v>18</v>
      </c>
    </row>
    <row r="573" spans="1:18" x14ac:dyDescent="0.25">
      <c r="A573">
        <v>18770082</v>
      </c>
      <c r="B573">
        <v>916586</v>
      </c>
      <c r="C573" t="s">
        <v>58</v>
      </c>
      <c r="E573" t="str">
        <f>"4058653101540"</f>
        <v>4058653101540</v>
      </c>
      <c r="F573" t="str">
        <f>"4058653101359"</f>
        <v>4058653101359</v>
      </c>
      <c r="H573" t="s">
        <v>17</v>
      </c>
      <c r="I573">
        <v>48119000</v>
      </c>
      <c r="J573">
        <v>25</v>
      </c>
      <c r="K573">
        <v>1</v>
      </c>
      <c r="L573">
        <v>25</v>
      </c>
      <c r="M573">
        <v>5</v>
      </c>
      <c r="N573">
        <v>4.5</v>
      </c>
      <c r="O573">
        <v>1.9950000000000001</v>
      </c>
      <c r="P573">
        <v>49.875</v>
      </c>
      <c r="Q573">
        <v>1.91</v>
      </c>
      <c r="R573">
        <v>47.75</v>
      </c>
    </row>
    <row r="574" spans="1:18" x14ac:dyDescent="0.25">
      <c r="A574">
        <v>18770082</v>
      </c>
      <c r="B574">
        <v>369191</v>
      </c>
      <c r="C574" t="s">
        <v>57</v>
      </c>
      <c r="E574" t="str">
        <f>"8710675085289"</f>
        <v>8710675085289</v>
      </c>
      <c r="F574" t="str">
        <f>"8710675160061"</f>
        <v>8710675160061</v>
      </c>
      <c r="H574" t="s">
        <v>51</v>
      </c>
      <c r="I574">
        <v>48102200</v>
      </c>
      <c r="J574">
        <v>45</v>
      </c>
      <c r="K574">
        <v>1</v>
      </c>
      <c r="L574">
        <v>45</v>
      </c>
      <c r="M574">
        <v>9.7650000000000006</v>
      </c>
      <c r="N574">
        <v>8.7889999999999997</v>
      </c>
      <c r="O574">
        <v>1.056</v>
      </c>
      <c r="P574">
        <v>47.52</v>
      </c>
      <c r="Q574">
        <v>0.68</v>
      </c>
      <c r="R574">
        <v>30.6</v>
      </c>
    </row>
    <row r="575" spans="1:18" x14ac:dyDescent="0.25">
      <c r="A575">
        <v>18770082</v>
      </c>
      <c r="B575">
        <v>916596</v>
      </c>
      <c r="C575" t="s">
        <v>53</v>
      </c>
      <c r="E575" t="str">
        <f>"4058653100529"</f>
        <v>4058653100529</v>
      </c>
      <c r="H575" t="s">
        <v>54</v>
      </c>
      <c r="I575">
        <v>48119000</v>
      </c>
      <c r="J575">
        <v>10</v>
      </c>
      <c r="K575">
        <v>1</v>
      </c>
      <c r="L575">
        <v>10</v>
      </c>
      <c r="M575">
        <v>1.66</v>
      </c>
      <c r="N575">
        <v>1.494</v>
      </c>
      <c r="O575">
        <v>0.6</v>
      </c>
      <c r="P575">
        <v>6</v>
      </c>
      <c r="Q575">
        <v>0.3</v>
      </c>
      <c r="R575">
        <v>3</v>
      </c>
    </row>
    <row r="576" spans="1:18" x14ac:dyDescent="0.25">
      <c r="A576">
        <v>18770082</v>
      </c>
      <c r="B576">
        <v>907296</v>
      </c>
      <c r="C576" t="s">
        <v>60</v>
      </c>
      <c r="E576" t="str">
        <f>"5420023187734"</f>
        <v>5420023187734</v>
      </c>
      <c r="H576" t="s">
        <v>17</v>
      </c>
      <c r="I576">
        <v>95030075</v>
      </c>
      <c r="J576">
        <v>1</v>
      </c>
      <c r="K576">
        <v>2</v>
      </c>
      <c r="L576">
        <v>2</v>
      </c>
      <c r="M576">
        <v>3.3319999999999999</v>
      </c>
      <c r="N576">
        <v>2.9990000000000001</v>
      </c>
      <c r="O576">
        <v>18.149999999999999</v>
      </c>
      <c r="P576">
        <v>36.299999999999997</v>
      </c>
      <c r="Q576">
        <v>20.09</v>
      </c>
      <c r="R576">
        <v>40.18</v>
      </c>
    </row>
    <row r="577" spans="1:18" x14ac:dyDescent="0.25">
      <c r="A577">
        <v>18770082</v>
      </c>
      <c r="B577">
        <v>999585</v>
      </c>
      <c r="C577" t="s">
        <v>68</v>
      </c>
      <c r="E577" t="str">
        <f>"778988418369"</f>
        <v>778988418369</v>
      </c>
      <c r="H577" t="s">
        <v>69</v>
      </c>
      <c r="I577">
        <v>95030085</v>
      </c>
      <c r="J577">
        <v>6</v>
      </c>
      <c r="K577">
        <v>1</v>
      </c>
      <c r="L577">
        <v>6</v>
      </c>
      <c r="M577">
        <v>0.85799999999999998</v>
      </c>
      <c r="N577">
        <v>0.77200000000000002</v>
      </c>
      <c r="O577">
        <v>0.86699999999999999</v>
      </c>
      <c r="P577">
        <v>5.202</v>
      </c>
      <c r="Q577">
        <v>5.78</v>
      </c>
      <c r="R577">
        <v>34.68</v>
      </c>
    </row>
    <row r="578" spans="1:18" x14ac:dyDescent="0.25">
      <c r="A578">
        <v>18770082</v>
      </c>
      <c r="B578">
        <v>602859</v>
      </c>
      <c r="C578" t="s">
        <v>88</v>
      </c>
      <c r="E578" t="str">
        <f>"5010993812851"</f>
        <v>5010993812851</v>
      </c>
      <c r="F578" t="str">
        <f>"5010994941796"</f>
        <v>5010994941796</v>
      </c>
      <c r="G578" t="str">
        <f>"5010993591855"</f>
        <v>5010993591855</v>
      </c>
      <c r="H578" t="s">
        <v>69</v>
      </c>
      <c r="I578">
        <v>95030049</v>
      </c>
      <c r="J578">
        <v>4</v>
      </c>
      <c r="K578">
        <v>1</v>
      </c>
      <c r="L578">
        <v>4</v>
      </c>
      <c r="M578">
        <v>2.48</v>
      </c>
      <c r="N578">
        <v>2.2320000000000002</v>
      </c>
      <c r="O578">
        <v>1.9359999999999999</v>
      </c>
      <c r="P578">
        <v>7.7439999999999998</v>
      </c>
      <c r="Q578">
        <v>11.17</v>
      </c>
      <c r="R578">
        <v>44.68</v>
      </c>
    </row>
    <row r="579" spans="1:18" x14ac:dyDescent="0.25">
      <c r="A579">
        <v>18770082</v>
      </c>
      <c r="B579">
        <v>1008075</v>
      </c>
      <c r="C579" t="s">
        <v>87</v>
      </c>
      <c r="E579" t="str">
        <f>"5010993789344"</f>
        <v>5010993789344</v>
      </c>
      <c r="H579" t="s">
        <v>17</v>
      </c>
      <c r="I579">
        <v>95030021</v>
      </c>
      <c r="J579">
        <v>1</v>
      </c>
      <c r="K579">
        <v>2</v>
      </c>
      <c r="L579">
        <v>2</v>
      </c>
      <c r="M579">
        <v>0.65</v>
      </c>
      <c r="N579">
        <v>0.58499999999999996</v>
      </c>
      <c r="O579">
        <v>1.79</v>
      </c>
      <c r="P579">
        <v>3.58</v>
      </c>
      <c r="Q579">
        <v>11.17</v>
      </c>
      <c r="R579">
        <v>22.34</v>
      </c>
    </row>
    <row r="580" spans="1:18" x14ac:dyDescent="0.25">
      <c r="A580">
        <v>18770082</v>
      </c>
      <c r="B580">
        <v>1005426</v>
      </c>
      <c r="C580" t="s">
        <v>86</v>
      </c>
      <c r="E580" t="str">
        <f>"3301040321351"</f>
        <v>3301040321351</v>
      </c>
      <c r="H580" t="s">
        <v>17</v>
      </c>
      <c r="I580">
        <v>95030095</v>
      </c>
      <c r="J580">
        <v>12</v>
      </c>
      <c r="K580">
        <v>1</v>
      </c>
      <c r="L580">
        <v>12</v>
      </c>
      <c r="M580">
        <v>0.66</v>
      </c>
      <c r="N580">
        <v>0.59399999999999997</v>
      </c>
      <c r="O580">
        <v>0.33300000000000002</v>
      </c>
      <c r="P580">
        <v>3.996</v>
      </c>
      <c r="Q580">
        <v>0.81</v>
      </c>
      <c r="R580">
        <v>9.7200000000000006</v>
      </c>
    </row>
    <row r="581" spans="1:18" x14ac:dyDescent="0.25">
      <c r="A581">
        <v>18770082</v>
      </c>
      <c r="B581">
        <v>1008055</v>
      </c>
      <c r="C581" t="s">
        <v>85</v>
      </c>
      <c r="E581" t="str">
        <f>"5010993797806"</f>
        <v>5010993797806</v>
      </c>
      <c r="H581" t="s">
        <v>17</v>
      </c>
      <c r="I581">
        <v>95030049</v>
      </c>
      <c r="J581">
        <v>1</v>
      </c>
      <c r="K581">
        <v>2</v>
      </c>
      <c r="L581">
        <v>2</v>
      </c>
      <c r="M581">
        <v>0.6</v>
      </c>
      <c r="N581">
        <v>0.54</v>
      </c>
      <c r="O581">
        <v>1.875</v>
      </c>
      <c r="P581">
        <v>3.75</v>
      </c>
      <c r="Q581">
        <v>11.17</v>
      </c>
      <c r="R581">
        <v>22.34</v>
      </c>
    </row>
    <row r="582" spans="1:18" x14ac:dyDescent="0.25">
      <c r="A582">
        <v>18770082</v>
      </c>
      <c r="B582">
        <v>1002446</v>
      </c>
      <c r="C582" t="s">
        <v>82</v>
      </c>
      <c r="E582" t="str">
        <f>"3296580369300"</f>
        <v>3296580369300</v>
      </c>
      <c r="H582" t="s">
        <v>17</v>
      </c>
      <c r="I582">
        <v>95030021</v>
      </c>
      <c r="J582">
        <v>1</v>
      </c>
      <c r="K582">
        <v>1</v>
      </c>
      <c r="L582">
        <v>1</v>
      </c>
      <c r="M582">
        <v>0.25</v>
      </c>
      <c r="N582">
        <v>0.22500000000000001</v>
      </c>
      <c r="O582">
        <v>2.484</v>
      </c>
      <c r="P582">
        <v>2.484</v>
      </c>
      <c r="Q582">
        <v>12.94</v>
      </c>
      <c r="R582">
        <v>12.94</v>
      </c>
    </row>
    <row r="583" spans="1:18" x14ac:dyDescent="0.25">
      <c r="A583">
        <v>18770082</v>
      </c>
      <c r="B583">
        <v>991143</v>
      </c>
      <c r="C583" t="s">
        <v>81</v>
      </c>
      <c r="E583" t="str">
        <f>"3491955645533"</f>
        <v>3491955645533</v>
      </c>
      <c r="H583" t="s">
        <v>17</v>
      </c>
      <c r="I583">
        <v>95030095</v>
      </c>
      <c r="J583">
        <v>6</v>
      </c>
      <c r="K583">
        <v>1</v>
      </c>
      <c r="L583">
        <v>6</v>
      </c>
      <c r="M583">
        <v>4.9980000000000002</v>
      </c>
      <c r="N583">
        <v>4.4980000000000002</v>
      </c>
      <c r="O583">
        <v>4.1059999999999999</v>
      </c>
      <c r="P583">
        <v>24.635999999999999</v>
      </c>
      <c r="Q583">
        <v>3.33</v>
      </c>
      <c r="R583">
        <v>19.98</v>
      </c>
    </row>
    <row r="584" spans="1:18" x14ac:dyDescent="0.25">
      <c r="A584">
        <v>18770082</v>
      </c>
      <c r="B584">
        <v>948639</v>
      </c>
      <c r="C584" t="s">
        <v>83</v>
      </c>
      <c r="E584" t="str">
        <f>"778988329368"</f>
        <v>778988329368</v>
      </c>
      <c r="F584" t="str">
        <f>"778988389478"</f>
        <v>778988389478</v>
      </c>
      <c r="H584" t="s">
        <v>17</v>
      </c>
      <c r="I584">
        <v>95030095</v>
      </c>
      <c r="J584">
        <v>3</v>
      </c>
      <c r="K584">
        <v>1</v>
      </c>
      <c r="L584">
        <v>3</v>
      </c>
      <c r="M584">
        <v>1.548</v>
      </c>
      <c r="N584">
        <v>1.393</v>
      </c>
      <c r="O584">
        <v>4.18</v>
      </c>
      <c r="P584">
        <v>12.54</v>
      </c>
      <c r="Q584">
        <v>17.36</v>
      </c>
      <c r="R584">
        <v>52.08</v>
      </c>
    </row>
    <row r="585" spans="1:18" x14ac:dyDescent="0.25">
      <c r="A585">
        <v>18770082</v>
      </c>
      <c r="B585">
        <v>962481</v>
      </c>
      <c r="C585" t="s">
        <v>89</v>
      </c>
      <c r="E585" t="str">
        <f>"5413247092489"</f>
        <v>5413247092489</v>
      </c>
      <c r="H585" t="s">
        <v>17</v>
      </c>
      <c r="I585">
        <v>95030049</v>
      </c>
      <c r="J585">
        <v>1</v>
      </c>
      <c r="K585">
        <v>3</v>
      </c>
      <c r="L585">
        <v>3</v>
      </c>
      <c r="M585">
        <v>1.8120000000000001</v>
      </c>
      <c r="N585">
        <v>1.631</v>
      </c>
      <c r="O585">
        <v>6.1879999999999997</v>
      </c>
      <c r="P585">
        <v>18.564</v>
      </c>
      <c r="Q585">
        <v>6.28</v>
      </c>
      <c r="R585">
        <v>18.84</v>
      </c>
    </row>
    <row r="586" spans="1:18" x14ac:dyDescent="0.25">
      <c r="A586">
        <v>18770082</v>
      </c>
      <c r="B586">
        <v>1002461</v>
      </c>
      <c r="C586" t="s">
        <v>72</v>
      </c>
      <c r="E586" t="str">
        <f>"3296580369003"</f>
        <v>3296580369003</v>
      </c>
      <c r="H586" t="s">
        <v>17</v>
      </c>
      <c r="I586">
        <v>95030021</v>
      </c>
      <c r="J586">
        <v>1</v>
      </c>
      <c r="K586">
        <v>1</v>
      </c>
      <c r="L586">
        <v>1</v>
      </c>
      <c r="M586">
        <v>0.25</v>
      </c>
      <c r="N586">
        <v>0.22500000000000001</v>
      </c>
      <c r="O586">
        <v>2.484</v>
      </c>
      <c r="P586">
        <v>2.484</v>
      </c>
      <c r="Q586">
        <v>12.94</v>
      </c>
      <c r="R586">
        <v>12.94</v>
      </c>
    </row>
    <row r="587" spans="1:18" x14ac:dyDescent="0.25">
      <c r="A587">
        <v>18770082</v>
      </c>
      <c r="B587">
        <v>667941</v>
      </c>
      <c r="C587" t="s">
        <v>71</v>
      </c>
      <c r="E587" t="str">
        <f>"3491953189022"</f>
        <v>3491953189022</v>
      </c>
      <c r="F587" t="str">
        <f>"3491955529635"</f>
        <v>3491955529635</v>
      </c>
      <c r="H587" t="s">
        <v>17</v>
      </c>
      <c r="I587">
        <v>95030049</v>
      </c>
      <c r="J587">
        <v>6</v>
      </c>
      <c r="K587">
        <v>1</v>
      </c>
      <c r="L587">
        <v>6</v>
      </c>
      <c r="M587">
        <v>7.9980000000000002</v>
      </c>
      <c r="N587">
        <v>7.1980000000000004</v>
      </c>
      <c r="O587">
        <v>24.05</v>
      </c>
      <c r="P587">
        <v>144.30000000000001</v>
      </c>
      <c r="Q587">
        <v>14.95</v>
      </c>
      <c r="R587">
        <v>89.7</v>
      </c>
    </row>
    <row r="588" spans="1:18" x14ac:dyDescent="0.25">
      <c r="A588">
        <v>18770082</v>
      </c>
      <c r="B588">
        <v>999772</v>
      </c>
      <c r="C588" t="s">
        <v>70</v>
      </c>
      <c r="E588" t="str">
        <f>"5400868013443"</f>
        <v>5400868013443</v>
      </c>
      <c r="H588" t="s">
        <v>17</v>
      </c>
      <c r="I588">
        <v>95030049</v>
      </c>
      <c r="J588">
        <v>1</v>
      </c>
      <c r="K588">
        <v>2</v>
      </c>
      <c r="L588">
        <v>2</v>
      </c>
      <c r="M588">
        <v>0.51600000000000001</v>
      </c>
      <c r="N588">
        <v>0.46400000000000002</v>
      </c>
      <c r="O588">
        <v>4.0250000000000004</v>
      </c>
      <c r="P588">
        <v>8.0500000000000007</v>
      </c>
      <c r="Q588">
        <v>4.68</v>
      </c>
      <c r="R588">
        <v>9.36</v>
      </c>
    </row>
    <row r="589" spans="1:18" x14ac:dyDescent="0.25">
      <c r="A589">
        <v>18770082</v>
      </c>
      <c r="B589">
        <v>999773</v>
      </c>
      <c r="C589" t="s">
        <v>80</v>
      </c>
      <c r="E589" t="str">
        <f>"5400868013467"</f>
        <v>5400868013467</v>
      </c>
      <c r="H589" t="s">
        <v>17</v>
      </c>
      <c r="I589">
        <v>95030049</v>
      </c>
      <c r="J589">
        <v>1</v>
      </c>
      <c r="K589">
        <v>2</v>
      </c>
      <c r="L589">
        <v>2</v>
      </c>
      <c r="M589">
        <v>2.1659999999999999</v>
      </c>
      <c r="N589">
        <v>1.9490000000000001</v>
      </c>
      <c r="O589">
        <v>14.592000000000001</v>
      </c>
      <c r="P589">
        <v>29.184000000000001</v>
      </c>
      <c r="Q589">
        <v>12.26</v>
      </c>
      <c r="R589">
        <v>24.52</v>
      </c>
    </row>
    <row r="590" spans="1:18" x14ac:dyDescent="0.25">
      <c r="A590">
        <v>18770082</v>
      </c>
      <c r="B590">
        <v>962196</v>
      </c>
      <c r="C590" t="s">
        <v>55</v>
      </c>
      <c r="E590" t="str">
        <f>"8710675135175"</f>
        <v>8710675135175</v>
      </c>
      <c r="F590" t="str">
        <f>"8710675220109"</f>
        <v>8710675220109</v>
      </c>
      <c r="H590" t="s">
        <v>51</v>
      </c>
      <c r="I590">
        <v>48102200</v>
      </c>
      <c r="J590">
        <v>16</v>
      </c>
      <c r="K590">
        <v>1</v>
      </c>
      <c r="L590">
        <v>16</v>
      </c>
      <c r="M590">
        <v>6.992</v>
      </c>
      <c r="N590">
        <v>6.2930000000000001</v>
      </c>
      <c r="O590">
        <v>3.2810000000000001</v>
      </c>
      <c r="P590">
        <v>52.496000000000002</v>
      </c>
      <c r="Q590">
        <v>1.1100000000000001</v>
      </c>
      <c r="R590">
        <v>17.760000000000002</v>
      </c>
    </row>
    <row r="591" spans="1:18" x14ac:dyDescent="0.25">
      <c r="A591">
        <v>18770082</v>
      </c>
      <c r="B591">
        <v>759349</v>
      </c>
      <c r="C591" t="s">
        <v>50</v>
      </c>
      <c r="E591" t="str">
        <f>"3491953393436"</f>
        <v>3491953393436</v>
      </c>
      <c r="F591" t="str">
        <f>"8710675164250"</f>
        <v>8710675164250</v>
      </c>
      <c r="H591" t="s">
        <v>51</v>
      </c>
      <c r="I591">
        <v>48114900</v>
      </c>
      <c r="J591">
        <v>36</v>
      </c>
      <c r="K591">
        <v>1</v>
      </c>
      <c r="L591">
        <v>36</v>
      </c>
      <c r="M591">
        <v>3.996</v>
      </c>
      <c r="N591">
        <v>3.5960000000000001</v>
      </c>
      <c r="O591">
        <v>1.32</v>
      </c>
      <c r="P591">
        <v>47.52</v>
      </c>
      <c r="Q591">
        <v>0.76</v>
      </c>
      <c r="R591">
        <v>27.36</v>
      </c>
    </row>
    <row r="592" spans="1:18" x14ac:dyDescent="0.25">
      <c r="A592">
        <v>18770082</v>
      </c>
      <c r="B592">
        <v>968406</v>
      </c>
      <c r="C592" t="s">
        <v>47</v>
      </c>
      <c r="E592" t="str">
        <f>"194099027359"</f>
        <v>194099027359</v>
      </c>
      <c r="H592" t="s">
        <v>17</v>
      </c>
      <c r="I592">
        <v>62114390</v>
      </c>
      <c r="J592">
        <v>1</v>
      </c>
      <c r="K592">
        <v>4</v>
      </c>
      <c r="L592">
        <v>4</v>
      </c>
      <c r="M592">
        <v>1.54</v>
      </c>
      <c r="N592">
        <v>1.3859999999999999</v>
      </c>
      <c r="O592">
        <v>5.28</v>
      </c>
      <c r="P592">
        <v>21.12</v>
      </c>
      <c r="Q592">
        <v>12.47</v>
      </c>
      <c r="R592">
        <v>49.88</v>
      </c>
    </row>
    <row r="593" spans="1:18" x14ac:dyDescent="0.25">
      <c r="A593">
        <v>18770082</v>
      </c>
      <c r="B593">
        <v>968396</v>
      </c>
      <c r="C593" t="s">
        <v>49</v>
      </c>
      <c r="E593" t="str">
        <f>"194099027366"</f>
        <v>194099027366</v>
      </c>
      <c r="H593" t="s">
        <v>17</v>
      </c>
      <c r="I593">
        <v>62114390</v>
      </c>
      <c r="J593">
        <v>1</v>
      </c>
      <c r="K593">
        <v>4</v>
      </c>
      <c r="L593">
        <v>4</v>
      </c>
      <c r="M593">
        <v>2.08</v>
      </c>
      <c r="N593">
        <v>1.8720000000000001</v>
      </c>
      <c r="O593">
        <v>4.4630000000000001</v>
      </c>
      <c r="P593">
        <v>17.852</v>
      </c>
      <c r="Q593">
        <v>12.47</v>
      </c>
      <c r="R593">
        <v>49.88</v>
      </c>
    </row>
    <row r="594" spans="1:18" x14ac:dyDescent="0.25">
      <c r="A594">
        <v>18770082</v>
      </c>
      <c r="B594">
        <v>1007226</v>
      </c>
      <c r="C594" t="s">
        <v>44</v>
      </c>
      <c r="E594" t="str">
        <f>"820650554629"</f>
        <v>820650554629</v>
      </c>
      <c r="H594" t="s">
        <v>45</v>
      </c>
      <c r="I594">
        <v>95044000</v>
      </c>
      <c r="J594">
        <v>1</v>
      </c>
      <c r="K594">
        <v>2</v>
      </c>
      <c r="L594">
        <v>2</v>
      </c>
      <c r="M594">
        <v>1.444</v>
      </c>
      <c r="N594">
        <v>1.3</v>
      </c>
      <c r="O594">
        <v>3.3119999999999998</v>
      </c>
      <c r="P594">
        <v>6.6239999999999997</v>
      </c>
      <c r="Q594">
        <v>26.12</v>
      </c>
      <c r="R594">
        <v>52.24</v>
      </c>
    </row>
    <row r="595" spans="1:18" x14ac:dyDescent="0.25">
      <c r="A595">
        <v>18770082</v>
      </c>
      <c r="B595">
        <v>968385</v>
      </c>
      <c r="C595" t="s">
        <v>46</v>
      </c>
      <c r="E595" t="str">
        <f>"194099027342"</f>
        <v>194099027342</v>
      </c>
      <c r="H595" t="s">
        <v>17</v>
      </c>
      <c r="I595">
        <v>62114390</v>
      </c>
      <c r="J595">
        <v>1</v>
      </c>
      <c r="K595">
        <v>2</v>
      </c>
      <c r="L595">
        <v>2</v>
      </c>
      <c r="M595">
        <v>0.69</v>
      </c>
      <c r="N595">
        <v>0.621</v>
      </c>
      <c r="O595">
        <v>5.28</v>
      </c>
      <c r="P595">
        <v>10.56</v>
      </c>
      <c r="Q595">
        <v>12.47</v>
      </c>
      <c r="R595">
        <v>24.94</v>
      </c>
    </row>
    <row r="596" spans="1:18" x14ac:dyDescent="0.25">
      <c r="A596">
        <v>18770082</v>
      </c>
      <c r="B596">
        <v>968407</v>
      </c>
      <c r="C596" t="s">
        <v>48</v>
      </c>
      <c r="E596" t="str">
        <f>"194099027373"</f>
        <v>194099027373</v>
      </c>
      <c r="H596" t="s">
        <v>17</v>
      </c>
      <c r="I596">
        <v>62114390</v>
      </c>
      <c r="J596">
        <v>1</v>
      </c>
      <c r="K596">
        <v>5</v>
      </c>
      <c r="L596">
        <v>5</v>
      </c>
      <c r="M596">
        <v>1.925</v>
      </c>
      <c r="N596">
        <v>1.7330000000000001</v>
      </c>
      <c r="O596">
        <v>5.76</v>
      </c>
      <c r="P596">
        <v>28.8</v>
      </c>
      <c r="Q596">
        <v>12.47</v>
      </c>
      <c r="R596">
        <v>62.35</v>
      </c>
    </row>
    <row r="597" spans="1:18" x14ac:dyDescent="0.25">
      <c r="A597">
        <v>18770082</v>
      </c>
      <c r="B597">
        <v>1000267</v>
      </c>
      <c r="C597" t="s">
        <v>79</v>
      </c>
      <c r="E597" t="str">
        <f>"5413247094711"</f>
        <v>5413247094711</v>
      </c>
      <c r="H597" t="s">
        <v>17</v>
      </c>
      <c r="I597">
        <v>95030049</v>
      </c>
      <c r="J597">
        <v>12</v>
      </c>
      <c r="K597">
        <v>1</v>
      </c>
      <c r="L597">
        <v>12</v>
      </c>
      <c r="M597">
        <v>0.624</v>
      </c>
      <c r="N597">
        <v>0.56200000000000006</v>
      </c>
      <c r="O597">
        <v>0.64500000000000002</v>
      </c>
      <c r="P597">
        <v>7.74</v>
      </c>
      <c r="Q597">
        <v>0.76</v>
      </c>
      <c r="R597">
        <v>9.1199999999999992</v>
      </c>
    </row>
    <row r="598" spans="1:18" x14ac:dyDescent="0.25">
      <c r="A598">
        <v>18770082</v>
      </c>
      <c r="B598">
        <v>957389</v>
      </c>
      <c r="C598" t="s">
        <v>78</v>
      </c>
      <c r="E598" t="str">
        <f>"5400868008142"</f>
        <v>5400868008142</v>
      </c>
      <c r="F598" t="str">
        <f>"5400868017724"</f>
        <v>5400868017724</v>
      </c>
      <c r="H598" t="s">
        <v>17</v>
      </c>
      <c r="I598">
        <v>95030070</v>
      </c>
      <c r="J598">
        <v>6</v>
      </c>
      <c r="K598">
        <v>1</v>
      </c>
      <c r="L598">
        <v>6</v>
      </c>
      <c r="M598">
        <v>6.4980000000000002</v>
      </c>
      <c r="N598">
        <v>5.8479999999999999</v>
      </c>
      <c r="O598">
        <v>14.058</v>
      </c>
      <c r="P598">
        <v>84.347999999999999</v>
      </c>
      <c r="Q598">
        <v>12.47</v>
      </c>
      <c r="R598">
        <v>74.819999999999993</v>
      </c>
    </row>
    <row r="599" spans="1:18" x14ac:dyDescent="0.25">
      <c r="A599">
        <v>18770082</v>
      </c>
      <c r="B599">
        <v>999687</v>
      </c>
      <c r="C599" t="s">
        <v>66</v>
      </c>
      <c r="E599" t="str">
        <f>"4891813886143"</f>
        <v>4891813886143</v>
      </c>
      <c r="H599" t="s">
        <v>17</v>
      </c>
      <c r="I599">
        <v>95030049</v>
      </c>
      <c r="J599">
        <v>1</v>
      </c>
      <c r="K599">
        <v>2</v>
      </c>
      <c r="L599">
        <v>2</v>
      </c>
      <c r="M599">
        <v>0.45200000000000001</v>
      </c>
      <c r="N599">
        <v>0.40699999999999997</v>
      </c>
      <c r="O599">
        <v>3.75</v>
      </c>
      <c r="P599">
        <v>7.5</v>
      </c>
      <c r="Q599">
        <v>10.15</v>
      </c>
      <c r="R599">
        <v>20.3</v>
      </c>
    </row>
    <row r="600" spans="1:18" x14ac:dyDescent="0.25">
      <c r="A600">
        <v>18770082</v>
      </c>
      <c r="B600">
        <v>1001729</v>
      </c>
      <c r="C600" t="s">
        <v>67</v>
      </c>
      <c r="E600" t="str">
        <f>"887961991307"</f>
        <v>887961991307</v>
      </c>
      <c r="H600" t="s">
        <v>17</v>
      </c>
      <c r="I600">
        <v>95030021</v>
      </c>
      <c r="J600">
        <v>1</v>
      </c>
      <c r="K600">
        <v>2</v>
      </c>
      <c r="L600">
        <v>2</v>
      </c>
      <c r="M600">
        <v>0.69199999999999995</v>
      </c>
      <c r="N600">
        <v>0.623</v>
      </c>
      <c r="O600">
        <v>5.2</v>
      </c>
      <c r="P600">
        <v>10.4</v>
      </c>
      <c r="Q600">
        <v>7.05</v>
      </c>
      <c r="R600">
        <v>14.1</v>
      </c>
    </row>
    <row r="601" spans="1:18" x14ac:dyDescent="0.25">
      <c r="A601">
        <v>18796304</v>
      </c>
      <c r="B601">
        <v>978085</v>
      </c>
      <c r="C601" t="s">
        <v>110</v>
      </c>
      <c r="E601" t="str">
        <f>"2000007084070"</f>
        <v>2000007084070</v>
      </c>
      <c r="H601" t="s">
        <v>17</v>
      </c>
      <c r="I601">
        <v>39262000</v>
      </c>
      <c r="J601">
        <v>2</v>
      </c>
      <c r="K601">
        <v>1</v>
      </c>
      <c r="L601">
        <v>2</v>
      </c>
      <c r="M601">
        <v>2E-3</v>
      </c>
      <c r="N601">
        <v>2E-3</v>
      </c>
      <c r="O601">
        <v>0.26900000000000002</v>
      </c>
      <c r="P601">
        <v>0.53800000000000003</v>
      </c>
      <c r="Q601">
        <v>0.86</v>
      </c>
      <c r="R601">
        <v>1.72</v>
      </c>
    </row>
    <row r="602" spans="1:18" x14ac:dyDescent="0.25">
      <c r="A602">
        <v>18796304</v>
      </c>
      <c r="B602">
        <v>978084</v>
      </c>
      <c r="C602" t="s">
        <v>111</v>
      </c>
      <c r="E602" t="str">
        <f>"2000007084063"</f>
        <v>2000007084063</v>
      </c>
      <c r="H602" t="s">
        <v>17</v>
      </c>
      <c r="I602">
        <v>39262000</v>
      </c>
      <c r="J602">
        <v>2</v>
      </c>
      <c r="K602">
        <v>2</v>
      </c>
      <c r="L602">
        <v>4</v>
      </c>
      <c r="M602">
        <v>0.22</v>
      </c>
      <c r="N602">
        <v>0.19800000000000001</v>
      </c>
      <c r="O602">
        <v>0.01</v>
      </c>
      <c r="P602">
        <v>0.04</v>
      </c>
      <c r="Q602">
        <v>0.86</v>
      </c>
      <c r="R602">
        <v>3.44</v>
      </c>
    </row>
    <row r="603" spans="1:18" x14ac:dyDescent="0.25">
      <c r="A603">
        <v>18796304</v>
      </c>
      <c r="B603">
        <v>980743</v>
      </c>
      <c r="C603" t="s">
        <v>120</v>
      </c>
      <c r="E603" t="str">
        <f>"2000007086890"</f>
        <v>2000007086890</v>
      </c>
      <c r="H603" t="s">
        <v>101</v>
      </c>
      <c r="I603">
        <v>61046300</v>
      </c>
      <c r="J603">
        <v>6</v>
      </c>
      <c r="K603">
        <v>1</v>
      </c>
      <c r="L603">
        <v>6</v>
      </c>
      <c r="M603">
        <v>1.6739999999999999</v>
      </c>
      <c r="N603">
        <v>1.5069999999999999</v>
      </c>
      <c r="O603">
        <v>2.2029999999999998</v>
      </c>
      <c r="P603">
        <v>13.218</v>
      </c>
      <c r="Q603">
        <v>5.68</v>
      </c>
      <c r="R603">
        <v>34.08</v>
      </c>
    </row>
    <row r="604" spans="1:18" x14ac:dyDescent="0.25">
      <c r="A604">
        <v>18796304</v>
      </c>
      <c r="B604">
        <v>977042</v>
      </c>
      <c r="C604" t="s">
        <v>135</v>
      </c>
      <c r="E604" t="str">
        <f>"2000007059559"</f>
        <v>2000007059559</v>
      </c>
      <c r="H604" t="s">
        <v>17</v>
      </c>
      <c r="I604">
        <v>61082200</v>
      </c>
      <c r="J604">
        <v>8</v>
      </c>
      <c r="K604">
        <v>1</v>
      </c>
      <c r="L604">
        <v>8</v>
      </c>
      <c r="M604">
        <v>0.76800000000000002</v>
      </c>
      <c r="N604">
        <v>0.69099999999999995</v>
      </c>
      <c r="O604">
        <v>1E-3</v>
      </c>
      <c r="P604">
        <v>8.0000000000000002E-3</v>
      </c>
      <c r="Q604">
        <v>2.93</v>
      </c>
      <c r="R604">
        <v>23.44</v>
      </c>
    </row>
    <row r="605" spans="1:18" x14ac:dyDescent="0.25">
      <c r="A605">
        <v>18796304</v>
      </c>
      <c r="B605">
        <v>981408</v>
      </c>
      <c r="C605" t="s">
        <v>568</v>
      </c>
      <c r="E605" t="str">
        <f>"2000007059542"</f>
        <v>2000007059542</v>
      </c>
      <c r="H605" t="s">
        <v>17</v>
      </c>
      <c r="I605">
        <v>62121090</v>
      </c>
      <c r="J605">
        <v>8</v>
      </c>
      <c r="K605">
        <v>1</v>
      </c>
      <c r="L605">
        <v>8</v>
      </c>
      <c r="M605">
        <v>0.624</v>
      </c>
      <c r="N605">
        <v>0.56200000000000006</v>
      </c>
      <c r="O605">
        <v>0.83599999999999997</v>
      </c>
      <c r="P605">
        <v>6.6879999999999997</v>
      </c>
      <c r="Q605">
        <v>3.25</v>
      </c>
      <c r="R605">
        <v>26</v>
      </c>
    </row>
    <row r="606" spans="1:18" x14ac:dyDescent="0.25">
      <c r="A606">
        <v>18796304</v>
      </c>
      <c r="B606">
        <v>980687</v>
      </c>
      <c r="C606" t="s">
        <v>569</v>
      </c>
      <c r="E606" t="str">
        <f>"2000007061910"</f>
        <v>2000007061910</v>
      </c>
      <c r="H606" t="s">
        <v>17</v>
      </c>
      <c r="I606">
        <v>61159500</v>
      </c>
      <c r="J606">
        <v>12</v>
      </c>
      <c r="K606">
        <v>2</v>
      </c>
      <c r="L606">
        <v>24</v>
      </c>
      <c r="M606">
        <v>2.4239999999999999</v>
      </c>
      <c r="N606">
        <v>2.1819999999999999</v>
      </c>
      <c r="O606">
        <v>0.625</v>
      </c>
      <c r="P606">
        <v>15</v>
      </c>
      <c r="Q606">
        <v>1.36</v>
      </c>
      <c r="R606">
        <v>32.64</v>
      </c>
    </row>
    <row r="607" spans="1:18" x14ac:dyDescent="0.25">
      <c r="A607">
        <v>18796304</v>
      </c>
      <c r="B607">
        <v>980637</v>
      </c>
      <c r="C607" t="s">
        <v>125</v>
      </c>
      <c r="E607" t="str">
        <f>"2000007113992"</f>
        <v>2000007113992</v>
      </c>
      <c r="H607" t="s">
        <v>97</v>
      </c>
      <c r="I607">
        <v>61044300</v>
      </c>
      <c r="J607">
        <v>6</v>
      </c>
      <c r="K607">
        <v>1</v>
      </c>
      <c r="L607">
        <v>6</v>
      </c>
      <c r="M607">
        <v>1.3140000000000001</v>
      </c>
      <c r="N607">
        <v>1.1830000000000001</v>
      </c>
      <c r="O607">
        <v>1.6379999999999999</v>
      </c>
      <c r="P607">
        <v>9.8279999999999994</v>
      </c>
      <c r="Q607">
        <v>6.95</v>
      </c>
      <c r="R607">
        <v>41.7</v>
      </c>
    </row>
    <row r="608" spans="1:18" x14ac:dyDescent="0.25">
      <c r="A608">
        <v>18796304</v>
      </c>
      <c r="B608">
        <v>980715</v>
      </c>
      <c r="C608" t="s">
        <v>126</v>
      </c>
      <c r="E608" t="str">
        <f>"2000007114937"</f>
        <v>2000007114937</v>
      </c>
      <c r="H608" t="s">
        <v>97</v>
      </c>
      <c r="I608">
        <v>62044990</v>
      </c>
      <c r="J608">
        <v>1</v>
      </c>
      <c r="K608">
        <v>6</v>
      </c>
      <c r="L608">
        <v>6</v>
      </c>
      <c r="M608">
        <v>1.458</v>
      </c>
      <c r="N608">
        <v>1.3120000000000001</v>
      </c>
      <c r="O608">
        <v>2</v>
      </c>
      <c r="P608">
        <v>12</v>
      </c>
      <c r="Q608">
        <v>8.3000000000000007</v>
      </c>
      <c r="R608">
        <v>49.8</v>
      </c>
    </row>
    <row r="609" spans="1:18" x14ac:dyDescent="0.25">
      <c r="A609">
        <v>18796304</v>
      </c>
      <c r="B609">
        <v>980887</v>
      </c>
      <c r="C609" t="s">
        <v>119</v>
      </c>
      <c r="E609" t="str">
        <f>"2000007079380"</f>
        <v>2000007079380</v>
      </c>
      <c r="H609" t="s">
        <v>95</v>
      </c>
      <c r="I609">
        <v>61109090</v>
      </c>
      <c r="J609">
        <v>6</v>
      </c>
      <c r="K609">
        <v>1</v>
      </c>
      <c r="L609">
        <v>6</v>
      </c>
      <c r="M609">
        <v>1.698</v>
      </c>
      <c r="N609">
        <v>1.528</v>
      </c>
      <c r="O609">
        <v>2.46</v>
      </c>
      <c r="P609">
        <v>14.76</v>
      </c>
      <c r="Q609">
        <v>5.29</v>
      </c>
      <c r="R609">
        <v>31.74</v>
      </c>
    </row>
    <row r="610" spans="1:18" x14ac:dyDescent="0.25">
      <c r="A610">
        <v>18796304</v>
      </c>
      <c r="B610">
        <v>980889</v>
      </c>
      <c r="C610" t="s">
        <v>124</v>
      </c>
      <c r="E610" t="str">
        <f>"2000007086906"</f>
        <v>2000007086906</v>
      </c>
      <c r="H610" t="s">
        <v>101</v>
      </c>
      <c r="I610">
        <v>61046300</v>
      </c>
      <c r="J610">
        <v>6</v>
      </c>
      <c r="K610">
        <v>1</v>
      </c>
      <c r="L610">
        <v>6</v>
      </c>
      <c r="M610">
        <v>2.2200000000000002</v>
      </c>
      <c r="N610">
        <v>1.998</v>
      </c>
      <c r="O610">
        <v>1.728</v>
      </c>
      <c r="P610">
        <v>10.368</v>
      </c>
      <c r="Q610">
        <v>5.76</v>
      </c>
      <c r="R610">
        <v>34.56</v>
      </c>
    </row>
    <row r="611" spans="1:18" x14ac:dyDescent="0.25">
      <c r="A611">
        <v>18796304</v>
      </c>
      <c r="B611">
        <v>980656</v>
      </c>
      <c r="C611" t="s">
        <v>123</v>
      </c>
      <c r="E611" t="str">
        <f>"2000007089624"</f>
        <v>2000007089624</v>
      </c>
      <c r="H611" t="s">
        <v>99</v>
      </c>
      <c r="I611">
        <v>61044300</v>
      </c>
      <c r="J611">
        <v>6</v>
      </c>
      <c r="K611">
        <v>1</v>
      </c>
      <c r="L611">
        <v>6</v>
      </c>
      <c r="M611">
        <v>1.452</v>
      </c>
      <c r="N611">
        <v>1.3069999999999999</v>
      </c>
      <c r="O611">
        <v>2</v>
      </c>
      <c r="P611">
        <v>12</v>
      </c>
      <c r="Q611">
        <v>4.6399999999999997</v>
      </c>
      <c r="R611">
        <v>27.84</v>
      </c>
    </row>
    <row r="612" spans="1:18" x14ac:dyDescent="0.25">
      <c r="A612">
        <v>18796304</v>
      </c>
      <c r="B612">
        <v>980739</v>
      </c>
      <c r="C612" t="s">
        <v>121</v>
      </c>
      <c r="E612" t="str">
        <f>"2000007067653"</f>
        <v>2000007067653</v>
      </c>
      <c r="H612" t="s">
        <v>17</v>
      </c>
      <c r="I612">
        <v>61103010</v>
      </c>
      <c r="J612">
        <v>6</v>
      </c>
      <c r="K612">
        <v>1</v>
      </c>
      <c r="L612">
        <v>6</v>
      </c>
      <c r="M612">
        <v>1.3979999999999999</v>
      </c>
      <c r="N612">
        <v>1.258</v>
      </c>
      <c r="O612">
        <v>2.5710000000000002</v>
      </c>
      <c r="P612">
        <v>15.426</v>
      </c>
      <c r="Q612">
        <v>5.91</v>
      </c>
      <c r="R612">
        <v>35.46</v>
      </c>
    </row>
    <row r="613" spans="1:18" x14ac:dyDescent="0.25">
      <c r="A613">
        <v>18796304</v>
      </c>
      <c r="B613">
        <v>980742</v>
      </c>
      <c r="C613" t="s">
        <v>122</v>
      </c>
      <c r="E613" t="str">
        <f>"2000007079373"</f>
        <v>2000007079373</v>
      </c>
      <c r="H613" t="s">
        <v>95</v>
      </c>
      <c r="I613">
        <v>61109090</v>
      </c>
      <c r="J613">
        <v>6</v>
      </c>
      <c r="K613">
        <v>1</v>
      </c>
      <c r="L613">
        <v>6</v>
      </c>
      <c r="M613">
        <v>1.1399999999999999</v>
      </c>
      <c r="N613">
        <v>1.026</v>
      </c>
      <c r="O613">
        <v>1.4930000000000001</v>
      </c>
      <c r="P613">
        <v>8.9580000000000002</v>
      </c>
      <c r="Q613">
        <v>5.32</v>
      </c>
      <c r="R613">
        <v>31.92</v>
      </c>
    </row>
    <row r="614" spans="1:18" x14ac:dyDescent="0.25">
      <c r="A614">
        <v>18796304</v>
      </c>
      <c r="B614">
        <v>1020568</v>
      </c>
      <c r="C614" t="s">
        <v>109</v>
      </c>
      <c r="E614" t="str">
        <f>"2000007114944"</f>
        <v>2000007114944</v>
      </c>
      <c r="H614" t="s">
        <v>97</v>
      </c>
      <c r="I614">
        <v>62044990</v>
      </c>
      <c r="J614">
        <v>6</v>
      </c>
      <c r="K614">
        <v>1</v>
      </c>
      <c r="L614">
        <v>6</v>
      </c>
      <c r="M614">
        <v>1.3620000000000001</v>
      </c>
      <c r="N614">
        <v>1.226</v>
      </c>
      <c r="O614">
        <v>2</v>
      </c>
      <c r="P614">
        <v>12</v>
      </c>
      <c r="Q614">
        <v>7.19</v>
      </c>
      <c r="R614">
        <v>43.14</v>
      </c>
    </row>
    <row r="615" spans="1:18" x14ac:dyDescent="0.25">
      <c r="A615">
        <v>18796304</v>
      </c>
      <c r="B615">
        <v>980634</v>
      </c>
      <c r="C615" t="s">
        <v>108</v>
      </c>
      <c r="E615" t="str">
        <f>"2000007114920"</f>
        <v>2000007114920</v>
      </c>
      <c r="H615" t="s">
        <v>97</v>
      </c>
      <c r="I615">
        <v>62045990</v>
      </c>
      <c r="J615">
        <v>6</v>
      </c>
      <c r="K615">
        <v>1</v>
      </c>
      <c r="L615">
        <v>6</v>
      </c>
      <c r="M615">
        <v>1.266</v>
      </c>
      <c r="N615">
        <v>1.139</v>
      </c>
      <c r="O615">
        <v>2</v>
      </c>
      <c r="P615">
        <v>12</v>
      </c>
      <c r="Q615">
        <v>6.34</v>
      </c>
      <c r="R615">
        <v>38.04</v>
      </c>
    </row>
    <row r="616" spans="1:18" x14ac:dyDescent="0.25">
      <c r="A616">
        <v>18796304</v>
      </c>
      <c r="B616">
        <v>980691</v>
      </c>
      <c r="C616" t="s">
        <v>107</v>
      </c>
      <c r="E616" t="str">
        <f>"2000007114906"</f>
        <v>2000007114906</v>
      </c>
      <c r="H616" t="s">
        <v>97</v>
      </c>
      <c r="I616">
        <v>62069090</v>
      </c>
      <c r="J616">
        <v>1</v>
      </c>
      <c r="K616">
        <v>6</v>
      </c>
      <c r="L616">
        <v>6</v>
      </c>
      <c r="M616">
        <v>1.8480000000000001</v>
      </c>
      <c r="N616">
        <v>1.663</v>
      </c>
      <c r="O616">
        <v>2</v>
      </c>
      <c r="P616">
        <v>12</v>
      </c>
      <c r="Q616">
        <v>8.3000000000000007</v>
      </c>
      <c r="R616">
        <v>49.8</v>
      </c>
    </row>
    <row r="617" spans="1:18" x14ac:dyDescent="0.25">
      <c r="A617">
        <v>18796304</v>
      </c>
      <c r="B617">
        <v>981033</v>
      </c>
      <c r="C617" t="s">
        <v>134</v>
      </c>
      <c r="E617" t="str">
        <f>"2000007114913"</f>
        <v>2000007114913</v>
      </c>
      <c r="H617" t="s">
        <v>97</v>
      </c>
      <c r="I617">
        <v>62069090</v>
      </c>
      <c r="J617">
        <v>1</v>
      </c>
      <c r="K617">
        <v>6</v>
      </c>
      <c r="L617">
        <v>6</v>
      </c>
      <c r="M617">
        <v>1.8240000000000001</v>
      </c>
      <c r="N617">
        <v>1.6419999999999999</v>
      </c>
      <c r="O617">
        <v>2</v>
      </c>
      <c r="P617">
        <v>12</v>
      </c>
      <c r="Q617">
        <v>8.3000000000000007</v>
      </c>
      <c r="R617">
        <v>49.8</v>
      </c>
    </row>
    <row r="618" spans="1:18" x14ac:dyDescent="0.25">
      <c r="A618">
        <v>18796304</v>
      </c>
      <c r="B618">
        <v>980633</v>
      </c>
      <c r="C618" t="s">
        <v>106</v>
      </c>
      <c r="E618" t="str">
        <f>"2000007114890"</f>
        <v>2000007114890</v>
      </c>
      <c r="H618" t="s">
        <v>97</v>
      </c>
      <c r="I618">
        <v>62069090</v>
      </c>
      <c r="J618">
        <v>6</v>
      </c>
      <c r="K618">
        <v>1</v>
      </c>
      <c r="L618">
        <v>6</v>
      </c>
      <c r="M618">
        <v>1.05</v>
      </c>
      <c r="N618">
        <v>0.94499999999999995</v>
      </c>
      <c r="O618">
        <v>1.333</v>
      </c>
      <c r="P618">
        <v>7.9980000000000002</v>
      </c>
      <c r="Q618">
        <v>5.84</v>
      </c>
      <c r="R618">
        <v>35.04</v>
      </c>
    </row>
    <row r="619" spans="1:18" x14ac:dyDescent="0.25">
      <c r="A619">
        <v>18796304</v>
      </c>
      <c r="B619">
        <v>980740</v>
      </c>
      <c r="C619" t="s">
        <v>105</v>
      </c>
      <c r="E619" t="str">
        <f>"2000007079397"</f>
        <v>2000007079397</v>
      </c>
      <c r="H619" t="s">
        <v>95</v>
      </c>
      <c r="I619">
        <v>61109090</v>
      </c>
      <c r="J619">
        <v>6</v>
      </c>
      <c r="K619">
        <v>1</v>
      </c>
      <c r="L619">
        <v>6</v>
      </c>
      <c r="M619">
        <v>1.5</v>
      </c>
      <c r="N619">
        <v>1.35</v>
      </c>
      <c r="O619">
        <v>2.5030000000000001</v>
      </c>
      <c r="P619">
        <v>15.018000000000001</v>
      </c>
      <c r="Q619">
        <v>5.36</v>
      </c>
      <c r="R619">
        <v>32.159999999999997</v>
      </c>
    </row>
    <row r="620" spans="1:18" x14ac:dyDescent="0.25">
      <c r="A620">
        <v>18796304</v>
      </c>
      <c r="B620">
        <v>980744</v>
      </c>
      <c r="C620" t="s">
        <v>100</v>
      </c>
      <c r="E620" t="str">
        <f>"2000007072121"</f>
        <v>2000007072121</v>
      </c>
      <c r="H620" t="s">
        <v>101</v>
      </c>
      <c r="I620">
        <v>61046200</v>
      </c>
      <c r="J620">
        <v>1</v>
      </c>
      <c r="K620">
        <v>6</v>
      </c>
      <c r="L620">
        <v>6</v>
      </c>
      <c r="M620">
        <v>1.4159999999999999</v>
      </c>
      <c r="N620">
        <v>1.274</v>
      </c>
      <c r="O620">
        <v>2.266</v>
      </c>
      <c r="P620">
        <v>13.596</v>
      </c>
      <c r="Q620">
        <v>4.22</v>
      </c>
      <c r="R620">
        <v>25.32</v>
      </c>
    </row>
    <row r="621" spans="1:18" x14ac:dyDescent="0.25">
      <c r="A621">
        <v>18796304</v>
      </c>
      <c r="B621">
        <v>981038</v>
      </c>
      <c r="C621" t="s">
        <v>96</v>
      </c>
      <c r="E621" t="str">
        <f>"2000007113978"</f>
        <v>2000007113978</v>
      </c>
      <c r="H621" t="s">
        <v>97</v>
      </c>
      <c r="I621">
        <v>62046990</v>
      </c>
      <c r="J621">
        <v>6</v>
      </c>
      <c r="K621">
        <v>1</v>
      </c>
      <c r="L621">
        <v>6</v>
      </c>
      <c r="M621">
        <v>1.1100000000000001</v>
      </c>
      <c r="N621">
        <v>0.999</v>
      </c>
      <c r="O621">
        <v>1.6659999999999999</v>
      </c>
      <c r="P621">
        <v>9.9960000000000004</v>
      </c>
      <c r="Q621">
        <v>5.13</v>
      </c>
      <c r="R621">
        <v>30.78</v>
      </c>
    </row>
    <row r="622" spans="1:18" x14ac:dyDescent="0.25">
      <c r="A622">
        <v>18796304</v>
      </c>
      <c r="B622">
        <v>980884</v>
      </c>
      <c r="C622" t="s">
        <v>94</v>
      </c>
      <c r="E622" t="str">
        <f>"2000007079403"</f>
        <v>2000007079403</v>
      </c>
      <c r="H622" t="s">
        <v>95</v>
      </c>
      <c r="I622">
        <v>61109090</v>
      </c>
      <c r="J622">
        <v>6</v>
      </c>
      <c r="K622">
        <v>1</v>
      </c>
      <c r="L622">
        <v>6</v>
      </c>
      <c r="M622">
        <v>1.998</v>
      </c>
      <c r="N622">
        <v>1.798</v>
      </c>
      <c r="O622">
        <v>3.391</v>
      </c>
      <c r="P622">
        <v>20.346</v>
      </c>
      <c r="Q622">
        <v>5.36</v>
      </c>
      <c r="R622">
        <v>32.159999999999997</v>
      </c>
    </row>
    <row r="623" spans="1:18" x14ac:dyDescent="0.25">
      <c r="A623">
        <v>18796304</v>
      </c>
      <c r="B623">
        <v>980883</v>
      </c>
      <c r="C623" t="s">
        <v>104</v>
      </c>
      <c r="E623" t="str">
        <f>"2000007088405"</f>
        <v>2000007088405</v>
      </c>
      <c r="H623" t="s">
        <v>99</v>
      </c>
      <c r="I623">
        <v>61091000</v>
      </c>
      <c r="J623">
        <v>6</v>
      </c>
      <c r="K623">
        <v>1</v>
      </c>
      <c r="L623">
        <v>6</v>
      </c>
      <c r="M623">
        <v>0.996</v>
      </c>
      <c r="N623">
        <v>0.89600000000000002</v>
      </c>
      <c r="O623">
        <v>1.0249999999999999</v>
      </c>
      <c r="P623">
        <v>6.15</v>
      </c>
      <c r="Q623">
        <v>2.78</v>
      </c>
      <c r="R623">
        <v>16.68</v>
      </c>
    </row>
    <row r="624" spans="1:18" x14ac:dyDescent="0.25">
      <c r="A624">
        <v>18796304</v>
      </c>
      <c r="B624">
        <v>980738</v>
      </c>
      <c r="C624" t="s">
        <v>98</v>
      </c>
      <c r="E624" t="str">
        <f>"2000007088399"</f>
        <v>2000007088399</v>
      </c>
      <c r="H624" t="s">
        <v>99</v>
      </c>
      <c r="I624">
        <v>61091000</v>
      </c>
      <c r="J624">
        <v>6</v>
      </c>
      <c r="K624">
        <v>1</v>
      </c>
      <c r="L624">
        <v>6</v>
      </c>
      <c r="M624">
        <v>0.72</v>
      </c>
      <c r="N624">
        <v>0.64800000000000002</v>
      </c>
      <c r="O624">
        <v>0.8</v>
      </c>
      <c r="P624">
        <v>4.8</v>
      </c>
      <c r="Q624">
        <v>2.78</v>
      </c>
      <c r="R624">
        <v>16.68</v>
      </c>
    </row>
    <row r="625" spans="1:18" x14ac:dyDescent="0.25">
      <c r="A625">
        <v>18796304</v>
      </c>
      <c r="B625">
        <v>980886</v>
      </c>
      <c r="C625" t="s">
        <v>103</v>
      </c>
      <c r="E625" t="str">
        <f>"2000007072138"</f>
        <v>2000007072138</v>
      </c>
      <c r="H625" t="s">
        <v>101</v>
      </c>
      <c r="I625">
        <v>61046200</v>
      </c>
      <c r="J625">
        <v>6</v>
      </c>
      <c r="K625">
        <v>1</v>
      </c>
      <c r="L625">
        <v>6</v>
      </c>
      <c r="M625">
        <v>1.8120000000000001</v>
      </c>
      <c r="N625">
        <v>1.631</v>
      </c>
      <c r="O625">
        <v>0.01</v>
      </c>
      <c r="P625">
        <v>0.06</v>
      </c>
      <c r="Q625">
        <v>4.22</v>
      </c>
      <c r="R625">
        <v>25.32</v>
      </c>
    </row>
    <row r="626" spans="1:18" x14ac:dyDescent="0.25">
      <c r="A626">
        <v>18796304</v>
      </c>
      <c r="B626">
        <v>1020567</v>
      </c>
      <c r="C626" t="s">
        <v>102</v>
      </c>
      <c r="E626" t="str">
        <f>"2000007114951"</f>
        <v>2000007114951</v>
      </c>
      <c r="H626" t="s">
        <v>97</v>
      </c>
      <c r="I626">
        <v>62044990</v>
      </c>
      <c r="J626">
        <v>1</v>
      </c>
      <c r="K626">
        <v>6</v>
      </c>
      <c r="L626">
        <v>6</v>
      </c>
      <c r="M626">
        <v>1.1220000000000001</v>
      </c>
      <c r="N626">
        <v>1.01</v>
      </c>
      <c r="O626">
        <v>0.01</v>
      </c>
      <c r="P626">
        <v>0.06</v>
      </c>
      <c r="Q626">
        <v>8.3000000000000007</v>
      </c>
      <c r="R626">
        <v>49.8</v>
      </c>
    </row>
    <row r="627" spans="1:18" x14ac:dyDescent="0.25">
      <c r="A627">
        <v>18796304</v>
      </c>
      <c r="B627">
        <v>980239</v>
      </c>
      <c r="C627" t="s">
        <v>118</v>
      </c>
      <c r="E627" t="str">
        <f>"2000007063464"</f>
        <v>2000007063464</v>
      </c>
      <c r="H627" t="s">
        <v>99</v>
      </c>
      <c r="I627">
        <v>62033990</v>
      </c>
      <c r="J627">
        <v>1</v>
      </c>
      <c r="K627">
        <v>6</v>
      </c>
      <c r="L627">
        <v>6</v>
      </c>
      <c r="M627">
        <v>5.4</v>
      </c>
      <c r="N627">
        <v>4.8600000000000003</v>
      </c>
      <c r="O627">
        <v>1.5880000000000001</v>
      </c>
      <c r="P627">
        <v>9.5280000000000005</v>
      </c>
      <c r="Q627">
        <v>8.7899999999999991</v>
      </c>
      <c r="R627">
        <v>52.74</v>
      </c>
    </row>
    <row r="628" spans="1:18" x14ac:dyDescent="0.25">
      <c r="A628">
        <v>18796304</v>
      </c>
      <c r="B628">
        <v>980113</v>
      </c>
      <c r="C628" t="s">
        <v>133</v>
      </c>
      <c r="E628" t="str">
        <f>"2000007087330"</f>
        <v>2000007087330</v>
      </c>
      <c r="H628" t="s">
        <v>101</v>
      </c>
      <c r="I628">
        <v>61101910</v>
      </c>
      <c r="J628">
        <v>6</v>
      </c>
      <c r="K628">
        <v>1</v>
      </c>
      <c r="L628">
        <v>6</v>
      </c>
      <c r="M628">
        <v>1.98</v>
      </c>
      <c r="N628">
        <v>1.782</v>
      </c>
      <c r="O628">
        <v>0.24</v>
      </c>
      <c r="P628">
        <v>1.44</v>
      </c>
      <c r="Q628">
        <v>6.15</v>
      </c>
      <c r="R628">
        <v>36.9</v>
      </c>
    </row>
    <row r="629" spans="1:18" x14ac:dyDescent="0.25">
      <c r="A629">
        <v>18796304</v>
      </c>
      <c r="B629">
        <v>980157</v>
      </c>
      <c r="C629" t="s">
        <v>116</v>
      </c>
      <c r="E629" t="str">
        <f>"2000007085732"</f>
        <v>2000007085732</v>
      </c>
      <c r="H629" t="s">
        <v>101</v>
      </c>
      <c r="I629">
        <v>62034231</v>
      </c>
      <c r="J629">
        <v>6</v>
      </c>
      <c r="K629">
        <v>1</v>
      </c>
      <c r="L629">
        <v>6</v>
      </c>
      <c r="M629">
        <v>2.298</v>
      </c>
      <c r="N629">
        <v>2.0680000000000001</v>
      </c>
      <c r="O629">
        <v>2.88</v>
      </c>
      <c r="P629">
        <v>17.28</v>
      </c>
      <c r="Q629">
        <v>5.39</v>
      </c>
      <c r="R629">
        <v>32.340000000000003</v>
      </c>
    </row>
    <row r="630" spans="1:18" x14ac:dyDescent="0.25">
      <c r="A630">
        <v>18796304</v>
      </c>
      <c r="B630">
        <v>980047</v>
      </c>
      <c r="C630" t="s">
        <v>117</v>
      </c>
      <c r="E630" t="str">
        <f>"2000007088313"</f>
        <v>2000007088313</v>
      </c>
      <c r="H630" t="s">
        <v>99</v>
      </c>
      <c r="I630">
        <v>61091000</v>
      </c>
      <c r="J630">
        <v>6</v>
      </c>
      <c r="K630">
        <v>2</v>
      </c>
      <c r="L630">
        <v>12</v>
      </c>
      <c r="M630">
        <v>1.8</v>
      </c>
      <c r="N630">
        <v>1.62</v>
      </c>
      <c r="O630">
        <v>2.6669999999999998</v>
      </c>
      <c r="P630">
        <v>32.003999999999998</v>
      </c>
      <c r="Q630">
        <v>4.5199999999999996</v>
      </c>
      <c r="R630">
        <v>54.24</v>
      </c>
    </row>
    <row r="631" spans="1:18" x14ac:dyDescent="0.25">
      <c r="A631">
        <v>18796304</v>
      </c>
      <c r="B631">
        <v>980150</v>
      </c>
      <c r="C631" t="s">
        <v>112</v>
      </c>
      <c r="E631" t="str">
        <f>"2000007085718"</f>
        <v>2000007085718</v>
      </c>
      <c r="H631" t="s">
        <v>101</v>
      </c>
      <c r="I631">
        <v>62034231</v>
      </c>
      <c r="J631">
        <v>6</v>
      </c>
      <c r="K631">
        <v>1</v>
      </c>
      <c r="L631">
        <v>6</v>
      </c>
      <c r="M631">
        <v>1.998</v>
      </c>
      <c r="N631">
        <v>1.798</v>
      </c>
      <c r="O631">
        <v>3.024</v>
      </c>
      <c r="P631">
        <v>18.143999999999998</v>
      </c>
      <c r="Q631">
        <v>5.39</v>
      </c>
      <c r="R631">
        <v>32.340000000000003</v>
      </c>
    </row>
    <row r="632" spans="1:18" x14ac:dyDescent="0.25">
      <c r="A632">
        <v>18796304</v>
      </c>
      <c r="B632">
        <v>980046</v>
      </c>
      <c r="C632" t="s">
        <v>114</v>
      </c>
      <c r="E632" t="str">
        <f>"2000007083790"</f>
        <v>2000007083790</v>
      </c>
      <c r="H632" t="s">
        <v>95</v>
      </c>
      <c r="I632">
        <v>61101910</v>
      </c>
      <c r="J632">
        <v>6</v>
      </c>
      <c r="K632">
        <v>1</v>
      </c>
      <c r="L632">
        <v>6</v>
      </c>
      <c r="M632">
        <v>1.77</v>
      </c>
      <c r="N632">
        <v>1.593</v>
      </c>
      <c r="O632">
        <v>2.2749999999999999</v>
      </c>
      <c r="P632">
        <v>13.65</v>
      </c>
      <c r="Q632">
        <v>5.25</v>
      </c>
      <c r="R632">
        <v>31.5</v>
      </c>
    </row>
    <row r="633" spans="1:18" x14ac:dyDescent="0.25">
      <c r="A633">
        <v>18796304</v>
      </c>
      <c r="B633">
        <v>980110</v>
      </c>
      <c r="C633" t="s">
        <v>115</v>
      </c>
      <c r="E633" t="str">
        <f>"2000007083806"</f>
        <v>2000007083806</v>
      </c>
      <c r="H633" t="s">
        <v>95</v>
      </c>
      <c r="I633">
        <v>61101910</v>
      </c>
      <c r="J633">
        <v>6</v>
      </c>
      <c r="K633">
        <v>1</v>
      </c>
      <c r="L633">
        <v>6</v>
      </c>
      <c r="M633">
        <v>2.85</v>
      </c>
      <c r="N633">
        <v>2.5649999999999999</v>
      </c>
      <c r="O633">
        <v>0.43</v>
      </c>
      <c r="P633">
        <v>2.58</v>
      </c>
      <c r="Q633">
        <v>6.13</v>
      </c>
      <c r="R633">
        <v>36.78</v>
      </c>
    </row>
    <row r="634" spans="1:18" x14ac:dyDescent="0.25">
      <c r="A634">
        <v>18796304</v>
      </c>
      <c r="B634">
        <v>980111</v>
      </c>
      <c r="C634" t="s">
        <v>113</v>
      </c>
      <c r="E634" t="str">
        <f>"2000007088320"</f>
        <v>2000007088320</v>
      </c>
      <c r="H634" t="s">
        <v>99</v>
      </c>
      <c r="I634">
        <v>61091000</v>
      </c>
      <c r="J634">
        <v>6</v>
      </c>
      <c r="K634">
        <v>1</v>
      </c>
      <c r="L634">
        <v>6</v>
      </c>
      <c r="M634">
        <v>1.83</v>
      </c>
      <c r="N634">
        <v>1.647</v>
      </c>
      <c r="O634">
        <v>2</v>
      </c>
      <c r="P634">
        <v>12</v>
      </c>
      <c r="Q634">
        <v>4.5199999999999996</v>
      </c>
      <c r="R634">
        <v>27.12</v>
      </c>
    </row>
    <row r="635" spans="1:18" x14ac:dyDescent="0.25">
      <c r="A635">
        <v>18796304</v>
      </c>
      <c r="B635">
        <v>980048</v>
      </c>
      <c r="C635" t="s">
        <v>570</v>
      </c>
      <c r="E635" t="str">
        <f>"2000007083820"</f>
        <v>2000007083820</v>
      </c>
      <c r="H635" t="s">
        <v>99</v>
      </c>
      <c r="I635">
        <v>61051000</v>
      </c>
      <c r="J635">
        <v>6</v>
      </c>
      <c r="K635">
        <v>1</v>
      </c>
      <c r="L635">
        <v>6</v>
      </c>
      <c r="M635">
        <v>0.75</v>
      </c>
      <c r="N635">
        <v>0.67500000000000004</v>
      </c>
      <c r="O635">
        <v>1.458</v>
      </c>
      <c r="P635">
        <v>8.7479999999999993</v>
      </c>
      <c r="Q635">
        <v>9.77</v>
      </c>
      <c r="R635">
        <v>58.62</v>
      </c>
    </row>
    <row r="636" spans="1:18" x14ac:dyDescent="0.25">
      <c r="A636">
        <v>18796304</v>
      </c>
      <c r="B636">
        <v>980044</v>
      </c>
      <c r="C636" t="s">
        <v>571</v>
      </c>
      <c r="E636" t="str">
        <f>"2000007083813"</f>
        <v>2000007083813</v>
      </c>
      <c r="H636" t="s">
        <v>99</v>
      </c>
      <c r="I636">
        <v>61051000</v>
      </c>
      <c r="J636">
        <v>1</v>
      </c>
      <c r="K636">
        <v>6</v>
      </c>
      <c r="L636">
        <v>6</v>
      </c>
      <c r="M636">
        <v>2.298</v>
      </c>
      <c r="N636">
        <v>2.0680000000000001</v>
      </c>
      <c r="O636">
        <v>0.33800000000000002</v>
      </c>
      <c r="P636">
        <v>2.028</v>
      </c>
      <c r="Q636">
        <v>9.77</v>
      </c>
      <c r="R636">
        <v>58.62</v>
      </c>
    </row>
    <row r="637" spans="1:18" x14ac:dyDescent="0.25">
      <c r="A637">
        <v>18796304</v>
      </c>
      <c r="B637">
        <v>979979</v>
      </c>
      <c r="C637" t="s">
        <v>129</v>
      </c>
      <c r="E637" t="str">
        <f>"2000007079151"</f>
        <v>2000007079151</v>
      </c>
      <c r="H637" t="s">
        <v>95</v>
      </c>
      <c r="I637">
        <v>61102091</v>
      </c>
      <c r="J637">
        <v>6</v>
      </c>
      <c r="K637">
        <v>1</v>
      </c>
      <c r="L637">
        <v>6</v>
      </c>
      <c r="M637">
        <v>0.41399999999999998</v>
      </c>
      <c r="N637">
        <v>0.373</v>
      </c>
      <c r="O637">
        <v>8.0000000000000002E-3</v>
      </c>
      <c r="P637">
        <v>4.8000000000000001E-2</v>
      </c>
      <c r="Q637">
        <v>7.16</v>
      </c>
      <c r="R637">
        <v>42.96</v>
      </c>
    </row>
    <row r="638" spans="1:18" x14ac:dyDescent="0.25">
      <c r="A638">
        <v>18796304</v>
      </c>
      <c r="B638">
        <v>980116</v>
      </c>
      <c r="C638" t="s">
        <v>127</v>
      </c>
      <c r="E638" t="str">
        <f>"2000007089051"</f>
        <v>2000007089051</v>
      </c>
      <c r="H638" t="s">
        <v>99</v>
      </c>
      <c r="I638">
        <v>62052000</v>
      </c>
      <c r="J638">
        <v>6</v>
      </c>
      <c r="K638">
        <v>1</v>
      </c>
      <c r="L638">
        <v>6</v>
      </c>
      <c r="M638">
        <v>1.5960000000000001</v>
      </c>
      <c r="N638">
        <v>1.4359999999999999</v>
      </c>
      <c r="O638">
        <v>1.762</v>
      </c>
      <c r="P638">
        <v>10.571999999999999</v>
      </c>
      <c r="Q638">
        <v>4.68</v>
      </c>
      <c r="R638">
        <v>28.08</v>
      </c>
    </row>
    <row r="639" spans="1:18" x14ac:dyDescent="0.25">
      <c r="A639">
        <v>18796304</v>
      </c>
      <c r="B639">
        <v>980117</v>
      </c>
      <c r="C639" t="s">
        <v>128</v>
      </c>
      <c r="E639" t="str">
        <f>"2000007088245"</f>
        <v>2000007088245</v>
      </c>
      <c r="H639" t="s">
        <v>101</v>
      </c>
      <c r="I639">
        <v>61101910</v>
      </c>
      <c r="J639">
        <v>6</v>
      </c>
      <c r="K639">
        <v>1</v>
      </c>
      <c r="L639">
        <v>6</v>
      </c>
      <c r="M639">
        <v>2.7480000000000002</v>
      </c>
      <c r="N639">
        <v>2.4729999999999999</v>
      </c>
      <c r="O639">
        <v>3.133</v>
      </c>
      <c r="P639">
        <v>18.797999999999998</v>
      </c>
      <c r="Q639">
        <v>6.03</v>
      </c>
      <c r="R639">
        <v>36.18</v>
      </c>
    </row>
    <row r="640" spans="1:18" x14ac:dyDescent="0.25">
      <c r="A640">
        <v>18796304</v>
      </c>
      <c r="B640">
        <v>980118</v>
      </c>
      <c r="C640" t="s">
        <v>132</v>
      </c>
      <c r="E640" t="str">
        <f>"2000007088269"</f>
        <v>2000007088269</v>
      </c>
      <c r="H640" t="s">
        <v>101</v>
      </c>
      <c r="I640">
        <v>61109090</v>
      </c>
      <c r="J640">
        <v>6</v>
      </c>
      <c r="K640">
        <v>1</v>
      </c>
      <c r="L640">
        <v>6</v>
      </c>
      <c r="M640">
        <v>2.2799999999999998</v>
      </c>
      <c r="N640">
        <v>2.052</v>
      </c>
      <c r="O640">
        <v>3</v>
      </c>
      <c r="P640">
        <v>18</v>
      </c>
      <c r="Q640">
        <v>4.33</v>
      </c>
      <c r="R640">
        <v>25.98</v>
      </c>
    </row>
    <row r="641" spans="1:18" x14ac:dyDescent="0.25">
      <c r="A641">
        <v>18796304</v>
      </c>
      <c r="B641">
        <v>980114</v>
      </c>
      <c r="C641" t="s">
        <v>131</v>
      </c>
      <c r="E641" t="str">
        <f>"2000007088252"</f>
        <v>2000007088252</v>
      </c>
      <c r="H641" t="s">
        <v>101</v>
      </c>
      <c r="I641">
        <v>61109090</v>
      </c>
      <c r="J641">
        <v>6</v>
      </c>
      <c r="K641">
        <v>1</v>
      </c>
      <c r="L641">
        <v>6</v>
      </c>
      <c r="M641">
        <v>1.6619999999999999</v>
      </c>
      <c r="N641">
        <v>1.496</v>
      </c>
      <c r="O641">
        <v>2.6659999999999999</v>
      </c>
      <c r="P641">
        <v>15.996</v>
      </c>
      <c r="Q641">
        <v>4.33</v>
      </c>
      <c r="R641">
        <v>25.98</v>
      </c>
    </row>
    <row r="642" spans="1:18" x14ac:dyDescent="0.25">
      <c r="A642">
        <v>18796304</v>
      </c>
      <c r="B642">
        <v>979974</v>
      </c>
      <c r="C642" t="s">
        <v>130</v>
      </c>
      <c r="E642" t="str">
        <f>"2000007079144"</f>
        <v>2000007079144</v>
      </c>
      <c r="H642" t="s">
        <v>95</v>
      </c>
      <c r="I642">
        <v>61102091</v>
      </c>
      <c r="J642">
        <v>6</v>
      </c>
      <c r="K642">
        <v>1</v>
      </c>
      <c r="L642">
        <v>6</v>
      </c>
      <c r="M642">
        <v>2.94</v>
      </c>
      <c r="N642">
        <v>2.6459999999999999</v>
      </c>
      <c r="O642">
        <v>4.9130000000000003</v>
      </c>
      <c r="P642">
        <v>29.478000000000002</v>
      </c>
      <c r="Q642">
        <v>7.16</v>
      </c>
      <c r="R642">
        <v>42.96</v>
      </c>
    </row>
    <row r="643" spans="1:18" x14ac:dyDescent="0.25">
      <c r="A643">
        <v>18797969</v>
      </c>
      <c r="B643">
        <v>952364</v>
      </c>
      <c r="C643" t="s">
        <v>146</v>
      </c>
      <c r="E643" t="str">
        <f>"3491955640415"</f>
        <v>3491955640415</v>
      </c>
      <c r="H643" t="s">
        <v>17</v>
      </c>
      <c r="I643">
        <v>95030095</v>
      </c>
      <c r="J643">
        <v>4</v>
      </c>
      <c r="K643">
        <v>1</v>
      </c>
      <c r="L643">
        <v>4</v>
      </c>
      <c r="M643">
        <v>3.0640000000000001</v>
      </c>
      <c r="N643">
        <v>2.758</v>
      </c>
      <c r="O643">
        <v>10.191000000000001</v>
      </c>
      <c r="P643">
        <v>40.764000000000003</v>
      </c>
      <c r="Q643">
        <v>7.8</v>
      </c>
      <c r="R643">
        <v>31.2</v>
      </c>
    </row>
    <row r="644" spans="1:18" x14ac:dyDescent="0.25">
      <c r="A644">
        <v>18805299</v>
      </c>
      <c r="B644">
        <v>974137</v>
      </c>
      <c r="C644" t="s">
        <v>150</v>
      </c>
      <c r="E644" t="str">
        <f>"2000007066267"</f>
        <v>2000007066267</v>
      </c>
      <c r="H644" t="s">
        <v>95</v>
      </c>
      <c r="I644">
        <v>64039111</v>
      </c>
      <c r="J644">
        <v>8</v>
      </c>
      <c r="K644">
        <v>1</v>
      </c>
      <c r="L644">
        <v>8</v>
      </c>
      <c r="M644">
        <v>11.24</v>
      </c>
      <c r="N644">
        <v>10.116</v>
      </c>
      <c r="O644">
        <v>12.954000000000001</v>
      </c>
      <c r="P644">
        <v>103.63200000000001</v>
      </c>
      <c r="Q644">
        <v>25.11</v>
      </c>
      <c r="R644">
        <v>200.88</v>
      </c>
    </row>
    <row r="645" spans="1:18" x14ac:dyDescent="0.25">
      <c r="A645">
        <v>18805299</v>
      </c>
      <c r="B645">
        <v>974002</v>
      </c>
      <c r="C645" t="s">
        <v>148</v>
      </c>
      <c r="E645" t="str">
        <f>"2000007066120"</f>
        <v>2000007066120</v>
      </c>
      <c r="H645" t="s">
        <v>95</v>
      </c>
      <c r="I645">
        <v>64039996</v>
      </c>
      <c r="J645">
        <v>8</v>
      </c>
      <c r="K645">
        <v>1</v>
      </c>
      <c r="L645">
        <v>8</v>
      </c>
      <c r="M645">
        <v>9.0399999999999991</v>
      </c>
      <c r="N645">
        <v>8.1359999999999992</v>
      </c>
      <c r="O645">
        <v>10.141999999999999</v>
      </c>
      <c r="P645">
        <v>81.135999999999996</v>
      </c>
      <c r="Q645">
        <v>19.61</v>
      </c>
      <c r="R645">
        <v>156.88</v>
      </c>
    </row>
    <row r="646" spans="1:18" x14ac:dyDescent="0.25">
      <c r="A646">
        <v>18805299</v>
      </c>
      <c r="B646">
        <v>974136</v>
      </c>
      <c r="C646" t="s">
        <v>149</v>
      </c>
      <c r="E646" t="str">
        <f>"2000007066250"</f>
        <v>2000007066250</v>
      </c>
      <c r="H646" t="s">
        <v>99</v>
      </c>
      <c r="I646">
        <v>64039996</v>
      </c>
      <c r="J646">
        <v>8</v>
      </c>
      <c r="K646">
        <v>1</v>
      </c>
      <c r="L646">
        <v>8</v>
      </c>
      <c r="M646">
        <v>13</v>
      </c>
      <c r="N646">
        <v>11.7</v>
      </c>
      <c r="O646">
        <v>13.081</v>
      </c>
      <c r="P646">
        <v>104.648</v>
      </c>
      <c r="Q646">
        <v>19.95</v>
      </c>
      <c r="R646">
        <v>159.6</v>
      </c>
    </row>
    <row r="647" spans="1:18" x14ac:dyDescent="0.25">
      <c r="A647">
        <v>18805299</v>
      </c>
      <c r="B647">
        <v>974130</v>
      </c>
      <c r="C647" t="s">
        <v>147</v>
      </c>
      <c r="E647" t="str">
        <f>"2000007066243"</f>
        <v>2000007066243</v>
      </c>
      <c r="H647" t="s">
        <v>99</v>
      </c>
      <c r="I647">
        <v>64039996</v>
      </c>
      <c r="J647">
        <v>8</v>
      </c>
      <c r="K647">
        <v>1</v>
      </c>
      <c r="L647">
        <v>8</v>
      </c>
      <c r="M647">
        <v>13.496</v>
      </c>
      <c r="N647">
        <v>12.146000000000001</v>
      </c>
      <c r="O647">
        <v>13.337999999999999</v>
      </c>
      <c r="P647">
        <v>106.70399999999999</v>
      </c>
      <c r="Q647">
        <v>24.06</v>
      </c>
      <c r="R647">
        <v>192.48</v>
      </c>
    </row>
    <row r="648" spans="1:18" x14ac:dyDescent="0.25">
      <c r="A648">
        <v>18805299</v>
      </c>
      <c r="B648">
        <v>974393</v>
      </c>
      <c r="C648" t="s">
        <v>572</v>
      </c>
      <c r="E648" t="str">
        <f>"2000007063181"</f>
        <v>2000007063181</v>
      </c>
      <c r="H648" t="s">
        <v>17</v>
      </c>
      <c r="I648">
        <v>64029910</v>
      </c>
      <c r="J648">
        <v>6</v>
      </c>
      <c r="K648">
        <v>1</v>
      </c>
      <c r="L648">
        <v>6</v>
      </c>
      <c r="M648">
        <v>4.2960000000000003</v>
      </c>
      <c r="N648">
        <v>3.8660000000000001</v>
      </c>
      <c r="O648">
        <v>5.8719999999999999</v>
      </c>
      <c r="P648">
        <v>35.231999999999999</v>
      </c>
      <c r="Q648">
        <v>11.15</v>
      </c>
      <c r="R648">
        <v>66.900000000000006</v>
      </c>
    </row>
    <row r="649" spans="1:18" x14ac:dyDescent="0.25">
      <c r="A649">
        <v>18805299</v>
      </c>
      <c r="B649">
        <v>974251</v>
      </c>
      <c r="C649" t="s">
        <v>573</v>
      </c>
      <c r="E649" t="str">
        <f>"2000007064058"</f>
        <v>2000007064058</v>
      </c>
      <c r="H649" t="s">
        <v>17</v>
      </c>
      <c r="I649">
        <v>64029910</v>
      </c>
      <c r="J649">
        <v>6</v>
      </c>
      <c r="K649">
        <v>1</v>
      </c>
      <c r="L649">
        <v>6</v>
      </c>
      <c r="M649">
        <v>2.7959999999999998</v>
      </c>
      <c r="N649">
        <v>2.516</v>
      </c>
      <c r="O649">
        <v>4.7480000000000002</v>
      </c>
      <c r="P649">
        <v>28.488</v>
      </c>
      <c r="Q649">
        <v>9.7899999999999991</v>
      </c>
      <c r="R649">
        <v>58.74</v>
      </c>
    </row>
    <row r="650" spans="1:18" x14ac:dyDescent="0.25">
      <c r="A650">
        <v>18809377</v>
      </c>
      <c r="B650">
        <v>755845</v>
      </c>
      <c r="C650" t="s">
        <v>166</v>
      </c>
      <c r="E650" t="str">
        <f>"5420023188113"</f>
        <v>5420023188113</v>
      </c>
      <c r="F650" t="str">
        <f>"2000006848512"</f>
        <v>2000006848512</v>
      </c>
      <c r="G650" t="str">
        <f>"2018203962917"</f>
        <v>2018203962917</v>
      </c>
      <c r="H650" t="s">
        <v>17</v>
      </c>
      <c r="I650">
        <v>95030010</v>
      </c>
      <c r="J650">
        <v>6</v>
      </c>
      <c r="K650">
        <v>1</v>
      </c>
      <c r="L650">
        <v>6</v>
      </c>
      <c r="M650">
        <v>10.8</v>
      </c>
      <c r="N650">
        <v>9.7200000000000006</v>
      </c>
      <c r="O650">
        <v>18.59</v>
      </c>
      <c r="P650">
        <v>111.54</v>
      </c>
      <c r="Q650">
        <v>9.8800000000000008</v>
      </c>
      <c r="R650">
        <v>59.28</v>
      </c>
    </row>
    <row r="651" spans="1:18" x14ac:dyDescent="0.25">
      <c r="A651">
        <v>18809377</v>
      </c>
      <c r="B651">
        <v>922193</v>
      </c>
      <c r="C651" t="s">
        <v>171</v>
      </c>
      <c r="E651" t="str">
        <f>"5420023187833"</f>
        <v>5420023187833</v>
      </c>
      <c r="H651" t="s">
        <v>17</v>
      </c>
      <c r="I651">
        <v>95030070</v>
      </c>
      <c r="J651">
        <v>1</v>
      </c>
      <c r="K651">
        <v>1</v>
      </c>
      <c r="L651">
        <v>1</v>
      </c>
      <c r="M651">
        <v>1.01</v>
      </c>
      <c r="N651">
        <v>0.90900000000000003</v>
      </c>
      <c r="O651">
        <v>10.933</v>
      </c>
      <c r="P651">
        <v>10.933</v>
      </c>
      <c r="Q651">
        <v>5.04</v>
      </c>
      <c r="R651">
        <v>5.04</v>
      </c>
    </row>
    <row r="652" spans="1:18" x14ac:dyDescent="0.25">
      <c r="A652">
        <v>18809377</v>
      </c>
      <c r="B652">
        <v>951077</v>
      </c>
      <c r="C652" t="s">
        <v>163</v>
      </c>
      <c r="E652" t="str">
        <f>"3491955645434"</f>
        <v>3491955645434</v>
      </c>
      <c r="H652" t="s">
        <v>17</v>
      </c>
      <c r="I652">
        <v>95030075</v>
      </c>
      <c r="J652">
        <v>6</v>
      </c>
      <c r="K652">
        <v>1</v>
      </c>
      <c r="L652">
        <v>6</v>
      </c>
      <c r="M652">
        <v>1.38</v>
      </c>
      <c r="N652">
        <v>1.242</v>
      </c>
      <c r="O652">
        <v>5</v>
      </c>
      <c r="P652">
        <v>30</v>
      </c>
      <c r="Q652">
        <v>2.4</v>
      </c>
      <c r="R652">
        <v>14.4</v>
      </c>
    </row>
    <row r="653" spans="1:18" x14ac:dyDescent="0.25">
      <c r="A653">
        <v>18809377</v>
      </c>
      <c r="B653">
        <v>994502</v>
      </c>
      <c r="C653" t="s">
        <v>162</v>
      </c>
      <c r="E653" t="str">
        <f>"778988422601"</f>
        <v>778988422601</v>
      </c>
      <c r="H653" t="s">
        <v>69</v>
      </c>
      <c r="I653">
        <v>95030070</v>
      </c>
      <c r="J653">
        <v>1</v>
      </c>
      <c r="K653">
        <v>2</v>
      </c>
      <c r="L653">
        <v>2</v>
      </c>
      <c r="M653">
        <v>1.36</v>
      </c>
      <c r="N653">
        <v>1.224</v>
      </c>
      <c r="O653">
        <v>3.12</v>
      </c>
      <c r="P653">
        <v>6.24</v>
      </c>
      <c r="Q653">
        <v>17.89</v>
      </c>
      <c r="R653">
        <v>35.78</v>
      </c>
    </row>
    <row r="654" spans="1:18" x14ac:dyDescent="0.25">
      <c r="A654">
        <v>18809377</v>
      </c>
      <c r="B654">
        <v>922242</v>
      </c>
      <c r="C654" t="s">
        <v>170</v>
      </c>
      <c r="E654" t="str">
        <f>"5420023187840"</f>
        <v>5420023187840</v>
      </c>
      <c r="H654" t="s">
        <v>17</v>
      </c>
      <c r="I654">
        <v>95030070</v>
      </c>
      <c r="J654">
        <v>1</v>
      </c>
      <c r="K654">
        <v>1</v>
      </c>
      <c r="L654">
        <v>1</v>
      </c>
      <c r="M654">
        <v>1.026</v>
      </c>
      <c r="N654">
        <v>0.92300000000000004</v>
      </c>
      <c r="O654">
        <v>10.25</v>
      </c>
      <c r="P654">
        <v>10.25</v>
      </c>
      <c r="Q654">
        <v>5.04</v>
      </c>
      <c r="R654">
        <v>5.04</v>
      </c>
    </row>
    <row r="655" spans="1:18" x14ac:dyDescent="0.25">
      <c r="A655">
        <v>18809377</v>
      </c>
      <c r="B655">
        <v>907326</v>
      </c>
      <c r="C655" t="s">
        <v>161</v>
      </c>
      <c r="E655" t="str">
        <f>"5420023187871"</f>
        <v>5420023187871</v>
      </c>
      <c r="H655" t="s">
        <v>17</v>
      </c>
      <c r="I655">
        <v>95030075</v>
      </c>
      <c r="J655">
        <v>1</v>
      </c>
      <c r="K655">
        <v>4</v>
      </c>
      <c r="L655">
        <v>4</v>
      </c>
      <c r="M655">
        <v>2.8639999999999999</v>
      </c>
      <c r="N655">
        <v>2.5779999999999998</v>
      </c>
      <c r="O655">
        <v>6.883</v>
      </c>
      <c r="P655">
        <v>27.532</v>
      </c>
      <c r="Q655">
        <v>7.7</v>
      </c>
      <c r="R655">
        <v>30.8</v>
      </c>
    </row>
    <row r="656" spans="1:18" x14ac:dyDescent="0.25">
      <c r="A656">
        <v>18809377</v>
      </c>
      <c r="B656">
        <v>756848</v>
      </c>
      <c r="C656" t="s">
        <v>160</v>
      </c>
      <c r="E656" t="str">
        <f>"5420023188137"</f>
        <v>5420023188137</v>
      </c>
      <c r="F656" t="str">
        <f>"2000006848529"</f>
        <v>2000006848529</v>
      </c>
      <c r="G656" t="str">
        <f>"2018204277942"</f>
        <v>2018204277942</v>
      </c>
      <c r="H656" t="s">
        <v>17</v>
      </c>
      <c r="I656">
        <v>95030085</v>
      </c>
      <c r="J656">
        <v>1</v>
      </c>
      <c r="K656">
        <v>4</v>
      </c>
      <c r="L656">
        <v>4</v>
      </c>
      <c r="M656">
        <v>4.5999999999999996</v>
      </c>
      <c r="N656">
        <v>4.1399999999999997</v>
      </c>
      <c r="O656">
        <v>4.3849999999999998</v>
      </c>
      <c r="P656">
        <v>17.54</v>
      </c>
      <c r="Q656">
        <v>9.17</v>
      </c>
      <c r="R656">
        <v>36.68</v>
      </c>
    </row>
    <row r="657" spans="1:18" x14ac:dyDescent="0.25">
      <c r="A657">
        <v>18809377</v>
      </c>
      <c r="B657">
        <v>962842</v>
      </c>
      <c r="C657" t="s">
        <v>167</v>
      </c>
      <c r="E657" t="str">
        <f>"778988397060"</f>
        <v>778988397060</v>
      </c>
      <c r="H657" t="s">
        <v>17</v>
      </c>
      <c r="I657">
        <v>95030070</v>
      </c>
      <c r="J657">
        <v>1</v>
      </c>
      <c r="K657">
        <v>2</v>
      </c>
      <c r="L657">
        <v>2</v>
      </c>
      <c r="M657">
        <v>2.0459999999999998</v>
      </c>
      <c r="N657">
        <v>1.841</v>
      </c>
      <c r="O657">
        <v>10.5</v>
      </c>
      <c r="P657">
        <v>21</v>
      </c>
      <c r="Q657">
        <v>15.29</v>
      </c>
      <c r="R657">
        <v>30.58</v>
      </c>
    </row>
    <row r="658" spans="1:18" x14ac:dyDescent="0.25">
      <c r="A658">
        <v>18809377</v>
      </c>
      <c r="B658">
        <v>982521</v>
      </c>
      <c r="C658" t="s">
        <v>164</v>
      </c>
      <c r="E658" t="str">
        <f>"887961968514"</f>
        <v>887961968514</v>
      </c>
      <c r="H658" t="s">
        <v>17</v>
      </c>
      <c r="I658">
        <v>95030085</v>
      </c>
      <c r="J658">
        <v>3</v>
      </c>
      <c r="K658">
        <v>1</v>
      </c>
      <c r="L658">
        <v>3</v>
      </c>
      <c r="M658">
        <v>2.3490000000000002</v>
      </c>
      <c r="N658">
        <v>2.1139999999999999</v>
      </c>
      <c r="O658">
        <v>6.4749999999999996</v>
      </c>
      <c r="P658">
        <v>19.425000000000001</v>
      </c>
      <c r="Q658">
        <v>9.2799999999999994</v>
      </c>
      <c r="R658">
        <v>27.84</v>
      </c>
    </row>
    <row r="659" spans="1:18" x14ac:dyDescent="0.25">
      <c r="A659">
        <v>18809377</v>
      </c>
      <c r="B659">
        <v>982520</v>
      </c>
      <c r="C659" t="s">
        <v>165</v>
      </c>
      <c r="E659" t="str">
        <f>"887961928105"</f>
        <v>887961928105</v>
      </c>
      <c r="H659" t="s">
        <v>17</v>
      </c>
      <c r="I659">
        <v>95030085</v>
      </c>
      <c r="J659">
        <v>3</v>
      </c>
      <c r="K659">
        <v>1</v>
      </c>
      <c r="L659">
        <v>3</v>
      </c>
      <c r="M659">
        <v>1.7789999999999999</v>
      </c>
      <c r="N659">
        <v>1.601</v>
      </c>
      <c r="O659">
        <v>5.6</v>
      </c>
      <c r="P659">
        <v>16.8</v>
      </c>
      <c r="Q659">
        <v>7.78</v>
      </c>
      <c r="R659">
        <v>23.34</v>
      </c>
    </row>
    <row r="660" spans="1:18" x14ac:dyDescent="0.25">
      <c r="A660">
        <v>18809377</v>
      </c>
      <c r="B660">
        <v>991108</v>
      </c>
      <c r="C660" t="s">
        <v>159</v>
      </c>
      <c r="E660" t="str">
        <f>"3491955940249"</f>
        <v>3491955940249</v>
      </c>
      <c r="H660" t="s">
        <v>17</v>
      </c>
      <c r="I660">
        <v>95030095</v>
      </c>
      <c r="J660">
        <v>4</v>
      </c>
      <c r="K660">
        <v>1</v>
      </c>
      <c r="L660">
        <v>4</v>
      </c>
      <c r="M660">
        <v>3.6</v>
      </c>
      <c r="N660">
        <v>3.24</v>
      </c>
      <c r="O660">
        <v>19.562999999999999</v>
      </c>
      <c r="P660">
        <v>78.251999999999995</v>
      </c>
      <c r="Q660">
        <v>8.44</v>
      </c>
      <c r="R660">
        <v>33.76</v>
      </c>
    </row>
    <row r="661" spans="1:18" x14ac:dyDescent="0.25">
      <c r="A661">
        <v>18809377</v>
      </c>
      <c r="B661">
        <v>286542</v>
      </c>
      <c r="C661" t="s">
        <v>158</v>
      </c>
      <c r="E661" t="str">
        <f>"4006333039928"</f>
        <v>4006333039928</v>
      </c>
      <c r="F661" t="str">
        <f>"4006333355073"</f>
        <v>4006333355073</v>
      </c>
      <c r="H661" t="s">
        <v>17</v>
      </c>
      <c r="I661">
        <v>95030095</v>
      </c>
      <c r="J661">
        <v>1</v>
      </c>
      <c r="K661">
        <v>2</v>
      </c>
      <c r="L661">
        <v>2</v>
      </c>
      <c r="M661">
        <v>2.246</v>
      </c>
      <c r="N661">
        <v>2.0209999999999999</v>
      </c>
      <c r="O661">
        <v>19.550999999999998</v>
      </c>
      <c r="P661">
        <v>39.101999999999997</v>
      </c>
      <c r="Q661">
        <v>11.45</v>
      </c>
      <c r="R661">
        <v>22.9</v>
      </c>
    </row>
    <row r="662" spans="1:18" x14ac:dyDescent="0.25">
      <c r="A662">
        <v>18809377</v>
      </c>
      <c r="B662">
        <v>667943</v>
      </c>
      <c r="C662" t="s">
        <v>151</v>
      </c>
      <c r="E662" t="str">
        <f>"3491953354833"</f>
        <v>3491953354833</v>
      </c>
      <c r="F662" t="str">
        <f>"3491955529642"</f>
        <v>3491955529642</v>
      </c>
      <c r="H662" t="s">
        <v>17</v>
      </c>
      <c r="I662">
        <v>95030075</v>
      </c>
      <c r="J662">
        <v>6</v>
      </c>
      <c r="K662">
        <v>1</v>
      </c>
      <c r="L662">
        <v>6</v>
      </c>
      <c r="M662">
        <v>4.2480000000000002</v>
      </c>
      <c r="N662">
        <v>3.823</v>
      </c>
      <c r="O662">
        <v>13.44</v>
      </c>
      <c r="P662">
        <v>80.64</v>
      </c>
      <c r="Q662">
        <v>3.96</v>
      </c>
      <c r="R662">
        <v>23.76</v>
      </c>
    </row>
    <row r="663" spans="1:18" x14ac:dyDescent="0.25">
      <c r="A663">
        <v>18809377</v>
      </c>
      <c r="B663">
        <v>951087</v>
      </c>
      <c r="C663" t="s">
        <v>152</v>
      </c>
      <c r="E663" t="str">
        <f>"3491955454357"</f>
        <v>3491955454357</v>
      </c>
      <c r="H663" t="s">
        <v>17</v>
      </c>
      <c r="I663">
        <v>95030095</v>
      </c>
      <c r="J663">
        <v>24</v>
      </c>
      <c r="K663">
        <v>1</v>
      </c>
      <c r="L663">
        <v>24</v>
      </c>
      <c r="M663">
        <v>10.728</v>
      </c>
      <c r="N663">
        <v>9.6549999999999994</v>
      </c>
      <c r="O663">
        <v>7.1639999999999997</v>
      </c>
      <c r="P663">
        <v>171.93600000000001</v>
      </c>
      <c r="Q663">
        <v>2.87</v>
      </c>
      <c r="R663">
        <v>68.88</v>
      </c>
    </row>
    <row r="664" spans="1:18" x14ac:dyDescent="0.25">
      <c r="A664">
        <v>18809377</v>
      </c>
      <c r="B664">
        <v>754983</v>
      </c>
      <c r="C664" t="s">
        <v>153</v>
      </c>
      <c r="E664" t="str">
        <f>"3491955659851"</f>
        <v>3491955659851</v>
      </c>
      <c r="F664" t="str">
        <f>"3491953503248"</f>
        <v>3491953503248</v>
      </c>
      <c r="G664" t="str">
        <f>"3491955529659"</f>
        <v>3491955529659</v>
      </c>
      <c r="H664" t="s">
        <v>17</v>
      </c>
      <c r="I664">
        <v>95030095</v>
      </c>
      <c r="J664">
        <v>1</v>
      </c>
      <c r="K664">
        <v>2</v>
      </c>
      <c r="L664">
        <v>2</v>
      </c>
      <c r="M664">
        <v>2.75</v>
      </c>
      <c r="N664">
        <v>2.4750000000000001</v>
      </c>
      <c r="O664">
        <v>22.274999999999999</v>
      </c>
      <c r="P664">
        <v>44.55</v>
      </c>
      <c r="Q664">
        <v>5.14</v>
      </c>
      <c r="R664">
        <v>10.28</v>
      </c>
    </row>
    <row r="665" spans="1:18" x14ac:dyDescent="0.25">
      <c r="A665">
        <v>18809377</v>
      </c>
      <c r="B665">
        <v>756958</v>
      </c>
      <c r="C665" t="s">
        <v>154</v>
      </c>
      <c r="E665" t="str">
        <f>"5420023188236"</f>
        <v>5420023188236</v>
      </c>
      <c r="F665" t="str">
        <f>"2000006848864"</f>
        <v>2000006848864</v>
      </c>
      <c r="G665" t="str">
        <f>"2018204498774"</f>
        <v>2018204498774</v>
      </c>
      <c r="H665" t="s">
        <v>17</v>
      </c>
      <c r="I665">
        <v>95030085</v>
      </c>
      <c r="J665">
        <v>12</v>
      </c>
      <c r="K665">
        <v>1</v>
      </c>
      <c r="L665">
        <v>12</v>
      </c>
      <c r="M665">
        <v>6.9960000000000004</v>
      </c>
      <c r="N665">
        <v>6.2960000000000003</v>
      </c>
      <c r="O665">
        <v>3.77</v>
      </c>
      <c r="P665">
        <v>45.24</v>
      </c>
      <c r="Q665">
        <v>1.79</v>
      </c>
      <c r="R665">
        <v>21.48</v>
      </c>
    </row>
    <row r="666" spans="1:18" x14ac:dyDescent="0.25">
      <c r="A666">
        <v>18809377</v>
      </c>
      <c r="B666">
        <v>953054</v>
      </c>
      <c r="C666" t="s">
        <v>155</v>
      </c>
      <c r="E666" t="str">
        <f>"5420023190482"</f>
        <v>5420023190482</v>
      </c>
      <c r="H666" t="s">
        <v>17</v>
      </c>
      <c r="I666">
        <v>95030070</v>
      </c>
      <c r="J666">
        <v>1</v>
      </c>
      <c r="K666">
        <v>2</v>
      </c>
      <c r="L666">
        <v>2</v>
      </c>
      <c r="M666">
        <v>2.8319999999999999</v>
      </c>
      <c r="N666">
        <v>2.5489999999999999</v>
      </c>
      <c r="O666">
        <v>22.44</v>
      </c>
      <c r="P666">
        <v>44.88</v>
      </c>
      <c r="Q666">
        <v>8.65</v>
      </c>
      <c r="R666">
        <v>17.3</v>
      </c>
    </row>
    <row r="667" spans="1:18" x14ac:dyDescent="0.25">
      <c r="A667">
        <v>18809377</v>
      </c>
      <c r="B667">
        <v>760040</v>
      </c>
      <c r="C667" t="s">
        <v>169</v>
      </c>
      <c r="E667" t="str">
        <f>"5420023188106"</f>
        <v>5420023188106</v>
      </c>
      <c r="F667" t="str">
        <f>"2000006849113"</f>
        <v>2000006849113</v>
      </c>
      <c r="H667" t="s">
        <v>17</v>
      </c>
      <c r="I667">
        <v>95030070</v>
      </c>
      <c r="J667">
        <v>1</v>
      </c>
      <c r="K667">
        <v>2</v>
      </c>
      <c r="L667">
        <v>2</v>
      </c>
      <c r="M667">
        <v>6</v>
      </c>
      <c r="N667">
        <v>5.4</v>
      </c>
      <c r="O667">
        <v>44.351999999999997</v>
      </c>
      <c r="P667">
        <v>88.703999999999994</v>
      </c>
      <c r="Q667">
        <v>14.79</v>
      </c>
      <c r="R667">
        <v>29.58</v>
      </c>
    </row>
    <row r="668" spans="1:18" x14ac:dyDescent="0.25">
      <c r="A668">
        <v>18809377</v>
      </c>
      <c r="B668">
        <v>992364</v>
      </c>
      <c r="C668" t="s">
        <v>156</v>
      </c>
      <c r="E668" t="str">
        <f>"778988387184"</f>
        <v>778988387184</v>
      </c>
      <c r="H668" t="s">
        <v>69</v>
      </c>
      <c r="I668">
        <v>95030085</v>
      </c>
      <c r="J668">
        <v>4</v>
      </c>
      <c r="K668">
        <v>1</v>
      </c>
      <c r="L668">
        <v>4</v>
      </c>
      <c r="M668">
        <v>0.9</v>
      </c>
      <c r="N668">
        <v>0.81</v>
      </c>
      <c r="O668">
        <v>1.6619999999999999</v>
      </c>
      <c r="P668">
        <v>6.6479999999999997</v>
      </c>
      <c r="Q668">
        <v>8.3800000000000008</v>
      </c>
      <c r="R668">
        <v>33.520000000000003</v>
      </c>
    </row>
    <row r="669" spans="1:18" x14ac:dyDescent="0.25">
      <c r="A669">
        <v>18809377</v>
      </c>
      <c r="B669">
        <v>970485</v>
      </c>
      <c r="C669" t="s">
        <v>172</v>
      </c>
      <c r="E669" t="str">
        <f>"3467452062869"</f>
        <v>3467452062869</v>
      </c>
      <c r="H669" t="s">
        <v>17</v>
      </c>
      <c r="I669">
        <v>95030085</v>
      </c>
      <c r="J669">
        <v>1</v>
      </c>
      <c r="K669">
        <v>4</v>
      </c>
      <c r="L669">
        <v>4</v>
      </c>
      <c r="M669">
        <v>0.748</v>
      </c>
      <c r="N669">
        <v>0.67300000000000004</v>
      </c>
      <c r="O669">
        <v>1.196</v>
      </c>
      <c r="P669">
        <v>4.7839999999999998</v>
      </c>
      <c r="Q669">
        <v>3.1</v>
      </c>
      <c r="R669">
        <v>12.4</v>
      </c>
    </row>
    <row r="670" spans="1:18" x14ac:dyDescent="0.25">
      <c r="A670">
        <v>18809377</v>
      </c>
      <c r="B670">
        <v>982496</v>
      </c>
      <c r="C670" t="s">
        <v>173</v>
      </c>
      <c r="E670" t="str">
        <f>"887961777376"</f>
        <v>887961777376</v>
      </c>
      <c r="F670" t="str">
        <f>"887961777383"</f>
        <v>887961777383</v>
      </c>
      <c r="H670" t="s">
        <v>17</v>
      </c>
      <c r="I670">
        <v>95030085</v>
      </c>
      <c r="J670">
        <v>3</v>
      </c>
      <c r="K670">
        <v>1</v>
      </c>
      <c r="L670">
        <v>3</v>
      </c>
      <c r="M670">
        <v>2.0099999999999998</v>
      </c>
      <c r="N670">
        <v>1.8089999999999999</v>
      </c>
      <c r="O670">
        <v>8.1999999999999993</v>
      </c>
      <c r="P670">
        <v>24.6</v>
      </c>
      <c r="Q670">
        <v>14.48</v>
      </c>
      <c r="R670">
        <v>43.44</v>
      </c>
    </row>
    <row r="671" spans="1:18" x14ac:dyDescent="0.25">
      <c r="A671">
        <v>18809377</v>
      </c>
      <c r="B671">
        <v>953053</v>
      </c>
      <c r="C671" t="s">
        <v>174</v>
      </c>
      <c r="E671" t="str">
        <f>"5420023190475"</f>
        <v>5420023190475</v>
      </c>
      <c r="H671" t="s">
        <v>17</v>
      </c>
      <c r="I671">
        <v>95030095</v>
      </c>
      <c r="J671">
        <v>6</v>
      </c>
      <c r="K671">
        <v>1</v>
      </c>
      <c r="L671">
        <v>6</v>
      </c>
      <c r="M671">
        <v>2.718</v>
      </c>
      <c r="N671">
        <v>2.4460000000000002</v>
      </c>
      <c r="O671">
        <v>6.5449999999999999</v>
      </c>
      <c r="P671">
        <v>39.270000000000003</v>
      </c>
      <c r="Q671">
        <v>4.88</v>
      </c>
      <c r="R671">
        <v>29.28</v>
      </c>
    </row>
    <row r="672" spans="1:18" x14ac:dyDescent="0.25">
      <c r="A672">
        <v>18809377</v>
      </c>
      <c r="B672">
        <v>783727</v>
      </c>
      <c r="C672" t="s">
        <v>175</v>
      </c>
      <c r="E672" t="str">
        <f>"3467452051658"</f>
        <v>3467452051658</v>
      </c>
      <c r="H672" t="s">
        <v>17</v>
      </c>
      <c r="I672">
        <v>95030095</v>
      </c>
      <c r="J672">
        <v>1</v>
      </c>
      <c r="K672">
        <v>1</v>
      </c>
      <c r="L672">
        <v>1</v>
      </c>
      <c r="M672">
        <v>9.56</v>
      </c>
      <c r="N672">
        <v>8.6039999999999992</v>
      </c>
      <c r="O672">
        <v>117.92</v>
      </c>
      <c r="P672">
        <v>117.92</v>
      </c>
      <c r="Q672">
        <v>66.819999999999993</v>
      </c>
      <c r="R672">
        <v>66.819999999999993</v>
      </c>
    </row>
    <row r="673" spans="1:18" x14ac:dyDescent="0.25">
      <c r="A673">
        <v>18809377</v>
      </c>
      <c r="B673">
        <v>991107</v>
      </c>
      <c r="C673" t="s">
        <v>176</v>
      </c>
      <c r="E673" t="str">
        <f>"3491955940263"</f>
        <v>3491955940263</v>
      </c>
      <c r="H673" t="s">
        <v>17</v>
      </c>
      <c r="I673">
        <v>95030070</v>
      </c>
      <c r="J673">
        <v>4</v>
      </c>
      <c r="K673">
        <v>1</v>
      </c>
      <c r="L673">
        <v>4</v>
      </c>
      <c r="M673">
        <v>5.8</v>
      </c>
      <c r="N673">
        <v>5.22</v>
      </c>
      <c r="O673">
        <v>12.54</v>
      </c>
      <c r="P673">
        <v>50.16</v>
      </c>
      <c r="Q673">
        <v>10.6</v>
      </c>
      <c r="R673">
        <v>42.4</v>
      </c>
    </row>
    <row r="674" spans="1:18" x14ac:dyDescent="0.25">
      <c r="A674">
        <v>18809377</v>
      </c>
      <c r="B674">
        <v>1000266</v>
      </c>
      <c r="C674" t="s">
        <v>157</v>
      </c>
      <c r="E674" t="str">
        <f>"5413247031242"</f>
        <v>5413247031242</v>
      </c>
      <c r="H674" t="s">
        <v>17</v>
      </c>
      <c r="I674">
        <v>95030075</v>
      </c>
      <c r="J674">
        <v>12</v>
      </c>
      <c r="K674">
        <v>1</v>
      </c>
      <c r="L674">
        <v>12</v>
      </c>
      <c r="M674">
        <v>1.524</v>
      </c>
      <c r="N674">
        <v>1.3720000000000001</v>
      </c>
      <c r="O674">
        <v>0.96099999999999997</v>
      </c>
      <c r="P674">
        <v>11.532</v>
      </c>
      <c r="Q674">
        <v>1.26</v>
      </c>
      <c r="R674">
        <v>15.12</v>
      </c>
    </row>
    <row r="675" spans="1:18" x14ac:dyDescent="0.25">
      <c r="A675">
        <v>18809377</v>
      </c>
      <c r="B675">
        <v>667934</v>
      </c>
      <c r="C675" t="s">
        <v>168</v>
      </c>
      <c r="E675" t="str">
        <f>"3491953866930"</f>
        <v>3491953866930</v>
      </c>
      <c r="F675" t="str">
        <f>"3491955933739"</f>
        <v>3491955933739</v>
      </c>
      <c r="H675" t="s">
        <v>17</v>
      </c>
      <c r="I675">
        <v>95030095</v>
      </c>
      <c r="J675">
        <v>6</v>
      </c>
      <c r="K675">
        <v>1</v>
      </c>
      <c r="L675">
        <v>6</v>
      </c>
      <c r="M675">
        <v>16.998000000000001</v>
      </c>
      <c r="N675">
        <v>15.298</v>
      </c>
      <c r="O675">
        <v>50.421999999999997</v>
      </c>
      <c r="P675">
        <v>302.53199999999998</v>
      </c>
      <c r="Q675">
        <v>3.68</v>
      </c>
      <c r="R675">
        <v>22.08</v>
      </c>
    </row>
    <row r="676" spans="1:18" x14ac:dyDescent="0.25">
      <c r="A676">
        <v>18811060</v>
      </c>
      <c r="B676">
        <v>991100</v>
      </c>
      <c r="C676" t="s">
        <v>185</v>
      </c>
      <c r="E676" t="str">
        <f>"8720194708248"</f>
        <v>8720194708248</v>
      </c>
      <c r="H676" t="s">
        <v>17</v>
      </c>
      <c r="I676">
        <v>44209010</v>
      </c>
      <c r="J676">
        <v>1</v>
      </c>
      <c r="K676">
        <v>6</v>
      </c>
      <c r="L676">
        <v>6</v>
      </c>
      <c r="M676">
        <v>1.5</v>
      </c>
      <c r="N676">
        <v>1.35</v>
      </c>
      <c r="O676">
        <v>0.93500000000000005</v>
      </c>
      <c r="P676">
        <v>5.61</v>
      </c>
      <c r="Q676">
        <v>4.88</v>
      </c>
      <c r="R676">
        <v>29.28</v>
      </c>
    </row>
    <row r="677" spans="1:18" x14ac:dyDescent="0.25">
      <c r="A677">
        <v>18811060</v>
      </c>
      <c r="B677">
        <v>997504</v>
      </c>
      <c r="C677" t="s">
        <v>184</v>
      </c>
      <c r="E677" t="str">
        <f>"8720701032835"</f>
        <v>8720701032835</v>
      </c>
      <c r="H677" t="s">
        <v>17</v>
      </c>
      <c r="I677">
        <v>33073000</v>
      </c>
      <c r="J677">
        <v>6</v>
      </c>
      <c r="K677">
        <v>1</v>
      </c>
      <c r="L677">
        <v>6</v>
      </c>
      <c r="M677">
        <v>0.12</v>
      </c>
      <c r="N677">
        <v>0.108</v>
      </c>
      <c r="O677">
        <v>1.75</v>
      </c>
      <c r="P677">
        <v>10.5</v>
      </c>
      <c r="Q677">
        <v>6.65</v>
      </c>
      <c r="R677">
        <v>39.9</v>
      </c>
    </row>
    <row r="678" spans="1:18" x14ac:dyDescent="0.25">
      <c r="A678">
        <v>18811060</v>
      </c>
      <c r="B678">
        <v>996602</v>
      </c>
      <c r="C678" t="s">
        <v>186</v>
      </c>
      <c r="E678" t="str">
        <f>"3491955991241"</f>
        <v>3491955991241</v>
      </c>
      <c r="H678" t="s">
        <v>17</v>
      </c>
      <c r="I678">
        <v>70139900</v>
      </c>
      <c r="J678">
        <v>4</v>
      </c>
      <c r="K678">
        <v>2</v>
      </c>
      <c r="L678">
        <v>8</v>
      </c>
      <c r="M678">
        <v>11</v>
      </c>
      <c r="N678">
        <v>9.9</v>
      </c>
      <c r="O678">
        <v>9.6769999999999996</v>
      </c>
      <c r="P678">
        <v>77.415999999999997</v>
      </c>
      <c r="Q678">
        <v>12.44</v>
      </c>
      <c r="R678">
        <v>99.52</v>
      </c>
    </row>
    <row r="679" spans="1:18" x14ac:dyDescent="0.25">
      <c r="A679">
        <v>18811060</v>
      </c>
      <c r="B679">
        <v>994972</v>
      </c>
      <c r="C679" t="s">
        <v>182</v>
      </c>
      <c r="E679" t="str">
        <f>"2000007085572"</f>
        <v>2000007085572</v>
      </c>
      <c r="H679" t="s">
        <v>99</v>
      </c>
      <c r="I679">
        <v>61101910</v>
      </c>
      <c r="J679">
        <v>28</v>
      </c>
      <c r="K679">
        <v>1</v>
      </c>
      <c r="L679">
        <v>28</v>
      </c>
      <c r="M679">
        <v>17.388000000000002</v>
      </c>
      <c r="N679">
        <v>15.648999999999999</v>
      </c>
      <c r="O679">
        <v>4.6500000000000004</v>
      </c>
      <c r="P679">
        <v>130.19999999999999</v>
      </c>
      <c r="Q679">
        <v>7.41</v>
      </c>
      <c r="R679">
        <v>207.48</v>
      </c>
    </row>
    <row r="680" spans="1:18" x14ac:dyDescent="0.25">
      <c r="A680">
        <v>18811060</v>
      </c>
      <c r="B680">
        <v>1007814</v>
      </c>
      <c r="C680" t="s">
        <v>183</v>
      </c>
      <c r="E680" t="str">
        <f>"8712364562248"</f>
        <v>8712364562248</v>
      </c>
      <c r="H680" t="s">
        <v>17</v>
      </c>
      <c r="I680">
        <v>95059000</v>
      </c>
      <c r="J680">
        <v>1</v>
      </c>
      <c r="K680">
        <v>36</v>
      </c>
      <c r="L680">
        <v>36</v>
      </c>
      <c r="M680">
        <v>0.9</v>
      </c>
      <c r="N680">
        <v>0.81</v>
      </c>
      <c r="O680">
        <v>1.339</v>
      </c>
      <c r="P680">
        <v>48.204000000000001</v>
      </c>
      <c r="Q680">
        <v>1.5</v>
      </c>
      <c r="R680">
        <v>54</v>
      </c>
    </row>
    <row r="681" spans="1:18" x14ac:dyDescent="0.25">
      <c r="A681">
        <v>18811060</v>
      </c>
      <c r="B681">
        <v>987029</v>
      </c>
      <c r="C681" t="s">
        <v>192</v>
      </c>
      <c r="E681" t="str">
        <f>"8712364622508"</f>
        <v>8712364622508</v>
      </c>
      <c r="H681" t="s">
        <v>17</v>
      </c>
      <c r="I681">
        <v>63079098</v>
      </c>
      <c r="J681">
        <v>1</v>
      </c>
      <c r="K681">
        <v>60</v>
      </c>
      <c r="L681">
        <v>60</v>
      </c>
      <c r="M681">
        <v>0.72</v>
      </c>
      <c r="N681">
        <v>0.64800000000000002</v>
      </c>
      <c r="O681">
        <v>0.22700000000000001</v>
      </c>
      <c r="P681">
        <v>13.62</v>
      </c>
      <c r="Q681">
        <v>1.17</v>
      </c>
      <c r="R681">
        <v>70.2</v>
      </c>
    </row>
    <row r="682" spans="1:18" x14ac:dyDescent="0.25">
      <c r="A682">
        <v>18811060</v>
      </c>
      <c r="B682">
        <v>1007802</v>
      </c>
      <c r="C682" t="s">
        <v>191</v>
      </c>
      <c r="E682" t="str">
        <f>"8712364577211"</f>
        <v>8712364577211</v>
      </c>
      <c r="H682" t="s">
        <v>17</v>
      </c>
      <c r="I682">
        <v>95059000</v>
      </c>
      <c r="J682">
        <v>12</v>
      </c>
      <c r="K682">
        <v>4</v>
      </c>
      <c r="L682">
        <v>48</v>
      </c>
      <c r="M682">
        <v>12</v>
      </c>
      <c r="N682">
        <v>10.8</v>
      </c>
      <c r="O682">
        <v>3.6160000000000001</v>
      </c>
      <c r="P682">
        <v>173.56800000000001</v>
      </c>
      <c r="Q682">
        <v>2.54</v>
      </c>
      <c r="R682">
        <v>121.92</v>
      </c>
    </row>
    <row r="683" spans="1:18" x14ac:dyDescent="0.25">
      <c r="A683">
        <v>18811060</v>
      </c>
      <c r="B683">
        <v>994476</v>
      </c>
      <c r="C683" t="s">
        <v>180</v>
      </c>
      <c r="E683" t="str">
        <f>"5050574252829"</f>
        <v>5050574252829</v>
      </c>
      <c r="H683" t="s">
        <v>17</v>
      </c>
      <c r="I683">
        <v>69111000</v>
      </c>
      <c r="J683">
        <v>6</v>
      </c>
      <c r="K683">
        <v>1</v>
      </c>
      <c r="L683">
        <v>6</v>
      </c>
      <c r="M683">
        <v>2.274</v>
      </c>
      <c r="N683">
        <v>2.0470000000000002</v>
      </c>
      <c r="O683">
        <v>1.2090000000000001</v>
      </c>
      <c r="P683">
        <v>7.2539999999999996</v>
      </c>
      <c r="Q683">
        <v>4.3499999999999996</v>
      </c>
      <c r="R683">
        <v>26.1</v>
      </c>
    </row>
    <row r="684" spans="1:18" x14ac:dyDescent="0.25">
      <c r="A684">
        <v>18811060</v>
      </c>
      <c r="B684">
        <v>986369</v>
      </c>
      <c r="C684" t="s">
        <v>178</v>
      </c>
      <c r="E684" t="str">
        <f>"887961943726"</f>
        <v>887961943726</v>
      </c>
      <c r="F684" t="str">
        <f>"887961943696"</f>
        <v>887961943696</v>
      </c>
      <c r="G684" t="str">
        <f>"887961943719"</f>
        <v>887961943719</v>
      </c>
      <c r="H684" t="s">
        <v>17</v>
      </c>
      <c r="I684">
        <v>95030049</v>
      </c>
      <c r="J684">
        <v>6</v>
      </c>
      <c r="K684">
        <v>1</v>
      </c>
      <c r="L684">
        <v>6</v>
      </c>
      <c r="M684">
        <v>0.93</v>
      </c>
      <c r="N684">
        <v>0.83699999999999997</v>
      </c>
      <c r="O684">
        <v>2.8359999999999999</v>
      </c>
      <c r="P684">
        <v>17.015999999999998</v>
      </c>
      <c r="Q684">
        <v>6.82</v>
      </c>
      <c r="R684">
        <v>40.92</v>
      </c>
    </row>
    <row r="685" spans="1:18" x14ac:dyDescent="0.25">
      <c r="A685">
        <v>18811060</v>
      </c>
      <c r="B685">
        <v>994504</v>
      </c>
      <c r="C685" t="s">
        <v>177</v>
      </c>
      <c r="E685" t="str">
        <f>"778988366967"</f>
        <v>778988366967</v>
      </c>
      <c r="H685" t="s">
        <v>69</v>
      </c>
      <c r="I685">
        <v>95030070</v>
      </c>
      <c r="J685">
        <v>4</v>
      </c>
      <c r="K685">
        <v>1</v>
      </c>
      <c r="L685">
        <v>4</v>
      </c>
      <c r="M685">
        <v>1.2</v>
      </c>
      <c r="N685">
        <v>1.08</v>
      </c>
      <c r="O685">
        <v>1.875</v>
      </c>
      <c r="P685">
        <v>7.5</v>
      </c>
      <c r="Q685">
        <v>8.36</v>
      </c>
      <c r="R685">
        <v>33.44</v>
      </c>
    </row>
    <row r="686" spans="1:18" x14ac:dyDescent="0.25">
      <c r="A686">
        <v>18811060</v>
      </c>
      <c r="B686">
        <v>987030</v>
      </c>
      <c r="C686" t="s">
        <v>188</v>
      </c>
      <c r="E686" t="str">
        <f>"8712364584240"</f>
        <v>8712364584240</v>
      </c>
      <c r="H686" t="s">
        <v>17</v>
      </c>
      <c r="I686">
        <v>33049900</v>
      </c>
      <c r="J686">
        <v>1</v>
      </c>
      <c r="K686">
        <v>60</v>
      </c>
      <c r="L686">
        <v>60</v>
      </c>
      <c r="M686">
        <v>1.8</v>
      </c>
      <c r="N686">
        <v>1.62</v>
      </c>
      <c r="O686">
        <v>0.17699999999999999</v>
      </c>
      <c r="P686">
        <v>10.62</v>
      </c>
      <c r="Q686">
        <v>0.96</v>
      </c>
      <c r="R686">
        <v>57.6</v>
      </c>
    </row>
    <row r="687" spans="1:18" x14ac:dyDescent="0.25">
      <c r="A687">
        <v>18811060</v>
      </c>
      <c r="B687">
        <v>987006</v>
      </c>
      <c r="C687" t="s">
        <v>193</v>
      </c>
      <c r="E687" t="str">
        <f>"8712364622553"</f>
        <v>8712364622553</v>
      </c>
      <c r="H687" t="s">
        <v>17</v>
      </c>
      <c r="I687">
        <v>63079098</v>
      </c>
      <c r="J687">
        <v>1</v>
      </c>
      <c r="K687">
        <v>40</v>
      </c>
      <c r="L687">
        <v>40</v>
      </c>
      <c r="M687">
        <v>3.2</v>
      </c>
      <c r="N687">
        <v>2.88</v>
      </c>
      <c r="O687">
        <v>0.27</v>
      </c>
      <c r="P687">
        <v>10.8</v>
      </c>
      <c r="Q687">
        <v>1.17</v>
      </c>
      <c r="R687">
        <v>46.8</v>
      </c>
    </row>
    <row r="688" spans="1:18" x14ac:dyDescent="0.25">
      <c r="A688">
        <v>18811060</v>
      </c>
      <c r="B688">
        <v>987040</v>
      </c>
      <c r="C688" t="s">
        <v>181</v>
      </c>
      <c r="E688" t="str">
        <f>"8712364584233"</f>
        <v>8712364584233</v>
      </c>
      <c r="H688" t="s">
        <v>17</v>
      </c>
      <c r="I688">
        <v>33049900</v>
      </c>
      <c r="J688">
        <v>1</v>
      </c>
      <c r="K688">
        <v>40</v>
      </c>
      <c r="L688">
        <v>40</v>
      </c>
      <c r="M688">
        <v>12.12</v>
      </c>
      <c r="N688">
        <v>10.907999999999999</v>
      </c>
      <c r="O688">
        <v>0.16900000000000001</v>
      </c>
      <c r="P688">
        <v>6.76</v>
      </c>
      <c r="Q688">
        <v>0.96</v>
      </c>
      <c r="R688">
        <v>38.4</v>
      </c>
    </row>
    <row r="689" spans="1:18" x14ac:dyDescent="0.25">
      <c r="A689">
        <v>18811060</v>
      </c>
      <c r="B689">
        <v>987019</v>
      </c>
      <c r="C689" t="s">
        <v>179</v>
      </c>
      <c r="E689" t="str">
        <f>"8712364803457"</f>
        <v>8712364803457</v>
      </c>
      <c r="F689" t="str">
        <f>"8712364800982"</f>
        <v>8712364800982</v>
      </c>
      <c r="H689" t="s">
        <v>17</v>
      </c>
      <c r="I689">
        <v>95059000</v>
      </c>
      <c r="J689">
        <v>12</v>
      </c>
      <c r="K689">
        <v>4</v>
      </c>
      <c r="L689">
        <v>48</v>
      </c>
      <c r="M689">
        <v>0.48</v>
      </c>
      <c r="N689">
        <v>0.432</v>
      </c>
      <c r="O689">
        <v>0.19900000000000001</v>
      </c>
      <c r="P689">
        <v>9.5519999999999996</v>
      </c>
      <c r="Q689">
        <v>0.3</v>
      </c>
      <c r="R689">
        <v>14.4</v>
      </c>
    </row>
    <row r="690" spans="1:18" x14ac:dyDescent="0.25">
      <c r="A690">
        <v>18815866</v>
      </c>
      <c r="B690">
        <v>923620</v>
      </c>
      <c r="C690" t="s">
        <v>574</v>
      </c>
      <c r="E690" t="str">
        <f>"5411397143037"</f>
        <v>5411397143037</v>
      </c>
      <c r="H690" t="s">
        <v>17</v>
      </c>
      <c r="I690">
        <v>85167200</v>
      </c>
      <c r="J690">
        <v>1</v>
      </c>
      <c r="K690">
        <v>1</v>
      </c>
      <c r="L690">
        <v>1</v>
      </c>
      <c r="M690">
        <v>2.3330000000000002</v>
      </c>
      <c r="N690">
        <v>2.1</v>
      </c>
      <c r="O690">
        <v>15.84</v>
      </c>
      <c r="P690">
        <v>15.84</v>
      </c>
      <c r="Q690">
        <v>18.18</v>
      </c>
      <c r="R690">
        <v>18.18</v>
      </c>
    </row>
    <row r="691" spans="1:18" x14ac:dyDescent="0.25">
      <c r="A691">
        <v>18815866</v>
      </c>
      <c r="B691">
        <v>673164</v>
      </c>
      <c r="C691" t="s">
        <v>575</v>
      </c>
      <c r="E691" t="str">
        <f>"3491953475842"</f>
        <v>3491953475842</v>
      </c>
      <c r="H691" t="s">
        <v>17</v>
      </c>
      <c r="I691">
        <v>85166070</v>
      </c>
      <c r="J691">
        <v>1</v>
      </c>
      <c r="K691">
        <v>1</v>
      </c>
      <c r="L691">
        <v>1</v>
      </c>
      <c r="M691">
        <v>3.46</v>
      </c>
      <c r="N691">
        <v>3.1139999999999999</v>
      </c>
      <c r="O691">
        <v>32.707999999999998</v>
      </c>
      <c r="P691">
        <v>32.707999999999998</v>
      </c>
      <c r="Q691">
        <v>20.79</v>
      </c>
      <c r="R691">
        <v>20.79</v>
      </c>
    </row>
    <row r="692" spans="1:18" x14ac:dyDescent="0.25">
      <c r="A692">
        <v>18815867</v>
      </c>
      <c r="B692">
        <v>682851</v>
      </c>
      <c r="C692" t="s">
        <v>576</v>
      </c>
      <c r="E692" t="str">
        <f>"3491953638711"</f>
        <v>3491953638711</v>
      </c>
      <c r="F692" t="str">
        <f>"3491953816911"</f>
        <v>3491953816911</v>
      </c>
      <c r="H692" t="s">
        <v>17</v>
      </c>
      <c r="I692">
        <v>76151080</v>
      </c>
      <c r="J692">
        <v>6</v>
      </c>
      <c r="K692">
        <v>1</v>
      </c>
      <c r="L692">
        <v>6</v>
      </c>
      <c r="M692">
        <v>1.8660000000000001</v>
      </c>
      <c r="N692">
        <v>1.679</v>
      </c>
      <c r="O692">
        <v>2.5409999999999999</v>
      </c>
      <c r="P692">
        <v>15.246</v>
      </c>
      <c r="Q692">
        <v>1.61</v>
      </c>
      <c r="R692">
        <v>9.66</v>
      </c>
    </row>
    <row r="693" spans="1:18" x14ac:dyDescent="0.25">
      <c r="A693">
        <v>18815867</v>
      </c>
      <c r="B693">
        <v>327413</v>
      </c>
      <c r="C693" t="s">
        <v>577</v>
      </c>
      <c r="E693" t="str">
        <f>"5400320091309"</f>
        <v>5400320091309</v>
      </c>
      <c r="F693" t="str">
        <f>"5400320106904"</f>
        <v>5400320106904</v>
      </c>
      <c r="G693" t="str">
        <f>"5400320082390"</f>
        <v>5400320082390</v>
      </c>
      <c r="H693" t="s">
        <v>397</v>
      </c>
      <c r="I693">
        <v>94049090</v>
      </c>
      <c r="J693">
        <v>1</v>
      </c>
      <c r="K693">
        <v>1</v>
      </c>
      <c r="L693">
        <v>1</v>
      </c>
      <c r="M693">
        <v>1.3160000000000001</v>
      </c>
      <c r="N693">
        <v>1.1839999999999999</v>
      </c>
      <c r="O693">
        <v>35.588000000000001</v>
      </c>
      <c r="P693">
        <v>35.588000000000001</v>
      </c>
      <c r="Q693">
        <v>15.48</v>
      </c>
      <c r="R693">
        <v>15.48</v>
      </c>
    </row>
    <row r="694" spans="1:18" x14ac:dyDescent="0.25">
      <c r="A694">
        <v>18815867</v>
      </c>
      <c r="B694">
        <v>302474</v>
      </c>
      <c r="C694" t="s">
        <v>578</v>
      </c>
      <c r="E694" t="str">
        <f>"5411708085391"</f>
        <v>5411708085391</v>
      </c>
      <c r="H694" t="s">
        <v>200</v>
      </c>
      <c r="I694">
        <v>34060000</v>
      </c>
      <c r="J694">
        <v>10</v>
      </c>
      <c r="K694">
        <v>1</v>
      </c>
      <c r="L694">
        <v>10</v>
      </c>
      <c r="M694">
        <v>11.88</v>
      </c>
      <c r="N694">
        <v>10.692</v>
      </c>
      <c r="O694">
        <v>3.12</v>
      </c>
      <c r="P694">
        <v>31.2</v>
      </c>
      <c r="Q694">
        <v>3.18</v>
      </c>
      <c r="R694">
        <v>31.8</v>
      </c>
    </row>
    <row r="695" spans="1:18" x14ac:dyDescent="0.25">
      <c r="A695">
        <v>18815867</v>
      </c>
      <c r="B695">
        <v>956345</v>
      </c>
      <c r="C695" t="s">
        <v>196</v>
      </c>
      <c r="E695" t="str">
        <f>"3491955560027"</f>
        <v>3491955560027</v>
      </c>
      <c r="H695" t="s">
        <v>17</v>
      </c>
      <c r="I695">
        <v>62143000</v>
      </c>
      <c r="J695">
        <v>1</v>
      </c>
      <c r="K695">
        <v>3</v>
      </c>
      <c r="L695">
        <v>3</v>
      </c>
      <c r="M695">
        <v>1.6739999999999999</v>
      </c>
      <c r="N695">
        <v>1.5069999999999999</v>
      </c>
      <c r="O695">
        <v>7.2</v>
      </c>
      <c r="P695">
        <v>21.6</v>
      </c>
      <c r="Q695">
        <v>3.14</v>
      </c>
      <c r="R695">
        <v>9.42</v>
      </c>
    </row>
    <row r="696" spans="1:18" x14ac:dyDescent="0.25">
      <c r="A696">
        <v>18816855</v>
      </c>
      <c r="B696">
        <v>1020003</v>
      </c>
      <c r="C696" t="s">
        <v>579</v>
      </c>
      <c r="E696" t="str">
        <f>"8001841542645"</f>
        <v>8001841542645</v>
      </c>
      <c r="H696" t="s">
        <v>54</v>
      </c>
      <c r="I696">
        <v>63071030</v>
      </c>
      <c r="J696">
        <v>6</v>
      </c>
      <c r="K696">
        <v>1</v>
      </c>
      <c r="L696">
        <v>6</v>
      </c>
      <c r="M696">
        <v>2.7959999999999998</v>
      </c>
      <c r="N696">
        <v>2.516</v>
      </c>
      <c r="O696">
        <v>3.5529999999999999</v>
      </c>
      <c r="P696">
        <v>21.318000000000001</v>
      </c>
      <c r="Q696">
        <v>6.3</v>
      </c>
      <c r="R696">
        <v>37.799999999999997</v>
      </c>
    </row>
    <row r="697" spans="1:18" x14ac:dyDescent="0.25">
      <c r="A697">
        <v>18816855</v>
      </c>
      <c r="B697">
        <v>964496</v>
      </c>
      <c r="C697" t="s">
        <v>580</v>
      </c>
      <c r="E697" t="str">
        <f>"8710552273068"</f>
        <v>8710552273068</v>
      </c>
      <c r="H697" t="s">
        <v>206</v>
      </c>
      <c r="I697">
        <v>34025090</v>
      </c>
      <c r="J697">
        <v>10</v>
      </c>
      <c r="K697">
        <v>1</v>
      </c>
      <c r="L697">
        <v>10</v>
      </c>
      <c r="M697">
        <v>0.86</v>
      </c>
      <c r="N697">
        <v>0.77400000000000002</v>
      </c>
      <c r="O697">
        <v>1.2</v>
      </c>
      <c r="P697">
        <v>12</v>
      </c>
      <c r="Q697">
        <v>1.83</v>
      </c>
      <c r="R697">
        <v>18.3</v>
      </c>
    </row>
    <row r="698" spans="1:18" x14ac:dyDescent="0.25">
      <c r="A698">
        <v>18816855</v>
      </c>
      <c r="B698">
        <v>1020017</v>
      </c>
      <c r="C698" t="s">
        <v>581</v>
      </c>
      <c r="E698" t="str">
        <f>"8001090236166"</f>
        <v>8001090236166</v>
      </c>
      <c r="H698" t="s">
        <v>54</v>
      </c>
      <c r="I698">
        <v>63071030</v>
      </c>
      <c r="J698">
        <v>8</v>
      </c>
      <c r="K698">
        <v>2</v>
      </c>
      <c r="L698">
        <v>16</v>
      </c>
      <c r="M698">
        <v>4.1920000000000002</v>
      </c>
      <c r="N698">
        <v>3.7730000000000001</v>
      </c>
      <c r="O698">
        <v>3.8359999999999999</v>
      </c>
      <c r="P698">
        <v>61.375999999999998</v>
      </c>
      <c r="Q698">
        <v>2.58</v>
      </c>
      <c r="R698">
        <v>41.28</v>
      </c>
    </row>
    <row r="699" spans="1:18" x14ac:dyDescent="0.25">
      <c r="A699">
        <v>18816855</v>
      </c>
      <c r="B699">
        <v>1016180</v>
      </c>
      <c r="C699" t="s">
        <v>582</v>
      </c>
      <c r="E699" t="str">
        <f>"8001841541075"</f>
        <v>8001841541075</v>
      </c>
      <c r="H699" t="s">
        <v>97</v>
      </c>
      <c r="I699">
        <v>34025090</v>
      </c>
      <c r="J699">
        <v>6</v>
      </c>
      <c r="K699">
        <v>1</v>
      </c>
      <c r="L699">
        <v>6</v>
      </c>
      <c r="M699">
        <v>6.6180000000000003</v>
      </c>
      <c r="N699">
        <v>5.9560000000000004</v>
      </c>
      <c r="O699">
        <v>2.4300000000000002</v>
      </c>
      <c r="P699">
        <v>14.58</v>
      </c>
      <c r="Q699">
        <v>1.1499999999999999</v>
      </c>
      <c r="R699">
        <v>6.9</v>
      </c>
    </row>
    <row r="700" spans="1:18" x14ac:dyDescent="0.25">
      <c r="A700">
        <v>18816855</v>
      </c>
      <c r="B700">
        <v>628743</v>
      </c>
      <c r="C700" t="s">
        <v>583</v>
      </c>
      <c r="E700" t="str">
        <f>"5415087003939"</f>
        <v>5415087003939</v>
      </c>
      <c r="H700" t="s">
        <v>203</v>
      </c>
      <c r="I700">
        <v>34025090</v>
      </c>
      <c r="J700">
        <v>12</v>
      </c>
      <c r="K700">
        <v>1</v>
      </c>
      <c r="L700">
        <v>12</v>
      </c>
      <c r="M700">
        <v>9</v>
      </c>
      <c r="N700">
        <v>8.1</v>
      </c>
      <c r="O700">
        <v>2</v>
      </c>
      <c r="P700">
        <v>24</v>
      </c>
      <c r="Q700">
        <v>1.3</v>
      </c>
      <c r="R700">
        <v>15.6</v>
      </c>
    </row>
    <row r="701" spans="1:18" x14ac:dyDescent="0.25">
      <c r="A701">
        <v>18816855</v>
      </c>
      <c r="B701">
        <v>304563</v>
      </c>
      <c r="C701" t="s">
        <v>584</v>
      </c>
      <c r="E701" t="str">
        <f>"3346025721009"</f>
        <v>3346025721009</v>
      </c>
      <c r="H701" t="s">
        <v>203</v>
      </c>
      <c r="I701">
        <v>34025090</v>
      </c>
      <c r="J701">
        <v>12</v>
      </c>
      <c r="K701">
        <v>1</v>
      </c>
      <c r="L701">
        <v>12</v>
      </c>
      <c r="M701">
        <v>12.996</v>
      </c>
      <c r="N701">
        <v>11.696</v>
      </c>
      <c r="O701">
        <v>2.6</v>
      </c>
      <c r="P701">
        <v>31.2</v>
      </c>
      <c r="Q701">
        <v>1.3</v>
      </c>
      <c r="R701">
        <v>15.6</v>
      </c>
    </row>
    <row r="702" spans="1:18" x14ac:dyDescent="0.25">
      <c r="A702">
        <v>18816855</v>
      </c>
      <c r="B702">
        <v>985488</v>
      </c>
      <c r="C702" t="s">
        <v>585</v>
      </c>
      <c r="E702" t="str">
        <f>"8001841518985"</f>
        <v>8001841518985</v>
      </c>
      <c r="H702" t="s">
        <v>97</v>
      </c>
      <c r="I702">
        <v>34025090</v>
      </c>
      <c r="J702">
        <v>8</v>
      </c>
      <c r="K702">
        <v>1</v>
      </c>
      <c r="L702">
        <v>8</v>
      </c>
      <c r="M702">
        <v>8</v>
      </c>
      <c r="N702">
        <v>7.2</v>
      </c>
      <c r="O702">
        <v>1.75</v>
      </c>
      <c r="P702">
        <v>14</v>
      </c>
      <c r="Q702">
        <v>1.55</v>
      </c>
      <c r="R702">
        <v>12.4</v>
      </c>
    </row>
    <row r="703" spans="1:18" x14ac:dyDescent="0.25">
      <c r="A703">
        <v>18816855</v>
      </c>
      <c r="B703">
        <v>1007183</v>
      </c>
      <c r="C703" t="s">
        <v>586</v>
      </c>
      <c r="E703" t="str">
        <f>"4002448108344"</f>
        <v>4002448108344</v>
      </c>
      <c r="H703" t="s">
        <v>97</v>
      </c>
      <c r="I703">
        <v>34025090</v>
      </c>
      <c r="J703">
        <v>4</v>
      </c>
      <c r="K703">
        <v>1</v>
      </c>
      <c r="L703">
        <v>4</v>
      </c>
      <c r="M703">
        <v>3.38</v>
      </c>
      <c r="N703">
        <v>3.0419999999999998</v>
      </c>
      <c r="O703">
        <v>4.5039999999999996</v>
      </c>
      <c r="P703">
        <v>18.015999999999998</v>
      </c>
      <c r="Q703">
        <v>1.75</v>
      </c>
      <c r="R703">
        <v>7</v>
      </c>
    </row>
    <row r="704" spans="1:18" x14ac:dyDescent="0.25">
      <c r="A704">
        <v>18816856</v>
      </c>
      <c r="B704">
        <v>383093</v>
      </c>
      <c r="C704" t="s">
        <v>587</v>
      </c>
      <c r="E704" t="str">
        <f>"2090000692167"</f>
        <v>2090000692167</v>
      </c>
      <c r="H704" t="s">
        <v>97</v>
      </c>
      <c r="I704">
        <v>94049090</v>
      </c>
      <c r="J704">
        <v>1</v>
      </c>
      <c r="K704">
        <v>5</v>
      </c>
      <c r="L704">
        <v>5</v>
      </c>
      <c r="M704">
        <v>3</v>
      </c>
      <c r="N704">
        <v>2.7</v>
      </c>
      <c r="O704">
        <v>20.8</v>
      </c>
      <c r="P704">
        <v>104</v>
      </c>
      <c r="Q704">
        <v>1.73</v>
      </c>
      <c r="R704">
        <v>8.65</v>
      </c>
    </row>
    <row r="705" spans="1:18" x14ac:dyDescent="0.25">
      <c r="A705">
        <v>18816856</v>
      </c>
      <c r="B705">
        <v>968490</v>
      </c>
      <c r="C705" t="s">
        <v>588</v>
      </c>
      <c r="E705" t="str">
        <f>"5407007985548"</f>
        <v>5407007985548</v>
      </c>
      <c r="H705" t="s">
        <v>101</v>
      </c>
      <c r="I705">
        <v>63022100</v>
      </c>
      <c r="J705">
        <v>1</v>
      </c>
      <c r="K705">
        <v>2</v>
      </c>
      <c r="L705">
        <v>2</v>
      </c>
      <c r="M705">
        <v>2.8</v>
      </c>
      <c r="N705">
        <v>2.52</v>
      </c>
      <c r="O705">
        <v>6.0750000000000002</v>
      </c>
      <c r="P705">
        <v>12.15</v>
      </c>
      <c r="Q705">
        <v>12.12</v>
      </c>
      <c r="R705">
        <v>24.24</v>
      </c>
    </row>
    <row r="706" spans="1:18" x14ac:dyDescent="0.25">
      <c r="A706">
        <v>18816856</v>
      </c>
      <c r="B706">
        <v>997103</v>
      </c>
      <c r="C706" t="s">
        <v>589</v>
      </c>
      <c r="E706" t="str">
        <f>"5414987566346"</f>
        <v>5414987566346</v>
      </c>
      <c r="H706" t="s">
        <v>101</v>
      </c>
      <c r="I706">
        <v>63022100</v>
      </c>
      <c r="J706">
        <v>1</v>
      </c>
      <c r="K706">
        <v>2</v>
      </c>
      <c r="L706">
        <v>2</v>
      </c>
      <c r="M706">
        <v>3.4</v>
      </c>
      <c r="N706">
        <v>3.06</v>
      </c>
      <c r="O706">
        <v>9.4269999999999996</v>
      </c>
      <c r="P706">
        <v>18.853999999999999</v>
      </c>
      <c r="Q706">
        <v>12.92</v>
      </c>
      <c r="R706">
        <v>25.84</v>
      </c>
    </row>
    <row r="707" spans="1:18" x14ac:dyDescent="0.25">
      <c r="A707">
        <v>18816856</v>
      </c>
      <c r="B707">
        <v>1004021</v>
      </c>
      <c r="C707" t="s">
        <v>590</v>
      </c>
      <c r="E707" t="str">
        <f>"5414987254625"</f>
        <v>5414987254625</v>
      </c>
      <c r="H707" t="s">
        <v>17</v>
      </c>
      <c r="I707">
        <v>63014090</v>
      </c>
      <c r="J707">
        <v>1</v>
      </c>
      <c r="K707">
        <v>2</v>
      </c>
      <c r="L707">
        <v>2</v>
      </c>
      <c r="M707">
        <v>1.1319999999999999</v>
      </c>
      <c r="N707">
        <v>1.0189999999999999</v>
      </c>
      <c r="O707">
        <v>4.8840000000000003</v>
      </c>
      <c r="P707">
        <v>9.7680000000000007</v>
      </c>
      <c r="Q707">
        <v>2.83</v>
      </c>
      <c r="R707">
        <v>5.66</v>
      </c>
    </row>
    <row r="708" spans="1:18" x14ac:dyDescent="0.25">
      <c r="A708">
        <v>18816856</v>
      </c>
      <c r="B708">
        <v>983242</v>
      </c>
      <c r="C708" t="s">
        <v>591</v>
      </c>
      <c r="E708" t="str">
        <f>"3491955560973"</f>
        <v>3491955560973</v>
      </c>
      <c r="H708" t="s">
        <v>17</v>
      </c>
      <c r="I708">
        <v>63041990</v>
      </c>
      <c r="J708">
        <v>4</v>
      </c>
      <c r="K708">
        <v>3</v>
      </c>
      <c r="L708">
        <v>6</v>
      </c>
      <c r="M708">
        <v>2.226</v>
      </c>
      <c r="N708">
        <v>2.004</v>
      </c>
      <c r="O708">
        <v>3.3580000000000001</v>
      </c>
      <c r="P708">
        <v>20.148</v>
      </c>
      <c r="Q708">
        <v>2.58</v>
      </c>
      <c r="R708">
        <v>15.48</v>
      </c>
    </row>
    <row r="709" spans="1:18" x14ac:dyDescent="0.25">
      <c r="A709">
        <v>18816856</v>
      </c>
      <c r="B709">
        <v>1004022</v>
      </c>
      <c r="C709" t="s">
        <v>592</v>
      </c>
      <c r="E709" t="str">
        <f>"5414987254656"</f>
        <v>5414987254656</v>
      </c>
      <c r="H709" t="s">
        <v>17</v>
      </c>
      <c r="I709">
        <v>63014090</v>
      </c>
      <c r="J709">
        <v>1</v>
      </c>
      <c r="K709">
        <v>2</v>
      </c>
      <c r="L709">
        <v>2</v>
      </c>
      <c r="M709">
        <v>1.25</v>
      </c>
      <c r="N709">
        <v>1.125</v>
      </c>
      <c r="O709">
        <v>4.992</v>
      </c>
      <c r="P709">
        <v>9.984</v>
      </c>
      <c r="Q709">
        <v>3</v>
      </c>
      <c r="R709">
        <v>6</v>
      </c>
    </row>
    <row r="710" spans="1:18" x14ac:dyDescent="0.25">
      <c r="A710">
        <v>18816856</v>
      </c>
      <c r="B710">
        <v>983241</v>
      </c>
      <c r="C710" t="s">
        <v>593</v>
      </c>
      <c r="E710" t="str">
        <f>"3491955560966"</f>
        <v>3491955560966</v>
      </c>
      <c r="H710" t="s">
        <v>17</v>
      </c>
      <c r="I710">
        <v>63041990</v>
      </c>
      <c r="J710">
        <v>4</v>
      </c>
      <c r="K710">
        <v>3</v>
      </c>
      <c r="L710">
        <v>6</v>
      </c>
      <c r="M710">
        <v>2.1840000000000002</v>
      </c>
      <c r="N710">
        <v>1.9650000000000001</v>
      </c>
      <c r="O710">
        <v>3.3580000000000001</v>
      </c>
      <c r="P710">
        <v>20.148</v>
      </c>
      <c r="Q710">
        <v>2.58</v>
      </c>
      <c r="R710">
        <v>15.48</v>
      </c>
    </row>
    <row r="711" spans="1:18" x14ac:dyDescent="0.25">
      <c r="A711">
        <v>18816856</v>
      </c>
      <c r="B711">
        <v>983240</v>
      </c>
      <c r="C711" t="s">
        <v>594</v>
      </c>
      <c r="E711" t="str">
        <f>"3491955560942"</f>
        <v>3491955560942</v>
      </c>
      <c r="H711" t="s">
        <v>17</v>
      </c>
      <c r="I711">
        <v>63041990</v>
      </c>
      <c r="J711">
        <v>4</v>
      </c>
      <c r="K711">
        <v>1</v>
      </c>
      <c r="L711">
        <v>4</v>
      </c>
      <c r="M711">
        <v>1.4359999999999999</v>
      </c>
      <c r="N711">
        <v>1.292</v>
      </c>
      <c r="O711">
        <v>3.3580000000000001</v>
      </c>
      <c r="P711">
        <v>13.432</v>
      </c>
      <c r="Q711">
        <v>2.58</v>
      </c>
      <c r="R711">
        <v>10.32</v>
      </c>
    </row>
    <row r="712" spans="1:18" x14ac:dyDescent="0.25">
      <c r="A712">
        <v>18816856</v>
      </c>
      <c r="B712">
        <v>996977</v>
      </c>
      <c r="C712" t="s">
        <v>595</v>
      </c>
      <c r="E712" t="str">
        <f>"5414987566308"</f>
        <v>5414987566308</v>
      </c>
      <c r="H712" t="s">
        <v>101</v>
      </c>
      <c r="I712">
        <v>63022100</v>
      </c>
      <c r="J712">
        <v>1</v>
      </c>
      <c r="K712">
        <v>2</v>
      </c>
      <c r="L712">
        <v>2</v>
      </c>
      <c r="M712">
        <v>3.6</v>
      </c>
      <c r="N712">
        <v>3.24</v>
      </c>
      <c r="O712">
        <v>9.4269999999999996</v>
      </c>
      <c r="P712">
        <v>18.853999999999999</v>
      </c>
      <c r="Q712">
        <v>12.73</v>
      </c>
      <c r="R712">
        <v>25.46</v>
      </c>
    </row>
    <row r="713" spans="1:18" x14ac:dyDescent="0.25">
      <c r="A713">
        <v>18816856</v>
      </c>
      <c r="B713">
        <v>997115</v>
      </c>
      <c r="C713" t="s">
        <v>596</v>
      </c>
      <c r="E713" t="str">
        <f>"5414987566407"</f>
        <v>5414987566407</v>
      </c>
      <c r="H713" t="s">
        <v>101</v>
      </c>
      <c r="I713">
        <v>63022100</v>
      </c>
      <c r="J713">
        <v>1</v>
      </c>
      <c r="K713">
        <v>2</v>
      </c>
      <c r="L713">
        <v>2</v>
      </c>
      <c r="M713">
        <v>3.3679999999999999</v>
      </c>
      <c r="N713">
        <v>3.0310000000000001</v>
      </c>
      <c r="O713">
        <v>9.4269999999999996</v>
      </c>
      <c r="P713">
        <v>18.853999999999999</v>
      </c>
      <c r="Q713">
        <v>12.54</v>
      </c>
      <c r="R713">
        <v>25.08</v>
      </c>
    </row>
    <row r="714" spans="1:18" x14ac:dyDescent="0.25">
      <c r="A714">
        <v>18816856</v>
      </c>
      <c r="B714">
        <v>1004020</v>
      </c>
      <c r="C714" t="s">
        <v>597</v>
      </c>
      <c r="E714" t="str">
        <f>"5414987254632"</f>
        <v>5414987254632</v>
      </c>
      <c r="H714" t="s">
        <v>17</v>
      </c>
      <c r="I714">
        <v>63014090</v>
      </c>
      <c r="J714">
        <v>1</v>
      </c>
      <c r="K714">
        <v>2</v>
      </c>
      <c r="L714">
        <v>2</v>
      </c>
      <c r="M714">
        <v>1.1819999999999999</v>
      </c>
      <c r="N714">
        <v>1.0640000000000001</v>
      </c>
      <c r="O714">
        <v>4.8639999999999999</v>
      </c>
      <c r="P714">
        <v>9.7279999999999998</v>
      </c>
      <c r="Q714">
        <v>2.83</v>
      </c>
      <c r="R714">
        <v>5.66</v>
      </c>
    </row>
    <row r="715" spans="1:18" x14ac:dyDescent="0.25">
      <c r="A715">
        <v>18816857</v>
      </c>
      <c r="B715">
        <v>922663</v>
      </c>
      <c r="C715" t="s">
        <v>598</v>
      </c>
      <c r="E715" t="str">
        <f>"5407007982097"</f>
        <v>5407007982097</v>
      </c>
      <c r="H715" t="s">
        <v>101</v>
      </c>
      <c r="I715">
        <v>63022100</v>
      </c>
      <c r="J715">
        <v>1</v>
      </c>
      <c r="K715">
        <v>4</v>
      </c>
      <c r="L715">
        <v>4</v>
      </c>
      <c r="M715">
        <v>6.2919999999999998</v>
      </c>
      <c r="N715">
        <v>5.6630000000000003</v>
      </c>
      <c r="O715">
        <v>5.16</v>
      </c>
      <c r="P715">
        <v>20.64</v>
      </c>
      <c r="Q715">
        <v>18.239999999999998</v>
      </c>
      <c r="R715">
        <v>72.959999999999994</v>
      </c>
    </row>
    <row r="716" spans="1:18" x14ac:dyDescent="0.25">
      <c r="A716">
        <v>18816857</v>
      </c>
      <c r="B716">
        <v>952302</v>
      </c>
      <c r="C716" t="s">
        <v>599</v>
      </c>
      <c r="E716" t="str">
        <f>"5407007984749"</f>
        <v>5407007984749</v>
      </c>
      <c r="H716" t="s">
        <v>448</v>
      </c>
      <c r="I716">
        <v>94049090</v>
      </c>
      <c r="J716">
        <v>1</v>
      </c>
      <c r="K716">
        <v>4</v>
      </c>
      <c r="L716">
        <v>4</v>
      </c>
      <c r="M716">
        <v>1.0720000000000001</v>
      </c>
      <c r="N716">
        <v>0.96499999999999997</v>
      </c>
      <c r="O716">
        <v>4.0529999999999999</v>
      </c>
      <c r="P716">
        <v>16.212</v>
      </c>
      <c r="Q716">
        <v>2.3199999999999998</v>
      </c>
      <c r="R716">
        <v>9.2799999999999994</v>
      </c>
    </row>
    <row r="717" spans="1:18" x14ac:dyDescent="0.25">
      <c r="A717">
        <v>18816857</v>
      </c>
      <c r="B717">
        <v>974943</v>
      </c>
      <c r="C717" t="s">
        <v>229</v>
      </c>
      <c r="E717" t="str">
        <f>"3491955816155"</f>
        <v>3491955816155</v>
      </c>
      <c r="H717" t="s">
        <v>17</v>
      </c>
      <c r="I717">
        <v>69120029</v>
      </c>
      <c r="J717">
        <v>4</v>
      </c>
      <c r="K717">
        <v>1</v>
      </c>
      <c r="L717">
        <v>4</v>
      </c>
      <c r="M717">
        <v>2.5</v>
      </c>
      <c r="N717">
        <v>2.25</v>
      </c>
      <c r="O717">
        <v>3.5430000000000001</v>
      </c>
      <c r="P717">
        <v>14.172000000000001</v>
      </c>
      <c r="Q717">
        <v>3.25</v>
      </c>
      <c r="R717">
        <v>13</v>
      </c>
    </row>
    <row r="718" spans="1:18" x14ac:dyDescent="0.25">
      <c r="A718">
        <v>18816857</v>
      </c>
      <c r="B718">
        <v>935946</v>
      </c>
      <c r="C718" t="s">
        <v>600</v>
      </c>
      <c r="E718" t="str">
        <f>"3491955089368"</f>
        <v>3491955089368</v>
      </c>
      <c r="F718" t="str">
        <f>"3491955365332"</f>
        <v>3491955365332</v>
      </c>
      <c r="H718" t="s">
        <v>17</v>
      </c>
      <c r="I718">
        <v>63049300</v>
      </c>
      <c r="J718">
        <v>6</v>
      </c>
      <c r="K718">
        <v>1</v>
      </c>
      <c r="L718">
        <v>6</v>
      </c>
      <c r="M718">
        <v>1.5</v>
      </c>
      <c r="N718">
        <v>1.35</v>
      </c>
      <c r="O718">
        <v>2.4369999999999998</v>
      </c>
      <c r="P718">
        <v>14.622</v>
      </c>
      <c r="Q718">
        <v>1.08</v>
      </c>
      <c r="R718">
        <v>6.48</v>
      </c>
    </row>
    <row r="719" spans="1:18" x14ac:dyDescent="0.25">
      <c r="A719">
        <v>18816857</v>
      </c>
      <c r="B719">
        <v>975196</v>
      </c>
      <c r="C719" t="s">
        <v>601</v>
      </c>
      <c r="E719" t="str">
        <f>"3760308080179"</f>
        <v>3760308080179</v>
      </c>
      <c r="H719" t="s">
        <v>17</v>
      </c>
      <c r="I719">
        <v>85437090</v>
      </c>
      <c r="J719">
        <v>2</v>
      </c>
      <c r="K719">
        <v>1</v>
      </c>
      <c r="L719">
        <v>2</v>
      </c>
      <c r="M719">
        <v>0.624</v>
      </c>
      <c r="N719">
        <v>0.56200000000000006</v>
      </c>
      <c r="O719">
        <v>1.4059999999999999</v>
      </c>
      <c r="P719">
        <v>2.8119999999999998</v>
      </c>
      <c r="Q719">
        <v>5.38</v>
      </c>
      <c r="R719">
        <v>10.76</v>
      </c>
    </row>
    <row r="720" spans="1:18" x14ac:dyDescent="0.25">
      <c r="A720">
        <v>18816858</v>
      </c>
      <c r="B720">
        <v>1007808</v>
      </c>
      <c r="C720" t="s">
        <v>602</v>
      </c>
      <c r="E720" t="str">
        <f>"5400586807416"</f>
        <v>5400586807416</v>
      </c>
      <c r="H720" t="s">
        <v>17</v>
      </c>
      <c r="I720">
        <v>67021000</v>
      </c>
      <c r="J720">
        <v>12</v>
      </c>
      <c r="K720">
        <v>1</v>
      </c>
      <c r="L720">
        <v>12</v>
      </c>
      <c r="M720">
        <v>0.36</v>
      </c>
      <c r="N720">
        <v>0.32400000000000001</v>
      </c>
      <c r="O720">
        <v>2.5</v>
      </c>
      <c r="P720">
        <v>30</v>
      </c>
      <c r="Q720">
        <v>2.64</v>
      </c>
      <c r="R720">
        <v>31.68</v>
      </c>
    </row>
    <row r="721" spans="1:18" x14ac:dyDescent="0.25">
      <c r="A721">
        <v>18816858</v>
      </c>
      <c r="B721">
        <v>988726</v>
      </c>
      <c r="C721" t="s">
        <v>603</v>
      </c>
      <c r="E721" t="str">
        <f>"3491955968731"</f>
        <v>3491955968731</v>
      </c>
      <c r="H721" t="s">
        <v>17</v>
      </c>
      <c r="I721">
        <v>67021000</v>
      </c>
      <c r="J721">
        <v>6</v>
      </c>
      <c r="K721">
        <v>1</v>
      </c>
      <c r="L721">
        <v>6</v>
      </c>
      <c r="M721">
        <v>0.17399999999999999</v>
      </c>
      <c r="N721">
        <v>0.157</v>
      </c>
      <c r="O721">
        <v>2.544</v>
      </c>
      <c r="P721">
        <v>15.263999999999999</v>
      </c>
      <c r="Q721">
        <v>2.1800000000000002</v>
      </c>
      <c r="R721">
        <v>13.08</v>
      </c>
    </row>
    <row r="722" spans="1:18" x14ac:dyDescent="0.25">
      <c r="A722">
        <v>18816858</v>
      </c>
      <c r="B722">
        <v>654110</v>
      </c>
      <c r="C722" t="s">
        <v>223</v>
      </c>
      <c r="E722" t="str">
        <f>"3491953886860"</f>
        <v>3491953886860</v>
      </c>
      <c r="H722" t="s">
        <v>17</v>
      </c>
      <c r="I722">
        <v>63039290</v>
      </c>
      <c r="J722">
        <v>6</v>
      </c>
      <c r="K722">
        <v>1</v>
      </c>
      <c r="L722">
        <v>6</v>
      </c>
      <c r="M722">
        <v>1.6140000000000001</v>
      </c>
      <c r="N722">
        <v>1.4530000000000001</v>
      </c>
      <c r="O722">
        <v>2.9209999999999998</v>
      </c>
      <c r="P722">
        <v>17.526</v>
      </c>
      <c r="Q722">
        <v>1.8</v>
      </c>
      <c r="R722">
        <v>10.8</v>
      </c>
    </row>
    <row r="723" spans="1:18" x14ac:dyDescent="0.25">
      <c r="A723">
        <v>18816858</v>
      </c>
      <c r="B723">
        <v>1019905</v>
      </c>
      <c r="C723" t="s">
        <v>604</v>
      </c>
      <c r="E723" t="str">
        <f>"8712364858778"</f>
        <v>8712364858778</v>
      </c>
      <c r="H723" t="s">
        <v>17</v>
      </c>
      <c r="I723">
        <v>95030095</v>
      </c>
      <c r="J723">
        <v>12</v>
      </c>
      <c r="K723">
        <v>1</v>
      </c>
      <c r="L723">
        <v>12</v>
      </c>
      <c r="M723">
        <v>2.004</v>
      </c>
      <c r="N723">
        <v>1.804</v>
      </c>
      <c r="O723">
        <v>0.58099999999999996</v>
      </c>
      <c r="P723">
        <v>6.9720000000000004</v>
      </c>
      <c r="Q723">
        <v>1.93</v>
      </c>
      <c r="R723">
        <v>23.16</v>
      </c>
    </row>
    <row r="724" spans="1:18" x14ac:dyDescent="0.25">
      <c r="A724">
        <v>18816858</v>
      </c>
      <c r="B724">
        <v>750882</v>
      </c>
      <c r="C724" t="s">
        <v>605</v>
      </c>
      <c r="E724" t="str">
        <f>"2000006838797"</f>
        <v>2000006838797</v>
      </c>
      <c r="H724" t="s">
        <v>17</v>
      </c>
      <c r="I724">
        <v>67029000</v>
      </c>
      <c r="J724">
        <v>6</v>
      </c>
      <c r="K724">
        <v>1</v>
      </c>
      <c r="L724">
        <v>6</v>
      </c>
      <c r="M724">
        <v>2.0579999999999998</v>
      </c>
      <c r="N724">
        <v>1.8520000000000001</v>
      </c>
      <c r="O724">
        <v>3.75</v>
      </c>
      <c r="P724">
        <v>22.5</v>
      </c>
      <c r="Q724">
        <v>2.4</v>
      </c>
      <c r="R724">
        <v>14.4</v>
      </c>
    </row>
    <row r="725" spans="1:18" x14ac:dyDescent="0.25">
      <c r="A725">
        <v>18816858</v>
      </c>
      <c r="B725">
        <v>1023486</v>
      </c>
      <c r="C725" t="s">
        <v>226</v>
      </c>
      <c r="E725" t="str">
        <f>"5413128351193"</f>
        <v>5413128351193</v>
      </c>
      <c r="H725" t="s">
        <v>17</v>
      </c>
      <c r="I725">
        <v>17049065</v>
      </c>
      <c r="J725">
        <v>12</v>
      </c>
      <c r="K725">
        <v>1</v>
      </c>
      <c r="L725">
        <v>12</v>
      </c>
      <c r="M725">
        <v>3.3</v>
      </c>
      <c r="N725">
        <v>2.97</v>
      </c>
      <c r="O725">
        <v>2.7</v>
      </c>
      <c r="P725">
        <v>32.4</v>
      </c>
      <c r="Q725">
        <v>2.5499999999999998</v>
      </c>
      <c r="R725">
        <v>30.6</v>
      </c>
    </row>
    <row r="726" spans="1:18" x14ac:dyDescent="0.25">
      <c r="A726">
        <v>18816858</v>
      </c>
      <c r="B726">
        <v>904509</v>
      </c>
      <c r="C726" t="s">
        <v>214</v>
      </c>
      <c r="E726" t="str">
        <f>"3491955526993"</f>
        <v>3491955526993</v>
      </c>
      <c r="H726" t="s">
        <v>17</v>
      </c>
      <c r="I726">
        <v>39264000</v>
      </c>
      <c r="J726">
        <v>6</v>
      </c>
      <c r="K726">
        <v>1</v>
      </c>
      <c r="L726">
        <v>6</v>
      </c>
      <c r="M726">
        <v>2.052</v>
      </c>
      <c r="N726">
        <v>1.847</v>
      </c>
      <c r="O726">
        <v>4.6550000000000002</v>
      </c>
      <c r="P726">
        <v>27.93</v>
      </c>
      <c r="Q726">
        <v>4.79</v>
      </c>
      <c r="R726">
        <v>28.74</v>
      </c>
    </row>
    <row r="727" spans="1:18" x14ac:dyDescent="0.25">
      <c r="A727">
        <v>18816858</v>
      </c>
      <c r="B727">
        <v>909028</v>
      </c>
      <c r="C727" t="s">
        <v>222</v>
      </c>
      <c r="E727" t="str">
        <f>"3491955312749"</f>
        <v>3491955312749</v>
      </c>
      <c r="H727" t="s">
        <v>17</v>
      </c>
      <c r="I727">
        <v>61042300</v>
      </c>
      <c r="J727">
        <v>3</v>
      </c>
      <c r="K727">
        <v>1</v>
      </c>
      <c r="L727">
        <v>3</v>
      </c>
      <c r="M727">
        <v>0.79800000000000004</v>
      </c>
      <c r="N727">
        <v>0.71799999999999997</v>
      </c>
      <c r="O727">
        <v>1.7849999999999999</v>
      </c>
      <c r="P727">
        <v>5.3550000000000004</v>
      </c>
      <c r="Q727">
        <v>4.8899999999999997</v>
      </c>
      <c r="R727">
        <v>14.67</v>
      </c>
    </row>
    <row r="728" spans="1:18" x14ac:dyDescent="0.25">
      <c r="A728">
        <v>18816858</v>
      </c>
      <c r="B728">
        <v>759002</v>
      </c>
      <c r="C728" t="s">
        <v>606</v>
      </c>
      <c r="E728" t="str">
        <f>"5414635077163"</f>
        <v>5414635077163</v>
      </c>
      <c r="H728" t="s">
        <v>17</v>
      </c>
      <c r="I728">
        <v>95059000</v>
      </c>
      <c r="J728">
        <v>12</v>
      </c>
      <c r="K728">
        <v>1</v>
      </c>
      <c r="L728">
        <v>12</v>
      </c>
      <c r="M728">
        <v>0.74399999999999999</v>
      </c>
      <c r="N728">
        <v>0.67</v>
      </c>
      <c r="O728">
        <v>1.1339999999999999</v>
      </c>
      <c r="P728">
        <v>13.608000000000001</v>
      </c>
      <c r="Q728">
        <v>1.1499999999999999</v>
      </c>
      <c r="R728">
        <v>13.8</v>
      </c>
    </row>
    <row r="729" spans="1:18" x14ac:dyDescent="0.25">
      <c r="A729">
        <v>18816858</v>
      </c>
      <c r="B729">
        <v>985295</v>
      </c>
      <c r="C729" t="s">
        <v>220</v>
      </c>
      <c r="E729" t="str">
        <f>"3491955930486"</f>
        <v>3491955930486</v>
      </c>
      <c r="F729" t="str">
        <f>"3491955525460"</f>
        <v>3491955525460</v>
      </c>
      <c r="H729" t="s">
        <v>17</v>
      </c>
      <c r="I729">
        <v>61032300</v>
      </c>
      <c r="J729">
        <v>3</v>
      </c>
      <c r="K729">
        <v>1</v>
      </c>
      <c r="L729">
        <v>3</v>
      </c>
      <c r="M729">
        <v>0.66900000000000004</v>
      </c>
      <c r="N729">
        <v>0.60199999999999998</v>
      </c>
      <c r="O729">
        <v>1.4</v>
      </c>
      <c r="P729">
        <v>4.2</v>
      </c>
      <c r="Q729">
        <v>2.57</v>
      </c>
      <c r="R729">
        <v>7.71</v>
      </c>
    </row>
    <row r="730" spans="1:18" x14ac:dyDescent="0.25">
      <c r="A730">
        <v>18816858</v>
      </c>
      <c r="B730">
        <v>653907</v>
      </c>
      <c r="C730" t="s">
        <v>221</v>
      </c>
      <c r="E730" t="str">
        <f>"3491955568429"</f>
        <v>3491955568429</v>
      </c>
      <c r="F730" t="str">
        <f>"3491953521679"</f>
        <v>3491953521679</v>
      </c>
      <c r="H730" t="s">
        <v>17</v>
      </c>
      <c r="I730">
        <v>61032300</v>
      </c>
      <c r="J730">
        <v>3</v>
      </c>
      <c r="K730">
        <v>1</v>
      </c>
      <c r="L730">
        <v>3</v>
      </c>
      <c r="M730">
        <v>1.5</v>
      </c>
      <c r="N730">
        <v>1.35</v>
      </c>
      <c r="O730">
        <v>2.89</v>
      </c>
      <c r="P730">
        <v>8.67</v>
      </c>
      <c r="Q730">
        <v>3.79</v>
      </c>
      <c r="R730">
        <v>11.37</v>
      </c>
    </row>
    <row r="731" spans="1:18" x14ac:dyDescent="0.25">
      <c r="A731">
        <v>18816859</v>
      </c>
      <c r="B731">
        <v>968258</v>
      </c>
      <c r="C731" t="s">
        <v>607</v>
      </c>
      <c r="E731" t="str">
        <f>"3560234470293"</f>
        <v>3560234470293</v>
      </c>
      <c r="H731" t="s">
        <v>17</v>
      </c>
      <c r="I731">
        <v>63079098</v>
      </c>
      <c r="J731">
        <v>1</v>
      </c>
      <c r="K731">
        <v>4</v>
      </c>
      <c r="L731">
        <v>4</v>
      </c>
      <c r="M731">
        <v>1.2</v>
      </c>
      <c r="N731">
        <v>1.08</v>
      </c>
      <c r="O731">
        <v>7.1269999999999998</v>
      </c>
      <c r="P731">
        <v>28.507999999999999</v>
      </c>
      <c r="Q731">
        <v>2.4500000000000002</v>
      </c>
      <c r="R731">
        <v>9.8000000000000007</v>
      </c>
    </row>
    <row r="732" spans="1:18" x14ac:dyDescent="0.25">
      <c r="A732">
        <v>18816859</v>
      </c>
      <c r="B732">
        <v>923615</v>
      </c>
      <c r="C732" t="s">
        <v>227</v>
      </c>
      <c r="E732" t="str">
        <f>"778988394878"</f>
        <v>778988394878</v>
      </c>
      <c r="F732" t="str">
        <f>"778988416143"</f>
        <v>778988416143</v>
      </c>
      <c r="G732" t="str">
        <f>"778988297391"</f>
        <v>778988297391</v>
      </c>
      <c r="H732" t="s">
        <v>17</v>
      </c>
      <c r="I732">
        <v>95030070</v>
      </c>
      <c r="J732">
        <v>1</v>
      </c>
      <c r="K732">
        <v>4</v>
      </c>
      <c r="L732">
        <v>4</v>
      </c>
      <c r="M732">
        <v>0.42399999999999999</v>
      </c>
      <c r="N732">
        <v>0.38200000000000001</v>
      </c>
      <c r="O732">
        <v>0.98099999999999998</v>
      </c>
      <c r="P732">
        <v>3.9239999999999999</v>
      </c>
      <c r="Q732">
        <v>5.18</v>
      </c>
      <c r="R732">
        <v>20.72</v>
      </c>
    </row>
    <row r="733" spans="1:18" x14ac:dyDescent="0.25">
      <c r="A733">
        <v>18816860</v>
      </c>
      <c r="B733">
        <v>994608</v>
      </c>
      <c r="C733" t="s">
        <v>608</v>
      </c>
      <c r="E733" t="str">
        <f>"5702017189697"</f>
        <v>5702017189697</v>
      </c>
      <c r="H733" t="s">
        <v>482</v>
      </c>
      <c r="I733">
        <v>95030035</v>
      </c>
      <c r="J733">
        <v>1</v>
      </c>
      <c r="K733">
        <v>1</v>
      </c>
      <c r="L733">
        <v>1</v>
      </c>
      <c r="M733">
        <v>0.32</v>
      </c>
      <c r="N733">
        <v>0.28799999999999998</v>
      </c>
      <c r="O733">
        <v>2.94</v>
      </c>
      <c r="P733">
        <v>2.94</v>
      </c>
      <c r="Q733">
        <v>10.93</v>
      </c>
      <c r="R733">
        <v>10.93</v>
      </c>
    </row>
    <row r="734" spans="1:18" x14ac:dyDescent="0.25">
      <c r="A734">
        <v>18816861</v>
      </c>
      <c r="B734">
        <v>732388</v>
      </c>
      <c r="C734" t="s">
        <v>609</v>
      </c>
      <c r="E734" t="str">
        <f>"8009371018210"</f>
        <v>8009371018210</v>
      </c>
      <c r="F734" t="str">
        <f>"8009371018234"</f>
        <v>8009371018234</v>
      </c>
      <c r="H734" t="s">
        <v>206</v>
      </c>
      <c r="I734">
        <v>39269097</v>
      </c>
      <c r="J734">
        <v>1</v>
      </c>
      <c r="K734">
        <v>4</v>
      </c>
      <c r="L734">
        <v>4</v>
      </c>
      <c r="M734">
        <v>60</v>
      </c>
      <c r="N734">
        <v>54</v>
      </c>
      <c r="O734">
        <v>54.74</v>
      </c>
      <c r="P734">
        <v>218.96</v>
      </c>
      <c r="Q734">
        <v>22.92</v>
      </c>
      <c r="R734">
        <v>91.68</v>
      </c>
    </row>
    <row r="735" spans="1:18" x14ac:dyDescent="0.25">
      <c r="A735">
        <v>18826345</v>
      </c>
      <c r="B735">
        <v>759346</v>
      </c>
      <c r="C735" t="s">
        <v>248</v>
      </c>
      <c r="E735" t="str">
        <f>"3491953973492"</f>
        <v>3491953973492</v>
      </c>
      <c r="F735" t="str">
        <f>"8710675063027"</f>
        <v>8710675063027</v>
      </c>
      <c r="G735" t="str">
        <f>"8710675212395"</f>
        <v>8710675212395</v>
      </c>
      <c r="H735" t="s">
        <v>17</v>
      </c>
      <c r="I735">
        <v>48119000</v>
      </c>
      <c r="J735">
        <v>60</v>
      </c>
      <c r="K735">
        <v>1</v>
      </c>
      <c r="L735">
        <v>60</v>
      </c>
      <c r="M735">
        <v>6.24</v>
      </c>
      <c r="N735">
        <v>5.6159999999999997</v>
      </c>
      <c r="O735">
        <v>0.79200000000000004</v>
      </c>
      <c r="P735">
        <v>47.52</v>
      </c>
      <c r="Q735">
        <v>0.23</v>
      </c>
      <c r="R735">
        <v>13.8</v>
      </c>
    </row>
    <row r="736" spans="1:18" x14ac:dyDescent="0.25">
      <c r="A736">
        <v>18826345</v>
      </c>
      <c r="B736">
        <v>1007228</v>
      </c>
      <c r="C736" t="s">
        <v>247</v>
      </c>
      <c r="E736" t="str">
        <f>"820650555312"</f>
        <v>820650555312</v>
      </c>
      <c r="H736" t="s">
        <v>45</v>
      </c>
      <c r="I736">
        <v>95044000</v>
      </c>
      <c r="J736">
        <v>6</v>
      </c>
      <c r="K736">
        <v>2</v>
      </c>
      <c r="L736">
        <v>12</v>
      </c>
      <c r="M736">
        <v>1.992</v>
      </c>
      <c r="N736">
        <v>1.7929999999999999</v>
      </c>
      <c r="O736">
        <v>3.5840000000000001</v>
      </c>
      <c r="P736">
        <v>43.008000000000003</v>
      </c>
      <c r="Q736">
        <v>13.06</v>
      </c>
      <c r="R736">
        <v>156.72</v>
      </c>
    </row>
    <row r="737" spans="1:18" x14ac:dyDescent="0.25">
      <c r="A737">
        <v>18826345</v>
      </c>
      <c r="B737">
        <v>992365</v>
      </c>
      <c r="C737" t="s">
        <v>245</v>
      </c>
      <c r="E737" t="str">
        <f>"778988380314"</f>
        <v>778988380314</v>
      </c>
      <c r="H737" t="s">
        <v>69</v>
      </c>
      <c r="I737">
        <v>42022100</v>
      </c>
      <c r="J737">
        <v>4</v>
      </c>
      <c r="K737">
        <v>1</v>
      </c>
      <c r="L737">
        <v>4</v>
      </c>
      <c r="M737">
        <v>1.8</v>
      </c>
      <c r="N737">
        <v>1.62</v>
      </c>
      <c r="O737">
        <v>3.8719999999999999</v>
      </c>
      <c r="P737">
        <v>15.488</v>
      </c>
      <c r="Q737">
        <v>15.98</v>
      </c>
      <c r="R737">
        <v>63.92</v>
      </c>
    </row>
    <row r="738" spans="1:18" x14ac:dyDescent="0.25">
      <c r="A738">
        <v>18826345</v>
      </c>
      <c r="B738">
        <v>992382</v>
      </c>
      <c r="C738" t="s">
        <v>243</v>
      </c>
      <c r="E738" t="str">
        <f>"778988424803"</f>
        <v>778988424803</v>
      </c>
      <c r="F738" t="str">
        <f>"778988345863"</f>
        <v>778988345863</v>
      </c>
      <c r="H738" t="s">
        <v>17</v>
      </c>
      <c r="I738">
        <v>42022100</v>
      </c>
      <c r="J738">
        <v>6</v>
      </c>
      <c r="K738">
        <v>1</v>
      </c>
      <c r="L738">
        <v>6</v>
      </c>
      <c r="M738">
        <v>2.04</v>
      </c>
      <c r="N738">
        <v>1.8360000000000001</v>
      </c>
      <c r="O738">
        <v>0.77400000000000002</v>
      </c>
      <c r="P738">
        <v>4.6440000000000001</v>
      </c>
      <c r="Q738">
        <v>7.76</v>
      </c>
      <c r="R738">
        <v>46.56</v>
      </c>
    </row>
    <row r="739" spans="1:18" x14ac:dyDescent="0.25">
      <c r="A739">
        <v>18826345</v>
      </c>
      <c r="B739">
        <v>962853</v>
      </c>
      <c r="C739" t="s">
        <v>244</v>
      </c>
      <c r="E739" t="str">
        <f>"778988375402"</f>
        <v>778988375402</v>
      </c>
      <c r="H739" t="s">
        <v>69</v>
      </c>
      <c r="I739">
        <v>42022100</v>
      </c>
      <c r="J739">
        <v>4</v>
      </c>
      <c r="K739">
        <v>1</v>
      </c>
      <c r="L739">
        <v>4</v>
      </c>
      <c r="M739">
        <v>1.8</v>
      </c>
      <c r="N739">
        <v>1.62</v>
      </c>
      <c r="O739">
        <v>3.8719999999999999</v>
      </c>
      <c r="P739">
        <v>15.488</v>
      </c>
      <c r="Q739">
        <v>15.98</v>
      </c>
      <c r="R739">
        <v>63.92</v>
      </c>
    </row>
    <row r="740" spans="1:18" x14ac:dyDescent="0.25">
      <c r="A740">
        <v>18826345</v>
      </c>
      <c r="B740">
        <v>992381</v>
      </c>
      <c r="C740" t="s">
        <v>246</v>
      </c>
      <c r="E740" t="str">
        <f>"778988380307"</f>
        <v>778988380307</v>
      </c>
      <c r="H740" t="s">
        <v>69</v>
      </c>
      <c r="I740">
        <v>42022100</v>
      </c>
      <c r="J740">
        <v>4</v>
      </c>
      <c r="K740">
        <v>1</v>
      </c>
      <c r="L740">
        <v>4</v>
      </c>
      <c r="M740">
        <v>1.8</v>
      </c>
      <c r="N740">
        <v>1.62</v>
      </c>
      <c r="O740">
        <v>3.8719999999999999</v>
      </c>
      <c r="P740">
        <v>15.488</v>
      </c>
      <c r="Q740">
        <v>15.98</v>
      </c>
      <c r="R740">
        <v>63.92</v>
      </c>
    </row>
    <row r="741" spans="1:18" x14ac:dyDescent="0.25">
      <c r="A741">
        <v>18826345</v>
      </c>
      <c r="B741">
        <v>994918</v>
      </c>
      <c r="C741" t="s">
        <v>233</v>
      </c>
      <c r="E741" t="str">
        <f>"5050841682717"</f>
        <v>5050841682717</v>
      </c>
      <c r="H741" t="s">
        <v>17</v>
      </c>
      <c r="I741">
        <v>95030095</v>
      </c>
      <c r="J741">
        <v>1</v>
      </c>
      <c r="K741">
        <v>2</v>
      </c>
      <c r="L741">
        <v>2</v>
      </c>
      <c r="M741">
        <v>1.716</v>
      </c>
      <c r="N741">
        <v>1.544</v>
      </c>
      <c r="O741">
        <v>0.90600000000000003</v>
      </c>
      <c r="P741">
        <v>1.8120000000000001</v>
      </c>
      <c r="Q741">
        <v>8.32</v>
      </c>
      <c r="R741">
        <v>16.64</v>
      </c>
    </row>
    <row r="742" spans="1:18" x14ac:dyDescent="0.25">
      <c r="A742">
        <v>18826345</v>
      </c>
      <c r="B742">
        <v>952858</v>
      </c>
      <c r="C742" t="s">
        <v>234</v>
      </c>
      <c r="E742" t="str">
        <f>"3491955629960"</f>
        <v>3491955629960</v>
      </c>
      <c r="F742" t="str">
        <f>"3491955544034"</f>
        <v>3491955544034</v>
      </c>
      <c r="H742" t="s">
        <v>17</v>
      </c>
      <c r="I742">
        <v>95030030</v>
      </c>
      <c r="J742">
        <v>1</v>
      </c>
      <c r="K742">
        <v>3</v>
      </c>
      <c r="L742">
        <v>3</v>
      </c>
      <c r="M742">
        <v>21</v>
      </c>
      <c r="N742">
        <v>18.899999999999999</v>
      </c>
      <c r="O742">
        <v>35.712000000000003</v>
      </c>
      <c r="P742">
        <v>107.136</v>
      </c>
      <c r="Q742">
        <v>24.19</v>
      </c>
      <c r="R742">
        <v>72.569999999999993</v>
      </c>
    </row>
    <row r="743" spans="1:18" x14ac:dyDescent="0.25">
      <c r="A743">
        <v>18826345</v>
      </c>
      <c r="B743">
        <v>907329</v>
      </c>
      <c r="C743" t="s">
        <v>232</v>
      </c>
      <c r="E743" t="str">
        <f>"5420023187826"</f>
        <v>5420023187826</v>
      </c>
      <c r="H743" t="s">
        <v>17</v>
      </c>
      <c r="I743">
        <v>95030010</v>
      </c>
      <c r="J743">
        <v>8</v>
      </c>
      <c r="K743">
        <v>1</v>
      </c>
      <c r="L743">
        <v>8</v>
      </c>
      <c r="M743">
        <v>7.4</v>
      </c>
      <c r="N743">
        <v>6.66</v>
      </c>
      <c r="O743">
        <v>14.663</v>
      </c>
      <c r="P743">
        <v>117.304</v>
      </c>
      <c r="Q743">
        <v>5.71</v>
      </c>
      <c r="R743">
        <v>45.68</v>
      </c>
    </row>
    <row r="744" spans="1:18" x14ac:dyDescent="0.25">
      <c r="A744">
        <v>18826345</v>
      </c>
      <c r="B744">
        <v>907330</v>
      </c>
      <c r="C744" t="s">
        <v>235</v>
      </c>
      <c r="E744" t="str">
        <f>"5420023187956"</f>
        <v>5420023187956</v>
      </c>
      <c r="H744" t="s">
        <v>17</v>
      </c>
      <c r="I744">
        <v>95030010</v>
      </c>
      <c r="J744">
        <v>6</v>
      </c>
      <c r="K744">
        <v>1</v>
      </c>
      <c r="L744">
        <v>6</v>
      </c>
      <c r="M744">
        <v>8.4960000000000004</v>
      </c>
      <c r="N744">
        <v>7.6459999999999999</v>
      </c>
      <c r="O744">
        <v>19.466000000000001</v>
      </c>
      <c r="P744">
        <v>116.79600000000001</v>
      </c>
      <c r="Q744">
        <v>3.76</v>
      </c>
      <c r="R744">
        <v>22.56</v>
      </c>
    </row>
    <row r="745" spans="1:18" x14ac:dyDescent="0.25">
      <c r="A745">
        <v>18826345</v>
      </c>
      <c r="B745">
        <v>992380</v>
      </c>
      <c r="C745" t="s">
        <v>237</v>
      </c>
      <c r="E745" t="str">
        <f>"778988426074"</f>
        <v>778988426074</v>
      </c>
      <c r="H745" t="s">
        <v>69</v>
      </c>
      <c r="I745">
        <v>95030095</v>
      </c>
      <c r="J745">
        <v>1</v>
      </c>
      <c r="K745">
        <v>4</v>
      </c>
      <c r="L745">
        <v>4</v>
      </c>
      <c r="M745">
        <v>1</v>
      </c>
      <c r="N745">
        <v>0.9</v>
      </c>
      <c r="O745">
        <v>2.73</v>
      </c>
      <c r="P745">
        <v>10.92</v>
      </c>
      <c r="Q745">
        <v>8.2799999999999994</v>
      </c>
      <c r="R745">
        <v>33.119999999999997</v>
      </c>
    </row>
    <row r="746" spans="1:18" x14ac:dyDescent="0.25">
      <c r="A746">
        <v>18826345</v>
      </c>
      <c r="B746">
        <v>992372</v>
      </c>
      <c r="C746" t="s">
        <v>236</v>
      </c>
      <c r="E746" t="str">
        <f>"778988418314"</f>
        <v>778988418314</v>
      </c>
      <c r="H746" t="s">
        <v>69</v>
      </c>
      <c r="I746">
        <v>95030095</v>
      </c>
      <c r="J746">
        <v>1</v>
      </c>
      <c r="K746">
        <v>4</v>
      </c>
      <c r="L746">
        <v>4</v>
      </c>
      <c r="M746">
        <v>2.2639999999999998</v>
      </c>
      <c r="N746">
        <v>2.0379999999999998</v>
      </c>
      <c r="O746">
        <v>6.63</v>
      </c>
      <c r="P746">
        <v>26.52</v>
      </c>
      <c r="Q746">
        <v>13.88</v>
      </c>
      <c r="R746">
        <v>55.52</v>
      </c>
    </row>
    <row r="747" spans="1:18" x14ac:dyDescent="0.25">
      <c r="A747">
        <v>18826345</v>
      </c>
      <c r="B747">
        <v>904788</v>
      </c>
      <c r="C747" t="s">
        <v>238</v>
      </c>
      <c r="E747" t="str">
        <f>"3491955531287"</f>
        <v>3491955531287</v>
      </c>
      <c r="F747" t="str">
        <f>"3491955957391"</f>
        <v>3491955957391</v>
      </c>
      <c r="H747" t="s">
        <v>17</v>
      </c>
      <c r="I747">
        <v>95030030</v>
      </c>
      <c r="J747">
        <v>1</v>
      </c>
      <c r="K747">
        <v>2</v>
      </c>
      <c r="L747">
        <v>2</v>
      </c>
      <c r="M747">
        <v>2.6</v>
      </c>
      <c r="N747">
        <v>2.34</v>
      </c>
      <c r="O747">
        <v>10.54</v>
      </c>
      <c r="P747">
        <v>21.08</v>
      </c>
      <c r="Q747">
        <v>14.1</v>
      </c>
      <c r="R747">
        <v>28.2</v>
      </c>
    </row>
    <row r="748" spans="1:18" x14ac:dyDescent="0.25">
      <c r="A748">
        <v>18826345</v>
      </c>
      <c r="B748">
        <v>757125</v>
      </c>
      <c r="C748" t="s">
        <v>242</v>
      </c>
      <c r="E748" t="str">
        <f>"5420023188243"</f>
        <v>5420023188243</v>
      </c>
      <c r="F748" t="str">
        <f>"2000006849038"</f>
        <v>2000006849038</v>
      </c>
      <c r="H748" t="s">
        <v>17</v>
      </c>
      <c r="I748">
        <v>95030010</v>
      </c>
      <c r="J748">
        <v>6</v>
      </c>
      <c r="K748">
        <v>1</v>
      </c>
      <c r="L748">
        <v>6</v>
      </c>
      <c r="M748">
        <v>0.69599999999999995</v>
      </c>
      <c r="N748">
        <v>0.626</v>
      </c>
      <c r="O748">
        <v>1.86</v>
      </c>
      <c r="P748">
        <v>11.16</v>
      </c>
      <c r="Q748">
        <v>2.58</v>
      </c>
      <c r="R748">
        <v>15.48</v>
      </c>
    </row>
    <row r="749" spans="1:18" x14ac:dyDescent="0.25">
      <c r="A749">
        <v>18826345</v>
      </c>
      <c r="B749">
        <v>907298</v>
      </c>
      <c r="C749" t="s">
        <v>239</v>
      </c>
      <c r="E749" t="str">
        <f>"5420023187642"</f>
        <v>5420023187642</v>
      </c>
      <c r="H749" t="s">
        <v>17</v>
      </c>
      <c r="I749">
        <v>95030075</v>
      </c>
      <c r="J749">
        <v>1</v>
      </c>
      <c r="K749">
        <v>2</v>
      </c>
      <c r="L749">
        <v>2</v>
      </c>
      <c r="M749">
        <v>4.3</v>
      </c>
      <c r="N749">
        <v>3.87</v>
      </c>
      <c r="O749">
        <v>38.408999999999999</v>
      </c>
      <c r="P749">
        <v>76.817999999999998</v>
      </c>
      <c r="Q749">
        <v>26.8</v>
      </c>
      <c r="R749">
        <v>53.6</v>
      </c>
    </row>
    <row r="750" spans="1:18" x14ac:dyDescent="0.25">
      <c r="A750">
        <v>18826345</v>
      </c>
      <c r="B750">
        <v>965227</v>
      </c>
      <c r="C750" t="s">
        <v>241</v>
      </c>
      <c r="E750" t="str">
        <f>"4891813881308"</f>
        <v>4891813881308</v>
      </c>
      <c r="F750" t="str">
        <f>"4891813880738"</f>
        <v>4891813880738</v>
      </c>
      <c r="G750" t="str">
        <f>"4891813881100"</f>
        <v>4891813881100</v>
      </c>
      <c r="H750" t="s">
        <v>17</v>
      </c>
      <c r="I750">
        <v>95030075</v>
      </c>
      <c r="J750">
        <v>8</v>
      </c>
      <c r="K750">
        <v>1</v>
      </c>
      <c r="L750">
        <v>8</v>
      </c>
      <c r="M750">
        <v>1.256</v>
      </c>
      <c r="N750">
        <v>1.1299999999999999</v>
      </c>
      <c r="O750">
        <v>1.2250000000000001</v>
      </c>
      <c r="P750">
        <v>9.8000000000000007</v>
      </c>
      <c r="Q750">
        <v>5.08</v>
      </c>
      <c r="R750">
        <v>40.64</v>
      </c>
    </row>
    <row r="751" spans="1:18" x14ac:dyDescent="0.25">
      <c r="A751">
        <v>18826345</v>
      </c>
      <c r="B751">
        <v>1002963</v>
      </c>
      <c r="C751" t="s">
        <v>240</v>
      </c>
      <c r="E751" t="str">
        <f>"2018205446125"</f>
        <v>2018205446125</v>
      </c>
      <c r="F751" t="str">
        <f>"5420023193605"</f>
        <v>5420023193605</v>
      </c>
      <c r="H751" t="s">
        <v>17</v>
      </c>
      <c r="I751">
        <v>95030095</v>
      </c>
      <c r="J751">
        <v>8</v>
      </c>
      <c r="K751">
        <v>1</v>
      </c>
      <c r="L751">
        <v>8</v>
      </c>
      <c r="M751">
        <v>1.8480000000000001</v>
      </c>
      <c r="N751">
        <v>1.663</v>
      </c>
      <c r="O751">
        <v>2.4390000000000001</v>
      </c>
      <c r="P751">
        <v>19.512</v>
      </c>
      <c r="Q751">
        <v>1.74</v>
      </c>
      <c r="R751">
        <v>13.92</v>
      </c>
    </row>
    <row r="752" spans="1:18" x14ac:dyDescent="0.25">
      <c r="A752">
        <v>18834497</v>
      </c>
      <c r="B752">
        <v>907292</v>
      </c>
      <c r="C752" t="s">
        <v>254</v>
      </c>
      <c r="E752" t="str">
        <f>"5420023188090"</f>
        <v>5420023188090</v>
      </c>
      <c r="H752" t="s">
        <v>17</v>
      </c>
      <c r="I752">
        <v>95030069</v>
      </c>
      <c r="J752">
        <v>6</v>
      </c>
      <c r="K752">
        <v>1</v>
      </c>
      <c r="L752">
        <v>6</v>
      </c>
      <c r="M752">
        <v>12</v>
      </c>
      <c r="N752">
        <v>10.8</v>
      </c>
      <c r="O752">
        <v>14.933</v>
      </c>
      <c r="P752">
        <v>89.597999999999999</v>
      </c>
      <c r="Q752">
        <v>4.76</v>
      </c>
      <c r="R752">
        <v>28.56</v>
      </c>
    </row>
    <row r="753" spans="1:18" x14ac:dyDescent="0.25">
      <c r="A753">
        <v>18834497</v>
      </c>
      <c r="B753">
        <v>907285</v>
      </c>
      <c r="C753" t="s">
        <v>255</v>
      </c>
      <c r="E753" t="str">
        <f>"5420023187253"</f>
        <v>5420023187253</v>
      </c>
      <c r="H753" t="s">
        <v>17</v>
      </c>
      <c r="I753">
        <v>95030055</v>
      </c>
      <c r="J753">
        <v>1</v>
      </c>
      <c r="K753">
        <v>2</v>
      </c>
      <c r="L753">
        <v>2</v>
      </c>
      <c r="M753">
        <v>1.244</v>
      </c>
      <c r="N753">
        <v>1.1200000000000001</v>
      </c>
      <c r="O753">
        <v>7.492</v>
      </c>
      <c r="P753">
        <v>14.984</v>
      </c>
      <c r="Q753">
        <v>5.0199999999999996</v>
      </c>
      <c r="R753">
        <v>10.039999999999999</v>
      </c>
    </row>
    <row r="754" spans="1:18" x14ac:dyDescent="0.25">
      <c r="A754">
        <v>18834497</v>
      </c>
      <c r="B754">
        <v>991742</v>
      </c>
      <c r="C754" t="s">
        <v>256</v>
      </c>
      <c r="E754" t="str">
        <f>"341955947744"</f>
        <v>341955947744</v>
      </c>
      <c r="F754" t="str">
        <f>"3491955947743"</f>
        <v>3491955947743</v>
      </c>
      <c r="H754" t="s">
        <v>17</v>
      </c>
      <c r="I754">
        <v>95030069</v>
      </c>
      <c r="J754">
        <v>1</v>
      </c>
      <c r="K754">
        <v>2</v>
      </c>
      <c r="L754">
        <v>2</v>
      </c>
      <c r="M754">
        <v>1.6</v>
      </c>
      <c r="N754">
        <v>1.44</v>
      </c>
      <c r="O754">
        <v>2.403</v>
      </c>
      <c r="P754">
        <v>4.806</v>
      </c>
      <c r="Q754">
        <v>4.8499999999999996</v>
      </c>
      <c r="R754">
        <v>9.6999999999999993</v>
      </c>
    </row>
    <row r="755" spans="1:18" x14ac:dyDescent="0.25">
      <c r="A755">
        <v>18834497</v>
      </c>
      <c r="B755">
        <v>907286</v>
      </c>
      <c r="C755" t="s">
        <v>257</v>
      </c>
      <c r="E755" t="str">
        <f>"5420023187376"</f>
        <v>5420023187376</v>
      </c>
      <c r="F755" t="str">
        <f>"5420023190772"</f>
        <v>5420023190772</v>
      </c>
      <c r="H755" t="s">
        <v>17</v>
      </c>
      <c r="I755">
        <v>95030075</v>
      </c>
      <c r="J755">
        <v>1</v>
      </c>
      <c r="K755">
        <v>3</v>
      </c>
      <c r="L755">
        <v>3</v>
      </c>
      <c r="M755">
        <v>2.5499999999999998</v>
      </c>
      <c r="N755">
        <v>2.2949999999999999</v>
      </c>
      <c r="O755">
        <v>10.125999999999999</v>
      </c>
      <c r="P755">
        <v>30.378</v>
      </c>
      <c r="Q755">
        <v>11.15</v>
      </c>
      <c r="R755">
        <v>33.450000000000003</v>
      </c>
    </row>
    <row r="756" spans="1:18" x14ac:dyDescent="0.25">
      <c r="A756">
        <v>18834497</v>
      </c>
      <c r="B756">
        <v>956079</v>
      </c>
      <c r="C756" t="s">
        <v>261</v>
      </c>
      <c r="E756" t="str">
        <f>"8411865055401"</f>
        <v>8411865055401</v>
      </c>
      <c r="F756" t="str">
        <f>"3491954955558"</f>
        <v>3491954955558</v>
      </c>
      <c r="H756" t="s">
        <v>17</v>
      </c>
      <c r="I756">
        <v>95030055</v>
      </c>
      <c r="J756">
        <v>1</v>
      </c>
      <c r="K756">
        <v>2</v>
      </c>
      <c r="L756">
        <v>2</v>
      </c>
      <c r="M756">
        <v>1.44</v>
      </c>
      <c r="N756">
        <v>1.296</v>
      </c>
      <c r="O756">
        <v>9.7200000000000006</v>
      </c>
      <c r="P756">
        <v>19.440000000000001</v>
      </c>
      <c r="Q756">
        <v>7.61</v>
      </c>
      <c r="R756">
        <v>15.22</v>
      </c>
    </row>
    <row r="757" spans="1:18" x14ac:dyDescent="0.25">
      <c r="A757">
        <v>18834497</v>
      </c>
      <c r="B757">
        <v>991741</v>
      </c>
      <c r="C757" t="s">
        <v>259</v>
      </c>
      <c r="E757" t="str">
        <f>"3491955658076"</f>
        <v>3491955658076</v>
      </c>
      <c r="H757" t="s">
        <v>17</v>
      </c>
      <c r="I757">
        <v>95030095</v>
      </c>
      <c r="J757">
        <v>1</v>
      </c>
      <c r="K757">
        <v>2</v>
      </c>
      <c r="L757">
        <v>2</v>
      </c>
      <c r="M757">
        <v>1.1539999999999999</v>
      </c>
      <c r="N757">
        <v>1.0389999999999999</v>
      </c>
      <c r="O757">
        <v>3.9</v>
      </c>
      <c r="P757">
        <v>7.8</v>
      </c>
      <c r="Q757">
        <v>5.37</v>
      </c>
      <c r="R757">
        <v>10.74</v>
      </c>
    </row>
    <row r="758" spans="1:18" x14ac:dyDescent="0.25">
      <c r="A758">
        <v>18834497</v>
      </c>
      <c r="B758">
        <v>1007939</v>
      </c>
      <c r="C758" t="s">
        <v>251</v>
      </c>
      <c r="E758" t="str">
        <f>"8411865025442"</f>
        <v>8411865025442</v>
      </c>
      <c r="H758" t="s">
        <v>17</v>
      </c>
      <c r="I758">
        <v>95030055</v>
      </c>
      <c r="J758">
        <v>1</v>
      </c>
      <c r="K758">
        <v>3</v>
      </c>
      <c r="L758">
        <v>3</v>
      </c>
      <c r="M758">
        <v>1.8</v>
      </c>
      <c r="N758">
        <v>1.62</v>
      </c>
      <c r="O758">
        <v>7.7279999999999998</v>
      </c>
      <c r="P758">
        <v>23.184000000000001</v>
      </c>
      <c r="Q758">
        <v>6.09</v>
      </c>
      <c r="R758">
        <v>18.27</v>
      </c>
    </row>
    <row r="759" spans="1:18" x14ac:dyDescent="0.25">
      <c r="A759">
        <v>18834497</v>
      </c>
      <c r="B759">
        <v>952880</v>
      </c>
      <c r="C759" t="s">
        <v>252</v>
      </c>
      <c r="E759" t="str">
        <f>"3491955643447"</f>
        <v>3491955643447</v>
      </c>
      <c r="H759" t="s">
        <v>17</v>
      </c>
      <c r="I759">
        <v>95030095</v>
      </c>
      <c r="J759">
        <v>6</v>
      </c>
      <c r="K759">
        <v>2</v>
      </c>
      <c r="L759">
        <v>12</v>
      </c>
      <c r="M759">
        <v>11.4</v>
      </c>
      <c r="N759">
        <v>10.26</v>
      </c>
      <c r="O759">
        <v>7.48</v>
      </c>
      <c r="P759">
        <v>89.76</v>
      </c>
      <c r="Q759">
        <v>4.6100000000000003</v>
      </c>
      <c r="R759">
        <v>55.32</v>
      </c>
    </row>
    <row r="760" spans="1:18" x14ac:dyDescent="0.25">
      <c r="A760">
        <v>18834497</v>
      </c>
      <c r="B760">
        <v>991740</v>
      </c>
      <c r="C760" t="s">
        <v>250</v>
      </c>
      <c r="E760" t="str">
        <f>"3491955954888"</f>
        <v>3491955954888</v>
      </c>
      <c r="H760" t="s">
        <v>17</v>
      </c>
      <c r="I760">
        <v>95030099</v>
      </c>
      <c r="J760">
        <v>1</v>
      </c>
      <c r="K760">
        <v>2</v>
      </c>
      <c r="L760">
        <v>2</v>
      </c>
      <c r="M760">
        <v>2.1</v>
      </c>
      <c r="N760">
        <v>1.89</v>
      </c>
      <c r="O760">
        <v>0.41699999999999998</v>
      </c>
      <c r="P760">
        <v>0.83399999999999996</v>
      </c>
      <c r="Q760">
        <v>5.38</v>
      </c>
      <c r="R760">
        <v>10.76</v>
      </c>
    </row>
    <row r="761" spans="1:18" x14ac:dyDescent="0.25">
      <c r="A761">
        <v>18834497</v>
      </c>
      <c r="B761">
        <v>612306</v>
      </c>
      <c r="C761" t="s">
        <v>277</v>
      </c>
      <c r="E761" t="str">
        <f>"2000006761767"</f>
        <v>2000006761767</v>
      </c>
      <c r="F761" t="str">
        <f>"6919060730168"</f>
        <v>6919060730168</v>
      </c>
      <c r="G761" t="str">
        <f>"5420023186935"</f>
        <v>5420023186935</v>
      </c>
      <c r="H761" t="s">
        <v>17</v>
      </c>
      <c r="I761">
        <v>95030070</v>
      </c>
      <c r="J761">
        <v>6</v>
      </c>
      <c r="K761">
        <v>1</v>
      </c>
      <c r="L761">
        <v>6</v>
      </c>
      <c r="M761">
        <v>10.398</v>
      </c>
      <c r="N761">
        <v>9.3580000000000005</v>
      </c>
      <c r="O761">
        <v>7.6</v>
      </c>
      <c r="P761">
        <v>45.6</v>
      </c>
      <c r="Q761">
        <v>5.38</v>
      </c>
      <c r="R761">
        <v>32.28</v>
      </c>
    </row>
    <row r="762" spans="1:18" x14ac:dyDescent="0.25">
      <c r="A762">
        <v>18834497</v>
      </c>
      <c r="B762">
        <v>907272</v>
      </c>
      <c r="C762" t="s">
        <v>249</v>
      </c>
      <c r="E762" t="str">
        <f>"5420023168207"</f>
        <v>5420023168207</v>
      </c>
      <c r="H762" t="s">
        <v>17</v>
      </c>
      <c r="I762">
        <v>95030070</v>
      </c>
      <c r="J762">
        <v>1</v>
      </c>
      <c r="K762">
        <v>4</v>
      </c>
      <c r="L762">
        <v>4</v>
      </c>
      <c r="M762">
        <v>3.3319999999999999</v>
      </c>
      <c r="N762">
        <v>2.9990000000000001</v>
      </c>
      <c r="O762">
        <v>11.292999999999999</v>
      </c>
      <c r="P762">
        <v>45.171999999999997</v>
      </c>
      <c r="Q762">
        <v>7.41</v>
      </c>
      <c r="R762">
        <v>29.64</v>
      </c>
    </row>
    <row r="763" spans="1:18" x14ac:dyDescent="0.25">
      <c r="A763">
        <v>18834497</v>
      </c>
      <c r="B763">
        <v>991750</v>
      </c>
      <c r="C763" t="s">
        <v>270</v>
      </c>
      <c r="E763" t="str">
        <f>"3491955954192"</f>
        <v>3491955954192</v>
      </c>
      <c r="H763" t="s">
        <v>17</v>
      </c>
      <c r="I763">
        <v>95030099</v>
      </c>
      <c r="J763">
        <v>1</v>
      </c>
      <c r="K763">
        <v>2</v>
      </c>
      <c r="L763">
        <v>2</v>
      </c>
      <c r="M763">
        <v>1.3</v>
      </c>
      <c r="N763">
        <v>1.17</v>
      </c>
      <c r="O763">
        <v>4.0949999999999998</v>
      </c>
      <c r="P763">
        <v>8.19</v>
      </c>
      <c r="Q763">
        <v>5.53</v>
      </c>
      <c r="R763">
        <v>11.06</v>
      </c>
    </row>
    <row r="764" spans="1:18" x14ac:dyDescent="0.25">
      <c r="A764">
        <v>18834497</v>
      </c>
      <c r="B764">
        <v>907271</v>
      </c>
      <c r="C764" t="s">
        <v>276</v>
      </c>
      <c r="E764" t="str">
        <f>"5420023187260"</f>
        <v>5420023187260</v>
      </c>
      <c r="H764" t="s">
        <v>17</v>
      </c>
      <c r="I764">
        <v>95030070</v>
      </c>
      <c r="J764">
        <v>6</v>
      </c>
      <c r="K764">
        <v>1</v>
      </c>
      <c r="L764">
        <v>6</v>
      </c>
      <c r="M764">
        <v>3.996</v>
      </c>
      <c r="N764">
        <v>3.5960000000000001</v>
      </c>
      <c r="O764">
        <v>7.02</v>
      </c>
      <c r="P764">
        <v>42.12</v>
      </c>
      <c r="Q764">
        <v>5.52</v>
      </c>
      <c r="R764">
        <v>33.119999999999997</v>
      </c>
    </row>
    <row r="765" spans="1:18" x14ac:dyDescent="0.25">
      <c r="A765">
        <v>18834497</v>
      </c>
      <c r="B765">
        <v>907260</v>
      </c>
      <c r="C765" t="s">
        <v>275</v>
      </c>
      <c r="E765" t="str">
        <f>"5420023188304"</f>
        <v>5420023188304</v>
      </c>
      <c r="H765" t="s">
        <v>17</v>
      </c>
      <c r="I765">
        <v>95030030</v>
      </c>
      <c r="J765">
        <v>6</v>
      </c>
      <c r="K765">
        <v>1</v>
      </c>
      <c r="L765">
        <v>6</v>
      </c>
      <c r="M765">
        <v>2.1</v>
      </c>
      <c r="N765">
        <v>1.89</v>
      </c>
      <c r="O765">
        <v>4.8</v>
      </c>
      <c r="P765">
        <v>28.8</v>
      </c>
      <c r="Q765">
        <v>4.66</v>
      </c>
      <c r="R765">
        <v>27.96</v>
      </c>
    </row>
    <row r="766" spans="1:18" x14ac:dyDescent="0.25">
      <c r="A766">
        <v>18834497</v>
      </c>
      <c r="B766">
        <v>952312</v>
      </c>
      <c r="C766" t="s">
        <v>274</v>
      </c>
      <c r="E766" t="str">
        <f>"3491955658434"</f>
        <v>3491955658434</v>
      </c>
      <c r="F766" t="str">
        <f>"3491955541507"</f>
        <v>3491955541507</v>
      </c>
      <c r="H766" t="s">
        <v>17</v>
      </c>
      <c r="I766">
        <v>95030095</v>
      </c>
      <c r="J766">
        <v>3</v>
      </c>
      <c r="K766">
        <v>1</v>
      </c>
      <c r="L766">
        <v>3</v>
      </c>
      <c r="M766">
        <v>4.5</v>
      </c>
      <c r="N766">
        <v>4.05</v>
      </c>
      <c r="O766">
        <v>13.708</v>
      </c>
      <c r="P766">
        <v>41.124000000000002</v>
      </c>
      <c r="Q766">
        <v>11.54</v>
      </c>
      <c r="R766">
        <v>34.619999999999997</v>
      </c>
    </row>
    <row r="767" spans="1:18" x14ac:dyDescent="0.25">
      <c r="A767">
        <v>18834497</v>
      </c>
      <c r="B767">
        <v>994369</v>
      </c>
      <c r="C767" t="s">
        <v>253</v>
      </c>
      <c r="E767" t="str">
        <f>"4891813810124"</f>
        <v>4891813810124</v>
      </c>
      <c r="H767" t="s">
        <v>17</v>
      </c>
      <c r="I767">
        <v>95030075</v>
      </c>
      <c r="J767">
        <v>1</v>
      </c>
      <c r="K767">
        <v>2</v>
      </c>
      <c r="L767">
        <v>2</v>
      </c>
      <c r="M767">
        <v>2.2919999999999998</v>
      </c>
      <c r="N767">
        <v>2.0630000000000002</v>
      </c>
      <c r="O767">
        <v>17.100000000000001</v>
      </c>
      <c r="P767">
        <v>34.200000000000003</v>
      </c>
      <c r="Q767">
        <v>20.25</v>
      </c>
      <c r="R767">
        <v>40.5</v>
      </c>
    </row>
    <row r="768" spans="1:18" x14ac:dyDescent="0.25">
      <c r="A768">
        <v>18834497</v>
      </c>
      <c r="B768">
        <v>712678</v>
      </c>
      <c r="C768" t="s">
        <v>273</v>
      </c>
      <c r="E768" t="str">
        <f>"8008324091621"</f>
        <v>8008324091621</v>
      </c>
      <c r="F768" t="str">
        <f>"8008324066315"</f>
        <v>8008324066315</v>
      </c>
      <c r="G768" t="str">
        <f>"8008324080502"</f>
        <v>8008324080502</v>
      </c>
      <c r="H768" t="s">
        <v>203</v>
      </c>
      <c r="I768">
        <v>95030070</v>
      </c>
      <c r="J768">
        <v>6</v>
      </c>
      <c r="K768">
        <v>1</v>
      </c>
      <c r="L768">
        <v>6</v>
      </c>
      <c r="M768">
        <v>2.9580000000000002</v>
      </c>
      <c r="N768">
        <v>2.6619999999999999</v>
      </c>
      <c r="O768">
        <v>11.76</v>
      </c>
      <c r="P768">
        <v>70.56</v>
      </c>
      <c r="Q768">
        <v>6.6</v>
      </c>
      <c r="R768">
        <v>39.6</v>
      </c>
    </row>
    <row r="769" spans="1:18" x14ac:dyDescent="0.25">
      <c r="A769">
        <v>18834497</v>
      </c>
      <c r="B769">
        <v>952877</v>
      </c>
      <c r="C769" t="s">
        <v>272</v>
      </c>
      <c r="E769" t="str">
        <f>"3491955658038"</f>
        <v>3491955658038</v>
      </c>
      <c r="H769" t="s">
        <v>17</v>
      </c>
      <c r="I769">
        <v>95030070</v>
      </c>
      <c r="J769">
        <v>1</v>
      </c>
      <c r="K769">
        <v>6</v>
      </c>
      <c r="L769">
        <v>6</v>
      </c>
      <c r="M769">
        <v>3.996</v>
      </c>
      <c r="N769">
        <v>3.5960000000000001</v>
      </c>
      <c r="O769">
        <v>2.625</v>
      </c>
      <c r="P769">
        <v>15.75</v>
      </c>
      <c r="Q769">
        <v>5.52</v>
      </c>
      <c r="R769">
        <v>33.119999999999997</v>
      </c>
    </row>
    <row r="770" spans="1:18" x14ac:dyDescent="0.25">
      <c r="A770">
        <v>18834497</v>
      </c>
      <c r="B770">
        <v>907323</v>
      </c>
      <c r="C770" t="s">
        <v>271</v>
      </c>
      <c r="E770" t="str">
        <f>"5420023187802"</f>
        <v>5420023187802</v>
      </c>
      <c r="H770" t="s">
        <v>17</v>
      </c>
      <c r="I770">
        <v>95030070</v>
      </c>
      <c r="J770">
        <v>1</v>
      </c>
      <c r="K770">
        <v>4</v>
      </c>
      <c r="L770">
        <v>4</v>
      </c>
      <c r="M770">
        <v>0.33200000000000002</v>
      </c>
      <c r="N770">
        <v>0.29899999999999999</v>
      </c>
      <c r="O770">
        <v>8.1370000000000005</v>
      </c>
      <c r="P770">
        <v>32.548000000000002</v>
      </c>
      <c r="Q770">
        <v>7.97</v>
      </c>
      <c r="R770">
        <v>31.88</v>
      </c>
    </row>
    <row r="771" spans="1:18" x14ac:dyDescent="0.25">
      <c r="A771">
        <v>18834497</v>
      </c>
      <c r="B771">
        <v>1005564</v>
      </c>
      <c r="C771" t="s">
        <v>269</v>
      </c>
      <c r="E771" t="str">
        <f>"8410446311172"</f>
        <v>8410446311172</v>
      </c>
      <c r="H771" t="s">
        <v>17</v>
      </c>
      <c r="I771">
        <v>95049080</v>
      </c>
      <c r="J771">
        <v>1</v>
      </c>
      <c r="K771">
        <v>2</v>
      </c>
      <c r="L771">
        <v>2</v>
      </c>
      <c r="M771">
        <v>1.6659999999999999</v>
      </c>
      <c r="N771">
        <v>1.4990000000000001</v>
      </c>
      <c r="O771">
        <v>3.5</v>
      </c>
      <c r="P771">
        <v>7</v>
      </c>
      <c r="Q771">
        <v>14.72</v>
      </c>
      <c r="R771">
        <v>29.44</v>
      </c>
    </row>
    <row r="772" spans="1:18" x14ac:dyDescent="0.25">
      <c r="A772">
        <v>18834497</v>
      </c>
      <c r="B772">
        <v>909861</v>
      </c>
      <c r="C772" t="s">
        <v>260</v>
      </c>
      <c r="E772" t="str">
        <f>"8711808310308"</f>
        <v>8711808310308</v>
      </c>
      <c r="H772" t="s">
        <v>17</v>
      </c>
      <c r="I772">
        <v>95030095</v>
      </c>
      <c r="J772">
        <v>1</v>
      </c>
      <c r="K772">
        <v>2</v>
      </c>
      <c r="L772">
        <v>2</v>
      </c>
      <c r="M772">
        <v>1.4</v>
      </c>
      <c r="N772">
        <v>1.26</v>
      </c>
      <c r="O772">
        <v>9.6</v>
      </c>
      <c r="P772">
        <v>19.2</v>
      </c>
      <c r="Q772">
        <v>12.58</v>
      </c>
      <c r="R772">
        <v>25.16</v>
      </c>
    </row>
    <row r="773" spans="1:18" x14ac:dyDescent="0.25">
      <c r="A773">
        <v>18834497</v>
      </c>
      <c r="B773">
        <v>952873</v>
      </c>
      <c r="C773" t="s">
        <v>268</v>
      </c>
      <c r="E773" t="str">
        <f>"3491955635411"</f>
        <v>3491955635411</v>
      </c>
      <c r="H773" t="s">
        <v>17</v>
      </c>
      <c r="I773">
        <v>96100000</v>
      </c>
      <c r="J773">
        <v>6</v>
      </c>
      <c r="K773">
        <v>1</v>
      </c>
      <c r="L773">
        <v>6</v>
      </c>
      <c r="M773">
        <v>18.995999999999999</v>
      </c>
      <c r="N773">
        <v>17.096</v>
      </c>
      <c r="O773">
        <v>23.74</v>
      </c>
      <c r="P773">
        <v>142.44</v>
      </c>
      <c r="Q773">
        <v>20.59</v>
      </c>
      <c r="R773">
        <v>123.54</v>
      </c>
    </row>
    <row r="774" spans="1:18" x14ac:dyDescent="0.25">
      <c r="A774">
        <v>18834497</v>
      </c>
      <c r="B774">
        <v>991735</v>
      </c>
      <c r="C774" t="s">
        <v>267</v>
      </c>
      <c r="E774" t="str">
        <f>"3491955954406"</f>
        <v>3491955954406</v>
      </c>
      <c r="H774" t="s">
        <v>17</v>
      </c>
      <c r="I774">
        <v>95030099</v>
      </c>
      <c r="J774">
        <v>1</v>
      </c>
      <c r="K774">
        <v>2</v>
      </c>
      <c r="L774">
        <v>2</v>
      </c>
      <c r="M774">
        <v>0.96599999999999997</v>
      </c>
      <c r="N774">
        <v>0.86899999999999999</v>
      </c>
      <c r="O774">
        <v>2.6059999999999999</v>
      </c>
      <c r="P774">
        <v>5.2119999999999997</v>
      </c>
      <c r="Q774">
        <v>6.11</v>
      </c>
      <c r="R774">
        <v>12.22</v>
      </c>
    </row>
    <row r="775" spans="1:18" x14ac:dyDescent="0.25">
      <c r="A775">
        <v>18834497</v>
      </c>
      <c r="B775">
        <v>1007952</v>
      </c>
      <c r="C775" t="s">
        <v>266</v>
      </c>
      <c r="E775" t="str">
        <f>"8411865026920"</f>
        <v>8411865026920</v>
      </c>
      <c r="H775" t="s">
        <v>17</v>
      </c>
      <c r="I775">
        <v>95030055</v>
      </c>
      <c r="J775">
        <v>1</v>
      </c>
      <c r="K775">
        <v>2</v>
      </c>
      <c r="L775">
        <v>2</v>
      </c>
      <c r="M775">
        <v>2</v>
      </c>
      <c r="N775">
        <v>1.8</v>
      </c>
      <c r="O775">
        <v>8.0640000000000001</v>
      </c>
      <c r="P775">
        <v>16.128</v>
      </c>
      <c r="Q775">
        <v>6.09</v>
      </c>
      <c r="R775">
        <v>12.18</v>
      </c>
    </row>
    <row r="776" spans="1:18" x14ac:dyDescent="0.25">
      <c r="A776">
        <v>18834497</v>
      </c>
      <c r="B776">
        <v>392025</v>
      </c>
      <c r="C776" t="s">
        <v>265</v>
      </c>
      <c r="E776" t="str">
        <f>"5420023188175"</f>
        <v>5420023188175</v>
      </c>
      <c r="F776" t="str">
        <f>"6918110300115"</f>
        <v>6918110300115</v>
      </c>
      <c r="G776" t="str">
        <f>"2090001145846"</f>
        <v>2090001145846</v>
      </c>
      <c r="H776" t="s">
        <v>17</v>
      </c>
      <c r="I776">
        <v>95030095</v>
      </c>
      <c r="J776">
        <v>6</v>
      </c>
      <c r="K776">
        <v>1</v>
      </c>
      <c r="L776">
        <v>6</v>
      </c>
      <c r="M776">
        <v>3</v>
      </c>
      <c r="N776">
        <v>2.7</v>
      </c>
      <c r="O776">
        <v>7.093</v>
      </c>
      <c r="P776">
        <v>42.558</v>
      </c>
      <c r="Q776">
        <v>4.1900000000000004</v>
      </c>
      <c r="R776">
        <v>25.14</v>
      </c>
    </row>
    <row r="777" spans="1:18" x14ac:dyDescent="0.25">
      <c r="A777">
        <v>18834497</v>
      </c>
      <c r="B777">
        <v>976055</v>
      </c>
      <c r="C777" t="s">
        <v>264</v>
      </c>
      <c r="E777" t="str">
        <f>"5420023187161"</f>
        <v>5420023187161</v>
      </c>
      <c r="H777" t="s">
        <v>17</v>
      </c>
      <c r="I777">
        <v>95030010</v>
      </c>
      <c r="J777">
        <v>1</v>
      </c>
      <c r="K777">
        <v>2</v>
      </c>
      <c r="L777">
        <v>2</v>
      </c>
      <c r="M777">
        <v>1.32</v>
      </c>
      <c r="N777">
        <v>1.1879999999999999</v>
      </c>
      <c r="O777">
        <v>11.506</v>
      </c>
      <c r="P777">
        <v>23.012</v>
      </c>
      <c r="Q777">
        <v>9.83</v>
      </c>
      <c r="R777">
        <v>19.66</v>
      </c>
    </row>
    <row r="778" spans="1:18" x14ac:dyDescent="0.25">
      <c r="A778">
        <v>18834497</v>
      </c>
      <c r="B778">
        <v>982522</v>
      </c>
      <c r="C778" t="s">
        <v>258</v>
      </c>
      <c r="E778" t="str">
        <f>"887961612042"</f>
        <v>887961612042</v>
      </c>
      <c r="H778" t="s">
        <v>17</v>
      </c>
      <c r="I778">
        <v>95030095</v>
      </c>
      <c r="J778">
        <v>2</v>
      </c>
      <c r="K778">
        <v>1</v>
      </c>
      <c r="L778">
        <v>2</v>
      </c>
      <c r="M778">
        <v>1.5</v>
      </c>
      <c r="N778">
        <v>1.35</v>
      </c>
      <c r="O778">
        <v>15.282999999999999</v>
      </c>
      <c r="P778">
        <v>30.565999999999999</v>
      </c>
      <c r="Q778">
        <v>16.329999999999998</v>
      </c>
      <c r="R778">
        <v>32.659999999999997</v>
      </c>
    </row>
    <row r="779" spans="1:18" x14ac:dyDescent="0.25">
      <c r="A779">
        <v>18834497</v>
      </c>
      <c r="B779">
        <v>907265</v>
      </c>
      <c r="C779" t="s">
        <v>262</v>
      </c>
      <c r="E779" t="str">
        <f>"5420023187918"</f>
        <v>5420023187918</v>
      </c>
      <c r="H779" t="s">
        <v>17</v>
      </c>
      <c r="I779">
        <v>95030070</v>
      </c>
      <c r="J779">
        <v>1</v>
      </c>
      <c r="K779">
        <v>2</v>
      </c>
      <c r="L779">
        <v>2</v>
      </c>
      <c r="M779">
        <v>1.222</v>
      </c>
      <c r="N779">
        <v>1.1000000000000001</v>
      </c>
      <c r="O779">
        <v>5.7350000000000003</v>
      </c>
      <c r="P779">
        <v>11.47</v>
      </c>
      <c r="Q779">
        <v>4.51</v>
      </c>
      <c r="R779">
        <v>9.02</v>
      </c>
    </row>
    <row r="780" spans="1:18" x14ac:dyDescent="0.25">
      <c r="A780">
        <v>18834497</v>
      </c>
      <c r="B780">
        <v>991751</v>
      </c>
      <c r="C780" t="s">
        <v>263</v>
      </c>
      <c r="E780" t="str">
        <f>"3491955953812"</f>
        <v>3491955953812</v>
      </c>
      <c r="F780" t="str">
        <f>"3491955952815"</f>
        <v>3491955952815</v>
      </c>
      <c r="H780" t="s">
        <v>17</v>
      </c>
      <c r="I780">
        <v>95030069</v>
      </c>
      <c r="J780">
        <v>1</v>
      </c>
      <c r="K780">
        <v>2</v>
      </c>
      <c r="L780">
        <v>2</v>
      </c>
      <c r="M780">
        <v>0.64400000000000002</v>
      </c>
      <c r="N780">
        <v>0.57999999999999996</v>
      </c>
      <c r="O780">
        <v>0.85</v>
      </c>
      <c r="P780">
        <v>1.7</v>
      </c>
      <c r="Q780">
        <v>3.07</v>
      </c>
      <c r="R780">
        <v>6.14</v>
      </c>
    </row>
    <row r="781" spans="1:18" x14ac:dyDescent="0.25">
      <c r="A781">
        <v>18834697</v>
      </c>
      <c r="B781">
        <v>275282</v>
      </c>
      <c r="C781" t="s">
        <v>279</v>
      </c>
      <c r="E781" t="str">
        <f>"5413548280585"</f>
        <v>5413548280585</v>
      </c>
      <c r="F781" t="str">
        <f>"5413548283128"</f>
        <v>5413548283128</v>
      </c>
      <c r="H781" t="s">
        <v>54</v>
      </c>
      <c r="I781">
        <v>18069019</v>
      </c>
      <c r="J781">
        <v>1</v>
      </c>
      <c r="K781">
        <v>1</v>
      </c>
      <c r="L781">
        <v>27</v>
      </c>
      <c r="M781">
        <v>6.0209999999999999</v>
      </c>
      <c r="N781">
        <v>5.4189999999999996</v>
      </c>
      <c r="O781">
        <v>1.333</v>
      </c>
      <c r="P781">
        <v>35.991</v>
      </c>
      <c r="Q781">
        <v>2.5099999999999998</v>
      </c>
      <c r="R781">
        <v>67.77</v>
      </c>
    </row>
    <row r="782" spans="1:18" x14ac:dyDescent="0.25">
      <c r="A782">
        <v>18834697</v>
      </c>
      <c r="B782">
        <v>381193</v>
      </c>
      <c r="C782" t="s">
        <v>280</v>
      </c>
      <c r="E782" t="str">
        <f>"4008400202525"</f>
        <v>4008400202525</v>
      </c>
      <c r="F782">
        <v>80177609</v>
      </c>
      <c r="H782" t="s">
        <v>203</v>
      </c>
      <c r="I782">
        <v>18069019</v>
      </c>
      <c r="J782">
        <v>1</v>
      </c>
      <c r="K782">
        <v>1</v>
      </c>
      <c r="L782">
        <v>30</v>
      </c>
      <c r="M782">
        <v>1.8</v>
      </c>
      <c r="N782">
        <v>1.62</v>
      </c>
      <c r="O782">
        <v>9.9000000000000005E-2</v>
      </c>
      <c r="P782">
        <v>2.97</v>
      </c>
      <c r="Q782">
        <v>0.45</v>
      </c>
      <c r="R782">
        <v>13.5</v>
      </c>
    </row>
    <row r="783" spans="1:18" x14ac:dyDescent="0.25">
      <c r="A783">
        <v>18834697</v>
      </c>
      <c r="B783">
        <v>397282</v>
      </c>
      <c r="C783" t="s">
        <v>281</v>
      </c>
      <c r="E783" t="str">
        <f>"8000500141601"</f>
        <v>8000500141601</v>
      </c>
      <c r="H783" t="s">
        <v>200</v>
      </c>
      <c r="I783">
        <v>18069019</v>
      </c>
      <c r="J783">
        <v>1</v>
      </c>
      <c r="K783">
        <v>1</v>
      </c>
      <c r="L783">
        <v>24</v>
      </c>
      <c r="M783">
        <v>4.2</v>
      </c>
      <c r="N783">
        <v>3.78</v>
      </c>
      <c r="O783">
        <v>0.309</v>
      </c>
      <c r="P783">
        <v>7.4160000000000004</v>
      </c>
      <c r="Q783">
        <v>1.48</v>
      </c>
      <c r="R783">
        <v>35.520000000000003</v>
      </c>
    </row>
    <row r="784" spans="1:18" x14ac:dyDescent="0.25">
      <c r="A784">
        <v>18834697</v>
      </c>
      <c r="B784">
        <v>625297</v>
      </c>
      <c r="C784" t="s">
        <v>282</v>
      </c>
      <c r="E784" t="str">
        <f>"4008400240527"</f>
        <v>4008400240527</v>
      </c>
      <c r="H784" t="s">
        <v>200</v>
      </c>
      <c r="I784">
        <v>18069031</v>
      </c>
      <c r="J784">
        <v>1</v>
      </c>
      <c r="K784">
        <v>1</v>
      </c>
      <c r="L784">
        <v>40</v>
      </c>
      <c r="M784">
        <v>6.92</v>
      </c>
      <c r="N784">
        <v>6.2279999999999998</v>
      </c>
      <c r="O784">
        <v>1.5169999999999999</v>
      </c>
      <c r="P784">
        <v>60.68</v>
      </c>
      <c r="Q784">
        <v>2.73</v>
      </c>
      <c r="R784">
        <v>109.2</v>
      </c>
    </row>
    <row r="785" spans="1:18" x14ac:dyDescent="0.25">
      <c r="A785">
        <v>18834697</v>
      </c>
      <c r="B785">
        <v>681025</v>
      </c>
      <c r="C785" t="s">
        <v>283</v>
      </c>
      <c r="E785" t="str">
        <f>"8000500026731"</f>
        <v>8000500026731</v>
      </c>
      <c r="H785" t="s">
        <v>200</v>
      </c>
      <c r="I785">
        <v>18069019</v>
      </c>
      <c r="J785">
        <v>1</v>
      </c>
      <c r="K785">
        <v>1</v>
      </c>
      <c r="L785">
        <v>64</v>
      </c>
      <c r="M785">
        <v>3.7759999999999998</v>
      </c>
      <c r="N785">
        <v>3.3980000000000001</v>
      </c>
      <c r="O785">
        <v>0.44800000000000001</v>
      </c>
      <c r="P785">
        <v>28.672000000000001</v>
      </c>
      <c r="Q785">
        <v>2.06</v>
      </c>
      <c r="R785">
        <v>131.84</v>
      </c>
    </row>
    <row r="786" spans="1:18" x14ac:dyDescent="0.25">
      <c r="A786">
        <v>18834697</v>
      </c>
      <c r="B786">
        <v>913426</v>
      </c>
      <c r="C786" t="s">
        <v>284</v>
      </c>
      <c r="E786" t="str">
        <f>"4008400280127"</f>
        <v>4008400280127</v>
      </c>
      <c r="F786">
        <v>80846116</v>
      </c>
      <c r="H786" t="s">
        <v>200</v>
      </c>
      <c r="I786">
        <v>18069031</v>
      </c>
      <c r="J786">
        <v>1</v>
      </c>
      <c r="K786">
        <v>1</v>
      </c>
      <c r="L786">
        <v>14</v>
      </c>
      <c r="M786">
        <v>2.3940000000000001</v>
      </c>
      <c r="N786">
        <v>2.1549999999999998</v>
      </c>
      <c r="O786">
        <v>1.954</v>
      </c>
      <c r="P786">
        <v>27.356000000000002</v>
      </c>
      <c r="Q786">
        <v>3.54</v>
      </c>
      <c r="R786">
        <v>49.56</v>
      </c>
    </row>
    <row r="787" spans="1:18" x14ac:dyDescent="0.25">
      <c r="A787">
        <v>18834697</v>
      </c>
      <c r="B787">
        <v>917555</v>
      </c>
      <c r="C787" t="s">
        <v>285</v>
      </c>
      <c r="E787" t="str">
        <f>"4008400511528"</f>
        <v>4008400511528</v>
      </c>
      <c r="H787" t="s">
        <v>206</v>
      </c>
      <c r="I787">
        <v>18069031</v>
      </c>
      <c r="J787">
        <v>1</v>
      </c>
      <c r="K787">
        <v>1</v>
      </c>
      <c r="L787">
        <v>52</v>
      </c>
      <c r="M787">
        <v>2.028</v>
      </c>
      <c r="N787">
        <v>1.825</v>
      </c>
      <c r="O787">
        <v>0.47799999999999998</v>
      </c>
      <c r="P787">
        <v>24.856000000000002</v>
      </c>
      <c r="Q787">
        <v>1.34</v>
      </c>
      <c r="R787">
        <v>69.680000000000007</v>
      </c>
    </row>
    <row r="788" spans="1:18" x14ac:dyDescent="0.25">
      <c r="A788">
        <v>18834697</v>
      </c>
      <c r="B788">
        <v>1015840</v>
      </c>
      <c r="C788" t="s">
        <v>286</v>
      </c>
      <c r="E788">
        <v>80969112</v>
      </c>
      <c r="H788" t="s">
        <v>206</v>
      </c>
      <c r="I788">
        <v>18069031</v>
      </c>
      <c r="J788">
        <v>1</v>
      </c>
      <c r="K788">
        <v>1</v>
      </c>
      <c r="L788">
        <v>36</v>
      </c>
      <c r="M788">
        <v>1.8</v>
      </c>
      <c r="N788">
        <v>1.62</v>
      </c>
      <c r="O788">
        <v>0.32500000000000001</v>
      </c>
      <c r="P788">
        <v>11.7</v>
      </c>
      <c r="Q788">
        <v>0.86</v>
      </c>
      <c r="R788">
        <v>30.96</v>
      </c>
    </row>
    <row r="789" spans="1:18" x14ac:dyDescent="0.25">
      <c r="A789">
        <v>18834697</v>
      </c>
      <c r="B789">
        <v>919927</v>
      </c>
      <c r="C789" t="s">
        <v>278</v>
      </c>
      <c r="E789" t="str">
        <f>"3395503109969"</f>
        <v>3395503109969</v>
      </c>
      <c r="H789" t="s">
        <v>17</v>
      </c>
      <c r="I789">
        <v>17049071</v>
      </c>
      <c r="J789">
        <v>1</v>
      </c>
      <c r="K789">
        <v>14</v>
      </c>
      <c r="L789">
        <v>14</v>
      </c>
      <c r="M789">
        <v>28</v>
      </c>
      <c r="N789">
        <v>25.2</v>
      </c>
      <c r="O789">
        <v>10.101000000000001</v>
      </c>
      <c r="P789">
        <v>141.41399999999999</v>
      </c>
      <c r="Q789">
        <v>0.71</v>
      </c>
      <c r="R789">
        <v>9.94</v>
      </c>
    </row>
    <row r="790" spans="1:18" x14ac:dyDescent="0.25">
      <c r="A790">
        <v>18834697</v>
      </c>
      <c r="B790">
        <v>777168</v>
      </c>
      <c r="C790" t="s">
        <v>289</v>
      </c>
      <c r="E790" t="str">
        <f>"4008400230726"</f>
        <v>4008400230726</v>
      </c>
      <c r="H790" t="s">
        <v>200</v>
      </c>
      <c r="I790">
        <v>18069031</v>
      </c>
      <c r="J790">
        <v>1</v>
      </c>
      <c r="K790">
        <v>1</v>
      </c>
      <c r="L790">
        <v>36</v>
      </c>
      <c r="M790">
        <v>6.8760000000000003</v>
      </c>
      <c r="N790">
        <v>6.1879999999999997</v>
      </c>
      <c r="O790">
        <v>1.4690000000000001</v>
      </c>
      <c r="P790">
        <v>52.884</v>
      </c>
      <c r="Q790">
        <v>4.2699999999999996</v>
      </c>
      <c r="R790">
        <v>153.72</v>
      </c>
    </row>
    <row r="791" spans="1:18" x14ac:dyDescent="0.25">
      <c r="A791">
        <v>18834697</v>
      </c>
      <c r="B791">
        <v>777170</v>
      </c>
      <c r="C791" t="s">
        <v>290</v>
      </c>
      <c r="E791" t="str">
        <f>"4008400270326"</f>
        <v>4008400270326</v>
      </c>
      <c r="H791" t="s">
        <v>54</v>
      </c>
      <c r="I791">
        <v>18063100</v>
      </c>
      <c r="J791">
        <v>1</v>
      </c>
      <c r="K791">
        <v>1</v>
      </c>
      <c r="L791">
        <v>16</v>
      </c>
      <c r="M791">
        <v>5.12</v>
      </c>
      <c r="N791">
        <v>4.6079999999999997</v>
      </c>
      <c r="O791">
        <v>4.5</v>
      </c>
      <c r="P791">
        <v>72</v>
      </c>
      <c r="Q791">
        <v>6.1</v>
      </c>
      <c r="R791">
        <v>97.6</v>
      </c>
    </row>
    <row r="792" spans="1:18" x14ac:dyDescent="0.25">
      <c r="A792">
        <v>18834697</v>
      </c>
      <c r="B792">
        <v>1015783</v>
      </c>
      <c r="C792" t="s">
        <v>291</v>
      </c>
      <c r="E792" t="str">
        <f>"8000500391440"</f>
        <v>8000500391440</v>
      </c>
      <c r="H792" t="s">
        <v>200</v>
      </c>
      <c r="I792">
        <v>18069031</v>
      </c>
      <c r="J792">
        <v>1</v>
      </c>
      <c r="K792">
        <v>1</v>
      </c>
      <c r="L792">
        <v>8</v>
      </c>
      <c r="M792">
        <v>1.528</v>
      </c>
      <c r="N792">
        <v>1.375</v>
      </c>
      <c r="O792">
        <v>1.734</v>
      </c>
      <c r="P792">
        <v>13.872</v>
      </c>
      <c r="Q792">
        <v>4.91</v>
      </c>
      <c r="R792">
        <v>39.28</v>
      </c>
    </row>
    <row r="793" spans="1:18" x14ac:dyDescent="0.25">
      <c r="A793">
        <v>18834697</v>
      </c>
      <c r="B793">
        <v>1015799</v>
      </c>
      <c r="C793" t="s">
        <v>292</v>
      </c>
      <c r="E793" t="str">
        <f>"8000500392379"</f>
        <v>8000500392379</v>
      </c>
      <c r="H793" t="s">
        <v>54</v>
      </c>
      <c r="I793">
        <v>18063100</v>
      </c>
      <c r="J793">
        <v>1</v>
      </c>
      <c r="K793">
        <v>1</v>
      </c>
      <c r="L793">
        <v>18</v>
      </c>
      <c r="M793">
        <v>3.6720000000000002</v>
      </c>
      <c r="N793">
        <v>3.3050000000000002</v>
      </c>
      <c r="O793">
        <v>1.4359999999999999</v>
      </c>
      <c r="P793">
        <v>25.847999999999999</v>
      </c>
      <c r="Q793">
        <v>5.26</v>
      </c>
      <c r="R793">
        <v>94.68</v>
      </c>
    </row>
    <row r="794" spans="1:18" x14ac:dyDescent="0.25">
      <c r="A794">
        <v>18834697</v>
      </c>
      <c r="B794">
        <v>1015838</v>
      </c>
      <c r="C794" t="s">
        <v>293</v>
      </c>
      <c r="E794">
        <v>80935179</v>
      </c>
      <c r="H794" t="s">
        <v>54</v>
      </c>
      <c r="I794">
        <v>18063100</v>
      </c>
      <c r="J794">
        <v>1</v>
      </c>
      <c r="K794">
        <v>1</v>
      </c>
      <c r="L794">
        <v>18</v>
      </c>
      <c r="M794">
        <v>14.4</v>
      </c>
      <c r="N794">
        <v>12.96</v>
      </c>
      <c r="O794">
        <v>1.4359999999999999</v>
      </c>
      <c r="P794">
        <v>25.847999999999999</v>
      </c>
      <c r="Q794">
        <v>2.1800000000000002</v>
      </c>
      <c r="R794">
        <v>39.24</v>
      </c>
    </row>
    <row r="795" spans="1:18" x14ac:dyDescent="0.25">
      <c r="A795">
        <v>18834697</v>
      </c>
      <c r="B795">
        <v>1015839</v>
      </c>
      <c r="C795" t="s">
        <v>294</v>
      </c>
      <c r="E795" t="str">
        <f>"8000500266564"</f>
        <v>8000500266564</v>
      </c>
      <c r="H795" t="s">
        <v>200</v>
      </c>
      <c r="I795">
        <v>18069031</v>
      </c>
      <c r="J795">
        <v>1</v>
      </c>
      <c r="K795">
        <v>1</v>
      </c>
      <c r="L795">
        <v>6</v>
      </c>
      <c r="M795">
        <v>1.32</v>
      </c>
      <c r="N795">
        <v>1.1879999999999999</v>
      </c>
      <c r="O795">
        <v>0.432</v>
      </c>
      <c r="P795">
        <v>2.5920000000000001</v>
      </c>
      <c r="Q795">
        <v>8.42</v>
      </c>
      <c r="R795">
        <v>50.52</v>
      </c>
    </row>
    <row r="796" spans="1:18" x14ac:dyDescent="0.25">
      <c r="A796">
        <v>18834697</v>
      </c>
      <c r="B796">
        <v>591389</v>
      </c>
      <c r="C796" t="s">
        <v>288</v>
      </c>
      <c r="E796" t="str">
        <f>"4008613005432"</f>
        <v>4008613005432</v>
      </c>
      <c r="H796" t="s">
        <v>54</v>
      </c>
      <c r="I796">
        <v>18069039</v>
      </c>
      <c r="J796">
        <v>32</v>
      </c>
      <c r="K796">
        <v>1</v>
      </c>
      <c r="L796">
        <v>32</v>
      </c>
      <c r="M796">
        <v>4.992</v>
      </c>
      <c r="N796">
        <v>4.4930000000000003</v>
      </c>
      <c r="O796">
        <v>0.93700000000000006</v>
      </c>
      <c r="P796">
        <v>29.984000000000002</v>
      </c>
      <c r="Q796">
        <v>0.72</v>
      </c>
      <c r="R796">
        <v>23.04</v>
      </c>
    </row>
    <row r="797" spans="1:18" x14ac:dyDescent="0.25">
      <c r="A797">
        <v>18834697</v>
      </c>
      <c r="B797">
        <v>717595</v>
      </c>
      <c r="C797" t="s">
        <v>287</v>
      </c>
      <c r="E797">
        <v>80809180</v>
      </c>
      <c r="H797" t="s">
        <v>203</v>
      </c>
      <c r="I797">
        <v>18069060</v>
      </c>
      <c r="J797">
        <v>64</v>
      </c>
      <c r="K797">
        <v>1</v>
      </c>
      <c r="L797">
        <v>64</v>
      </c>
      <c r="M797">
        <v>4.5439999999999996</v>
      </c>
      <c r="N797">
        <v>4.09</v>
      </c>
      <c r="O797">
        <v>0.125</v>
      </c>
      <c r="P797">
        <v>8</v>
      </c>
      <c r="Q797">
        <v>0.54</v>
      </c>
      <c r="R797">
        <v>34.56</v>
      </c>
    </row>
    <row r="798" spans="1:18" x14ac:dyDescent="0.25">
      <c r="A798">
        <v>18838561</v>
      </c>
      <c r="B798">
        <v>777178</v>
      </c>
      <c r="C798" t="s">
        <v>297</v>
      </c>
      <c r="E798" t="str">
        <f>"5411446006047"</f>
        <v>5411446006047</v>
      </c>
      <c r="H798" t="s">
        <v>200</v>
      </c>
      <c r="I798">
        <v>17049065</v>
      </c>
      <c r="J798">
        <v>30</v>
      </c>
      <c r="K798">
        <v>2</v>
      </c>
      <c r="L798">
        <v>60</v>
      </c>
      <c r="M798">
        <v>2.52</v>
      </c>
      <c r="N798">
        <v>2.2679999999999998</v>
      </c>
      <c r="O798">
        <v>0.184</v>
      </c>
      <c r="P798">
        <v>11.04</v>
      </c>
      <c r="Q798">
        <v>0.36</v>
      </c>
      <c r="R798">
        <v>21.6</v>
      </c>
    </row>
    <row r="799" spans="1:18" x14ac:dyDescent="0.25">
      <c r="A799">
        <v>18838561</v>
      </c>
      <c r="B799">
        <v>963073</v>
      </c>
      <c r="C799" t="s">
        <v>295</v>
      </c>
      <c r="E799" t="str">
        <f>"7622201784843"</f>
        <v>7622201784843</v>
      </c>
      <c r="F799" t="str">
        <f>"7622201784904"</f>
        <v>7622201784904</v>
      </c>
      <c r="H799" t="s">
        <v>296</v>
      </c>
      <c r="I799">
        <v>18069019</v>
      </c>
      <c r="J799">
        <v>14</v>
      </c>
      <c r="K799">
        <v>1</v>
      </c>
      <c r="L799">
        <v>14</v>
      </c>
      <c r="M799">
        <v>2.6880000000000002</v>
      </c>
      <c r="N799">
        <v>2.419</v>
      </c>
      <c r="O799">
        <v>1.85</v>
      </c>
      <c r="P799">
        <v>25.9</v>
      </c>
      <c r="Q799">
        <v>2.1</v>
      </c>
      <c r="R799">
        <v>29.4</v>
      </c>
    </row>
    <row r="800" spans="1:18" x14ac:dyDescent="0.25">
      <c r="A800">
        <v>18838561</v>
      </c>
      <c r="B800">
        <v>724084</v>
      </c>
      <c r="C800" t="s">
        <v>298</v>
      </c>
      <c r="E800" t="str">
        <f>"5411446001103"</f>
        <v>5411446001103</v>
      </c>
      <c r="H800" t="s">
        <v>200</v>
      </c>
      <c r="I800">
        <v>17049065</v>
      </c>
      <c r="J800">
        <v>24</v>
      </c>
      <c r="K800">
        <v>2</v>
      </c>
      <c r="L800">
        <v>48</v>
      </c>
      <c r="M800">
        <v>11.76</v>
      </c>
      <c r="N800">
        <v>10.584</v>
      </c>
      <c r="O800">
        <v>1.2410000000000001</v>
      </c>
      <c r="P800">
        <v>59.567999999999998</v>
      </c>
      <c r="Q800">
        <v>1.05</v>
      </c>
      <c r="R800">
        <v>50.4</v>
      </c>
    </row>
    <row r="801" spans="1:18" x14ac:dyDescent="0.25">
      <c r="A801">
        <v>18840387</v>
      </c>
      <c r="B801">
        <v>950232</v>
      </c>
      <c r="C801" t="s">
        <v>301</v>
      </c>
      <c r="E801" t="str">
        <f>"3491955968649"</f>
        <v>3491955968649</v>
      </c>
      <c r="F801" t="str">
        <f>"3491955680992"</f>
        <v>3491955680992</v>
      </c>
      <c r="H801" t="s">
        <v>17</v>
      </c>
      <c r="I801">
        <v>62044300</v>
      </c>
      <c r="J801">
        <v>3</v>
      </c>
      <c r="K801">
        <v>2</v>
      </c>
      <c r="L801">
        <v>6</v>
      </c>
      <c r="M801">
        <v>2.04</v>
      </c>
      <c r="N801">
        <v>1.8360000000000001</v>
      </c>
      <c r="O801">
        <v>2.4500000000000002</v>
      </c>
      <c r="P801">
        <v>14.7</v>
      </c>
      <c r="Q801">
        <v>11.8</v>
      </c>
      <c r="R801">
        <v>70.8</v>
      </c>
    </row>
    <row r="802" spans="1:18" x14ac:dyDescent="0.25">
      <c r="A802">
        <v>18840387</v>
      </c>
      <c r="B802">
        <v>986213</v>
      </c>
      <c r="C802" t="s">
        <v>300</v>
      </c>
      <c r="E802" t="str">
        <f>"3491955927479"</f>
        <v>3491955927479</v>
      </c>
      <c r="H802" t="s">
        <v>17</v>
      </c>
      <c r="I802">
        <v>95059000</v>
      </c>
      <c r="J802">
        <v>1</v>
      </c>
      <c r="K802">
        <v>4</v>
      </c>
      <c r="L802">
        <v>4</v>
      </c>
      <c r="M802">
        <v>2</v>
      </c>
      <c r="N802">
        <v>1.8</v>
      </c>
      <c r="O802">
        <v>7.2</v>
      </c>
      <c r="P802">
        <v>28.8</v>
      </c>
      <c r="Q802">
        <v>8.09</v>
      </c>
      <c r="R802">
        <v>32.36</v>
      </c>
    </row>
    <row r="803" spans="1:18" x14ac:dyDescent="0.25">
      <c r="A803">
        <v>18840387</v>
      </c>
      <c r="B803">
        <v>950453</v>
      </c>
      <c r="C803" t="s">
        <v>302</v>
      </c>
      <c r="E803" t="str">
        <f>"3491955634384"</f>
        <v>3491955634384</v>
      </c>
      <c r="H803" t="s">
        <v>17</v>
      </c>
      <c r="I803">
        <v>39264000</v>
      </c>
      <c r="J803">
        <v>1</v>
      </c>
      <c r="K803">
        <v>3</v>
      </c>
      <c r="L803">
        <v>3</v>
      </c>
      <c r="M803">
        <v>2.25</v>
      </c>
      <c r="N803">
        <v>2.0249999999999999</v>
      </c>
      <c r="O803">
        <v>8.9250000000000007</v>
      </c>
      <c r="P803">
        <v>26.774999999999999</v>
      </c>
      <c r="Q803">
        <v>18.23</v>
      </c>
      <c r="R803">
        <v>54.69</v>
      </c>
    </row>
    <row r="804" spans="1:18" x14ac:dyDescent="0.25">
      <c r="A804">
        <v>18840387</v>
      </c>
      <c r="B804">
        <v>986221</v>
      </c>
      <c r="C804" t="s">
        <v>303</v>
      </c>
      <c r="E804" t="str">
        <f>"3491955927677"</f>
        <v>3491955927677</v>
      </c>
      <c r="H804" t="s">
        <v>17</v>
      </c>
      <c r="I804">
        <v>95059000</v>
      </c>
      <c r="J804">
        <v>1</v>
      </c>
      <c r="K804">
        <v>3</v>
      </c>
      <c r="L804">
        <v>3</v>
      </c>
      <c r="M804">
        <v>1.7849999999999999</v>
      </c>
      <c r="N804">
        <v>1.607</v>
      </c>
      <c r="O804">
        <v>5.25</v>
      </c>
      <c r="P804">
        <v>15.75</v>
      </c>
      <c r="Q804">
        <v>5.67</v>
      </c>
      <c r="R804">
        <v>17.010000000000002</v>
      </c>
    </row>
    <row r="805" spans="1:18" x14ac:dyDescent="0.25">
      <c r="A805">
        <v>18840387</v>
      </c>
      <c r="B805">
        <v>1003544</v>
      </c>
      <c r="C805" t="s">
        <v>299</v>
      </c>
      <c r="E805" t="str">
        <f>"3491955963668"</f>
        <v>3491955963668</v>
      </c>
      <c r="F805" t="str">
        <f>"3491956020131"</f>
        <v>3491956020131</v>
      </c>
      <c r="H805" t="s">
        <v>17</v>
      </c>
      <c r="I805">
        <v>70134999</v>
      </c>
      <c r="J805">
        <v>4</v>
      </c>
      <c r="K805">
        <v>1</v>
      </c>
      <c r="L805">
        <v>4</v>
      </c>
      <c r="M805">
        <v>13</v>
      </c>
      <c r="N805">
        <v>11.7</v>
      </c>
      <c r="O805">
        <v>21.527999999999999</v>
      </c>
      <c r="P805">
        <v>86.111999999999995</v>
      </c>
      <c r="Q805">
        <v>10.02</v>
      </c>
      <c r="R805">
        <v>40.08</v>
      </c>
    </row>
    <row r="806" spans="1:18" x14ac:dyDescent="0.25">
      <c r="A806">
        <v>18840387</v>
      </c>
      <c r="B806">
        <v>986220</v>
      </c>
      <c r="C806" t="s">
        <v>304</v>
      </c>
      <c r="E806" t="str">
        <f>"3491955927608"</f>
        <v>3491955927608</v>
      </c>
      <c r="H806" t="s">
        <v>17</v>
      </c>
      <c r="I806">
        <v>95059000</v>
      </c>
      <c r="J806">
        <v>3</v>
      </c>
      <c r="K806">
        <v>2</v>
      </c>
      <c r="L806">
        <v>6</v>
      </c>
      <c r="M806">
        <v>4.8</v>
      </c>
      <c r="N806">
        <v>4.32</v>
      </c>
      <c r="O806">
        <v>10.176</v>
      </c>
      <c r="P806">
        <v>61.055999999999997</v>
      </c>
      <c r="Q806">
        <v>12.91</v>
      </c>
      <c r="R806">
        <v>77.459999999999994</v>
      </c>
    </row>
    <row r="807" spans="1:18" x14ac:dyDescent="0.25">
      <c r="A807">
        <v>18840387</v>
      </c>
      <c r="B807">
        <v>986189</v>
      </c>
      <c r="C807" t="s">
        <v>314</v>
      </c>
      <c r="E807" t="str">
        <f>"3491955927455"</f>
        <v>3491955927455</v>
      </c>
      <c r="H807" t="s">
        <v>17</v>
      </c>
      <c r="I807">
        <v>95059000</v>
      </c>
      <c r="J807">
        <v>1</v>
      </c>
      <c r="K807">
        <v>4</v>
      </c>
      <c r="L807">
        <v>4</v>
      </c>
      <c r="M807">
        <v>1.3320000000000001</v>
      </c>
      <c r="N807">
        <v>1.1990000000000001</v>
      </c>
      <c r="O807">
        <v>8.2319999999999993</v>
      </c>
      <c r="P807">
        <v>32.927999999999997</v>
      </c>
      <c r="Q807">
        <v>6.45</v>
      </c>
      <c r="R807">
        <v>25.8</v>
      </c>
    </row>
    <row r="808" spans="1:18" x14ac:dyDescent="0.25">
      <c r="A808">
        <v>18840387</v>
      </c>
      <c r="B808">
        <v>751147</v>
      </c>
      <c r="C808" t="s">
        <v>315</v>
      </c>
      <c r="E808" t="str">
        <f>"3491954636822"</f>
        <v>3491954636822</v>
      </c>
      <c r="F808" t="str">
        <f>"3491955968670"</f>
        <v>3491955968670</v>
      </c>
      <c r="H808" t="s">
        <v>17</v>
      </c>
      <c r="I808">
        <v>70133791</v>
      </c>
      <c r="J808">
        <v>24</v>
      </c>
      <c r="K808">
        <v>1</v>
      </c>
      <c r="L808">
        <v>24</v>
      </c>
      <c r="M808">
        <v>9.9600000000000009</v>
      </c>
      <c r="N808">
        <v>8.9640000000000004</v>
      </c>
      <c r="O808">
        <v>1.577</v>
      </c>
      <c r="P808">
        <v>37.847999999999999</v>
      </c>
      <c r="Q808">
        <v>1.23</v>
      </c>
      <c r="R808">
        <v>29.52</v>
      </c>
    </row>
    <row r="809" spans="1:18" x14ac:dyDescent="0.25">
      <c r="A809">
        <v>18840387</v>
      </c>
      <c r="B809">
        <v>986214</v>
      </c>
      <c r="C809" t="s">
        <v>305</v>
      </c>
      <c r="E809" t="str">
        <f>"3491955927707"</f>
        <v>3491955927707</v>
      </c>
      <c r="H809" t="s">
        <v>17</v>
      </c>
      <c r="I809">
        <v>95059000</v>
      </c>
      <c r="J809">
        <v>4</v>
      </c>
      <c r="K809">
        <v>1</v>
      </c>
      <c r="L809">
        <v>4</v>
      </c>
      <c r="M809">
        <v>6.4</v>
      </c>
      <c r="N809">
        <v>5.76</v>
      </c>
      <c r="O809">
        <v>11.137</v>
      </c>
      <c r="P809">
        <v>44.548000000000002</v>
      </c>
      <c r="Q809">
        <v>16.11</v>
      </c>
      <c r="R809">
        <v>64.44</v>
      </c>
    </row>
    <row r="810" spans="1:18" x14ac:dyDescent="0.25">
      <c r="A810">
        <v>18840387</v>
      </c>
      <c r="B810">
        <v>950447</v>
      </c>
      <c r="C810" t="s">
        <v>306</v>
      </c>
      <c r="E810" t="str">
        <f>"3491955526566"</f>
        <v>3491955526566</v>
      </c>
      <c r="H810" t="s">
        <v>17</v>
      </c>
      <c r="I810">
        <v>39264000</v>
      </c>
      <c r="J810">
        <v>2</v>
      </c>
      <c r="K810">
        <v>2</v>
      </c>
      <c r="L810">
        <v>4</v>
      </c>
      <c r="M810">
        <v>17.72</v>
      </c>
      <c r="N810">
        <v>15.948</v>
      </c>
      <c r="O810">
        <v>29.6</v>
      </c>
      <c r="P810">
        <v>118.4</v>
      </c>
      <c r="Q810">
        <v>22.81</v>
      </c>
      <c r="R810">
        <v>91.24</v>
      </c>
    </row>
    <row r="811" spans="1:18" x14ac:dyDescent="0.25">
      <c r="A811">
        <v>18840387</v>
      </c>
      <c r="B811">
        <v>986206</v>
      </c>
      <c r="C811" t="s">
        <v>307</v>
      </c>
      <c r="E811" t="str">
        <f>"3491955927622"</f>
        <v>3491955927622</v>
      </c>
      <c r="H811" t="s">
        <v>17</v>
      </c>
      <c r="I811">
        <v>95059000</v>
      </c>
      <c r="J811">
        <v>6</v>
      </c>
      <c r="K811">
        <v>2</v>
      </c>
      <c r="L811">
        <v>12</v>
      </c>
      <c r="M811">
        <v>3.24</v>
      </c>
      <c r="N811">
        <v>2.9159999999999999</v>
      </c>
      <c r="O811">
        <v>3.1030000000000002</v>
      </c>
      <c r="P811">
        <v>37.235999999999997</v>
      </c>
      <c r="Q811">
        <v>2.23</v>
      </c>
      <c r="R811">
        <v>26.76</v>
      </c>
    </row>
    <row r="812" spans="1:18" x14ac:dyDescent="0.25">
      <c r="A812">
        <v>18840387</v>
      </c>
      <c r="B812">
        <v>799445</v>
      </c>
      <c r="C812" t="s">
        <v>317</v>
      </c>
      <c r="E812" t="str">
        <f>"3491955932404"</f>
        <v>3491955932404</v>
      </c>
      <c r="F812" t="str">
        <f>"3491955331276"</f>
        <v>3491955331276</v>
      </c>
      <c r="H812" t="s">
        <v>17</v>
      </c>
      <c r="I812">
        <v>95059000</v>
      </c>
      <c r="J812">
        <v>18</v>
      </c>
      <c r="K812">
        <v>1</v>
      </c>
      <c r="L812">
        <v>18</v>
      </c>
      <c r="M812">
        <v>0.93600000000000005</v>
      </c>
      <c r="N812">
        <v>0.84199999999999997</v>
      </c>
      <c r="O812">
        <v>0.44400000000000001</v>
      </c>
      <c r="P812">
        <v>7.992</v>
      </c>
      <c r="Q812">
        <v>0.96</v>
      </c>
      <c r="R812">
        <v>17.28</v>
      </c>
    </row>
    <row r="813" spans="1:18" x14ac:dyDescent="0.25">
      <c r="A813">
        <v>18840387</v>
      </c>
      <c r="B813">
        <v>986216</v>
      </c>
      <c r="C813" t="s">
        <v>308</v>
      </c>
      <c r="E813" t="str">
        <f>"3491955927691"</f>
        <v>3491955927691</v>
      </c>
      <c r="H813" t="s">
        <v>17</v>
      </c>
      <c r="I813">
        <v>95059000</v>
      </c>
      <c r="J813">
        <v>1</v>
      </c>
      <c r="K813">
        <v>3</v>
      </c>
      <c r="L813">
        <v>3</v>
      </c>
      <c r="M813">
        <v>1.887</v>
      </c>
      <c r="N813">
        <v>1.698</v>
      </c>
      <c r="O813">
        <v>5.25</v>
      </c>
      <c r="P813">
        <v>15.75</v>
      </c>
      <c r="Q813">
        <v>5.96</v>
      </c>
      <c r="R813">
        <v>17.88</v>
      </c>
    </row>
    <row r="814" spans="1:18" x14ac:dyDescent="0.25">
      <c r="A814">
        <v>18840387</v>
      </c>
      <c r="B814">
        <v>904609</v>
      </c>
      <c r="C814" t="s">
        <v>318</v>
      </c>
      <c r="E814" t="str">
        <f>"3491955933135"</f>
        <v>3491955933135</v>
      </c>
      <c r="F814" t="str">
        <f>"3491955531775"</f>
        <v>3491955531775</v>
      </c>
      <c r="H814" t="s">
        <v>17</v>
      </c>
      <c r="I814">
        <v>95059000</v>
      </c>
      <c r="J814">
        <v>12</v>
      </c>
      <c r="K814">
        <v>1</v>
      </c>
      <c r="L814">
        <v>12</v>
      </c>
      <c r="M814">
        <v>0.39600000000000002</v>
      </c>
      <c r="N814">
        <v>0.35599999999999998</v>
      </c>
      <c r="O814">
        <v>0.23699999999999999</v>
      </c>
      <c r="P814">
        <v>2.8439999999999999</v>
      </c>
      <c r="Q814">
        <v>0.55000000000000004</v>
      </c>
      <c r="R814">
        <v>6.6</v>
      </c>
    </row>
    <row r="815" spans="1:18" x14ac:dyDescent="0.25">
      <c r="A815">
        <v>18840387</v>
      </c>
      <c r="B815">
        <v>904594</v>
      </c>
      <c r="C815" t="s">
        <v>316</v>
      </c>
      <c r="E815" t="str">
        <f>"3491955341169"</f>
        <v>3491955341169</v>
      </c>
      <c r="H815" t="s">
        <v>17</v>
      </c>
      <c r="I815">
        <v>95059000</v>
      </c>
      <c r="J815">
        <v>1</v>
      </c>
      <c r="K815">
        <v>3</v>
      </c>
      <c r="L815">
        <v>3</v>
      </c>
      <c r="M815">
        <v>6.96</v>
      </c>
      <c r="N815">
        <v>6.2640000000000002</v>
      </c>
      <c r="O815">
        <v>39.904000000000003</v>
      </c>
      <c r="P815">
        <v>119.712</v>
      </c>
      <c r="Q815">
        <v>29.56</v>
      </c>
      <c r="R815">
        <v>88.68</v>
      </c>
    </row>
    <row r="816" spans="1:18" x14ac:dyDescent="0.25">
      <c r="A816">
        <v>18840387</v>
      </c>
      <c r="B816">
        <v>654135</v>
      </c>
      <c r="C816" t="s">
        <v>310</v>
      </c>
      <c r="E816" t="str">
        <f>"3491955929664"</f>
        <v>3491955929664</v>
      </c>
      <c r="F816" t="str">
        <f>"3491953661221"</f>
        <v>3491953661221</v>
      </c>
      <c r="H816" t="s">
        <v>17</v>
      </c>
      <c r="I816">
        <v>95059000</v>
      </c>
      <c r="J816">
        <v>6</v>
      </c>
      <c r="K816">
        <v>2</v>
      </c>
      <c r="L816">
        <v>12</v>
      </c>
      <c r="M816">
        <v>2.94</v>
      </c>
      <c r="N816">
        <v>2.6459999999999999</v>
      </c>
      <c r="O816">
        <v>2.097</v>
      </c>
      <c r="P816">
        <v>25.164000000000001</v>
      </c>
      <c r="Q816">
        <v>1.83</v>
      </c>
      <c r="R816">
        <v>21.96</v>
      </c>
    </row>
    <row r="817" spans="1:18" x14ac:dyDescent="0.25">
      <c r="A817">
        <v>18840387</v>
      </c>
      <c r="B817">
        <v>986212</v>
      </c>
      <c r="C817" t="s">
        <v>313</v>
      </c>
      <c r="E817" t="str">
        <f>"3491955927448"</f>
        <v>3491955927448</v>
      </c>
      <c r="H817" t="s">
        <v>17</v>
      </c>
      <c r="I817">
        <v>95059000</v>
      </c>
      <c r="J817">
        <v>1</v>
      </c>
      <c r="K817">
        <v>4</v>
      </c>
      <c r="L817">
        <v>4</v>
      </c>
      <c r="M817">
        <v>1.6639999999999999</v>
      </c>
      <c r="N817">
        <v>1.498</v>
      </c>
      <c r="O817">
        <v>5.3259999999999996</v>
      </c>
      <c r="P817">
        <v>21.303999999999998</v>
      </c>
      <c r="Q817">
        <v>6.45</v>
      </c>
      <c r="R817">
        <v>25.8</v>
      </c>
    </row>
    <row r="818" spans="1:18" x14ac:dyDescent="0.25">
      <c r="A818">
        <v>18840387</v>
      </c>
      <c r="B818">
        <v>986210</v>
      </c>
      <c r="C818" t="s">
        <v>312</v>
      </c>
      <c r="E818" t="str">
        <f>"3491955524524"</f>
        <v>3491955524524</v>
      </c>
      <c r="H818" t="s">
        <v>17</v>
      </c>
      <c r="I818">
        <v>95030081</v>
      </c>
      <c r="J818">
        <v>24</v>
      </c>
      <c r="K818">
        <v>1</v>
      </c>
      <c r="L818">
        <v>24</v>
      </c>
      <c r="M818">
        <v>3</v>
      </c>
      <c r="N818">
        <v>2.7</v>
      </c>
      <c r="O818">
        <v>2.7090000000000001</v>
      </c>
      <c r="P818">
        <v>65.016000000000005</v>
      </c>
      <c r="Q818">
        <v>2.1</v>
      </c>
      <c r="R818">
        <v>50.4</v>
      </c>
    </row>
    <row r="819" spans="1:18" x14ac:dyDescent="0.25">
      <c r="A819">
        <v>18840387</v>
      </c>
      <c r="B819">
        <v>799545</v>
      </c>
      <c r="C819" t="s">
        <v>311</v>
      </c>
      <c r="E819" t="str">
        <f>"3491955932787"</f>
        <v>3491955932787</v>
      </c>
      <c r="F819" t="str">
        <f>"3491955525897"</f>
        <v>3491955525897</v>
      </c>
      <c r="H819" t="s">
        <v>17</v>
      </c>
      <c r="I819">
        <v>95059000</v>
      </c>
      <c r="J819">
        <v>12</v>
      </c>
      <c r="K819">
        <v>1</v>
      </c>
      <c r="L819">
        <v>12</v>
      </c>
      <c r="M819">
        <v>0.80400000000000005</v>
      </c>
      <c r="N819">
        <v>0.72399999999999998</v>
      </c>
      <c r="O819">
        <v>1.1679999999999999</v>
      </c>
      <c r="P819">
        <v>14.016</v>
      </c>
      <c r="Q819">
        <v>1.82</v>
      </c>
      <c r="R819">
        <v>21.84</v>
      </c>
    </row>
    <row r="820" spans="1:18" x14ac:dyDescent="0.25">
      <c r="A820">
        <v>18840387</v>
      </c>
      <c r="B820">
        <v>986204</v>
      </c>
      <c r="C820" t="s">
        <v>309</v>
      </c>
      <c r="E820" t="str">
        <f>"3491955927301"</f>
        <v>3491955927301</v>
      </c>
      <c r="H820" t="s">
        <v>17</v>
      </c>
      <c r="I820">
        <v>95059000</v>
      </c>
      <c r="J820">
        <v>1</v>
      </c>
      <c r="K820">
        <v>4</v>
      </c>
      <c r="L820">
        <v>4</v>
      </c>
      <c r="M820">
        <v>2.0640000000000001</v>
      </c>
      <c r="N820">
        <v>1.8580000000000001</v>
      </c>
      <c r="O820">
        <v>6.2329999999999997</v>
      </c>
      <c r="P820">
        <v>24.931999999999999</v>
      </c>
      <c r="Q820">
        <v>5.43</v>
      </c>
      <c r="R820">
        <v>21.72</v>
      </c>
    </row>
    <row r="821" spans="1:18" x14ac:dyDescent="0.25">
      <c r="A821">
        <v>18844009</v>
      </c>
      <c r="B821">
        <v>907287</v>
      </c>
      <c r="C821" t="s">
        <v>320</v>
      </c>
      <c r="E821" t="str">
        <f>"5420023187352"</f>
        <v>5420023187352</v>
      </c>
      <c r="H821" t="s">
        <v>17</v>
      </c>
      <c r="I821">
        <v>95030095</v>
      </c>
      <c r="J821">
        <v>1</v>
      </c>
      <c r="K821">
        <v>3</v>
      </c>
      <c r="L821">
        <v>3</v>
      </c>
      <c r="M821">
        <v>8.94</v>
      </c>
      <c r="N821">
        <v>8.0459999999999994</v>
      </c>
      <c r="O821">
        <v>45.432000000000002</v>
      </c>
      <c r="P821">
        <v>136.29599999999999</v>
      </c>
      <c r="Q821">
        <v>25.01</v>
      </c>
      <c r="R821">
        <v>75.03</v>
      </c>
    </row>
    <row r="822" spans="1:18" x14ac:dyDescent="0.25">
      <c r="A822">
        <v>18844009</v>
      </c>
      <c r="B822">
        <v>757126</v>
      </c>
      <c r="C822" t="s">
        <v>319</v>
      </c>
      <c r="E822" t="str">
        <f>"5420023187017"</f>
        <v>5420023187017</v>
      </c>
      <c r="F822" t="str">
        <f>"2000006849045"</f>
        <v>2000006849045</v>
      </c>
      <c r="H822" t="s">
        <v>17</v>
      </c>
      <c r="I822">
        <v>95030095</v>
      </c>
      <c r="J822">
        <v>8</v>
      </c>
      <c r="K822">
        <v>1</v>
      </c>
      <c r="L822">
        <v>8</v>
      </c>
      <c r="M822">
        <v>4.6959999999999997</v>
      </c>
      <c r="N822">
        <v>4.226</v>
      </c>
      <c r="O822">
        <v>8.64</v>
      </c>
      <c r="P822">
        <v>69.12</v>
      </c>
      <c r="Q822">
        <v>4.59</v>
      </c>
      <c r="R822">
        <v>36.72</v>
      </c>
    </row>
    <row r="823" spans="1:18" x14ac:dyDescent="0.25">
      <c r="A823">
        <v>18844009</v>
      </c>
      <c r="B823">
        <v>907289</v>
      </c>
      <c r="C823" t="s">
        <v>321</v>
      </c>
      <c r="E823" t="str">
        <f>"5420023188991"</f>
        <v>5420023188991</v>
      </c>
      <c r="F823" t="str">
        <f>"2018203963099"</f>
        <v>2018203963099</v>
      </c>
      <c r="H823" t="s">
        <v>17</v>
      </c>
      <c r="I823">
        <v>95030021</v>
      </c>
      <c r="J823">
        <v>6</v>
      </c>
      <c r="K823">
        <v>1</v>
      </c>
      <c r="L823">
        <v>6</v>
      </c>
      <c r="M823">
        <v>8.298</v>
      </c>
      <c r="N823">
        <v>7.468</v>
      </c>
      <c r="O823">
        <v>22.331</v>
      </c>
      <c r="P823">
        <v>133.98599999999999</v>
      </c>
      <c r="Q823">
        <v>7.86</v>
      </c>
      <c r="R823">
        <v>47.16</v>
      </c>
    </row>
    <row r="824" spans="1:18" x14ac:dyDescent="0.25">
      <c r="A824">
        <v>18845917</v>
      </c>
      <c r="B824">
        <v>644385</v>
      </c>
      <c r="C824" t="s">
        <v>610</v>
      </c>
      <c r="E824" t="str">
        <f>"3086960217228"</f>
        <v>3086960217228</v>
      </c>
      <c r="F824" t="str">
        <f>"3491953127819"</f>
        <v>3491953127819</v>
      </c>
      <c r="H824" t="s">
        <v>97</v>
      </c>
      <c r="I824">
        <v>39269097</v>
      </c>
      <c r="J824">
        <v>1</v>
      </c>
      <c r="K824">
        <v>2</v>
      </c>
      <c r="L824">
        <v>2</v>
      </c>
      <c r="M824">
        <v>4.1280000000000001</v>
      </c>
      <c r="N824">
        <v>3.7149999999999999</v>
      </c>
      <c r="O824">
        <v>38.4</v>
      </c>
      <c r="P824">
        <v>76.8</v>
      </c>
      <c r="Q824">
        <v>5.67</v>
      </c>
      <c r="R824">
        <v>11.34</v>
      </c>
    </row>
    <row r="825" spans="1:18" x14ac:dyDescent="0.25">
      <c r="A825">
        <v>18845917</v>
      </c>
      <c r="B825">
        <v>387533</v>
      </c>
      <c r="C825" t="s">
        <v>611</v>
      </c>
      <c r="E825" t="str">
        <f>"3497917000907"</f>
        <v>3497917000907</v>
      </c>
      <c r="F825" t="str">
        <f>"3497917001522"</f>
        <v>3497917001522</v>
      </c>
      <c r="H825" t="s">
        <v>97</v>
      </c>
      <c r="I825">
        <v>20052020</v>
      </c>
      <c r="J825">
        <v>10</v>
      </c>
      <c r="K825">
        <v>1</v>
      </c>
      <c r="L825">
        <v>10</v>
      </c>
      <c r="M825">
        <v>1.6</v>
      </c>
      <c r="N825">
        <v>1.44</v>
      </c>
      <c r="O825">
        <v>2.76</v>
      </c>
      <c r="P825">
        <v>27.6</v>
      </c>
      <c r="Q825">
        <v>1.3</v>
      </c>
      <c r="R825">
        <v>13</v>
      </c>
    </row>
    <row r="826" spans="1:18" x14ac:dyDescent="0.25">
      <c r="A826">
        <v>18845917</v>
      </c>
      <c r="B826">
        <v>634127</v>
      </c>
      <c r="C826" t="s">
        <v>612</v>
      </c>
      <c r="E826" t="str">
        <f>"5425006034937"</f>
        <v>5425006034937</v>
      </c>
      <c r="F826" t="str">
        <f>"8718836050978"</f>
        <v>8718836050978</v>
      </c>
      <c r="H826" t="s">
        <v>448</v>
      </c>
      <c r="I826">
        <v>44013100</v>
      </c>
      <c r="J826">
        <v>1</v>
      </c>
      <c r="K826">
        <v>2</v>
      </c>
      <c r="L826">
        <v>2</v>
      </c>
      <c r="M826">
        <v>13.08</v>
      </c>
      <c r="N826">
        <v>11.772</v>
      </c>
      <c r="O826">
        <v>8</v>
      </c>
      <c r="P826">
        <v>16</v>
      </c>
      <c r="Q826">
        <v>1.53</v>
      </c>
      <c r="R826">
        <v>3.06</v>
      </c>
    </row>
    <row r="827" spans="1:18" x14ac:dyDescent="0.25">
      <c r="A827">
        <v>18845917</v>
      </c>
      <c r="B827">
        <v>648776</v>
      </c>
      <c r="C827" t="s">
        <v>613</v>
      </c>
      <c r="E827">
        <v>49000033939</v>
      </c>
      <c r="H827" t="s">
        <v>51</v>
      </c>
      <c r="I827">
        <v>22021000</v>
      </c>
      <c r="J827">
        <v>12</v>
      </c>
      <c r="K827">
        <v>1</v>
      </c>
      <c r="L827">
        <v>12</v>
      </c>
      <c r="M827">
        <v>4.74</v>
      </c>
      <c r="N827">
        <v>4.266</v>
      </c>
      <c r="O827">
        <v>0.52</v>
      </c>
      <c r="P827">
        <v>6.24</v>
      </c>
      <c r="Q827">
        <v>0.82</v>
      </c>
      <c r="R827">
        <v>9.84</v>
      </c>
    </row>
    <row r="828" spans="1:18" x14ac:dyDescent="0.25">
      <c r="A828">
        <v>18845917</v>
      </c>
      <c r="B828">
        <v>351500</v>
      </c>
      <c r="C828" t="s">
        <v>614</v>
      </c>
      <c r="E828" t="str">
        <f>"5449000284617"</f>
        <v>5449000284617</v>
      </c>
      <c r="F828" t="str">
        <f>"5449000098917"</f>
        <v>5449000098917</v>
      </c>
      <c r="H828" t="s">
        <v>615</v>
      </c>
      <c r="I828">
        <v>22021000</v>
      </c>
      <c r="J828">
        <v>24</v>
      </c>
      <c r="K828">
        <v>1</v>
      </c>
      <c r="L828">
        <v>24</v>
      </c>
      <c r="M828">
        <v>8.952</v>
      </c>
      <c r="N828">
        <v>8.0570000000000004</v>
      </c>
      <c r="O828">
        <v>0.51</v>
      </c>
      <c r="P828">
        <v>12.24</v>
      </c>
      <c r="Q828">
        <v>0.65</v>
      </c>
      <c r="R828">
        <v>15.6</v>
      </c>
    </row>
    <row r="829" spans="1:18" x14ac:dyDescent="0.25">
      <c r="A829">
        <v>18845917</v>
      </c>
      <c r="B829">
        <v>358921</v>
      </c>
      <c r="C829" t="s">
        <v>616</v>
      </c>
      <c r="E829" t="str">
        <f>"5449000111715"</f>
        <v>5449000111715</v>
      </c>
      <c r="F829" t="str">
        <f>"5449000111739"</f>
        <v>5449000111739</v>
      </c>
      <c r="H829" t="s">
        <v>200</v>
      </c>
      <c r="I829">
        <v>22011090</v>
      </c>
      <c r="J829">
        <v>6</v>
      </c>
      <c r="K829">
        <v>2</v>
      </c>
      <c r="L829">
        <v>12</v>
      </c>
      <c r="M829">
        <v>6.3</v>
      </c>
      <c r="N829">
        <v>5.67</v>
      </c>
      <c r="O829">
        <v>0.93700000000000006</v>
      </c>
      <c r="P829">
        <v>11.244</v>
      </c>
      <c r="Q829">
        <v>0.39</v>
      </c>
      <c r="R829">
        <v>4.68</v>
      </c>
    </row>
    <row r="830" spans="1:18" x14ac:dyDescent="0.25">
      <c r="A830">
        <v>18845917</v>
      </c>
      <c r="B830">
        <v>272288</v>
      </c>
      <c r="C830" t="s">
        <v>617</v>
      </c>
      <c r="E830" t="str">
        <f>"3124480002594"</f>
        <v>3124480002594</v>
      </c>
      <c r="H830" t="s">
        <v>200</v>
      </c>
      <c r="I830">
        <v>22021000</v>
      </c>
      <c r="J830">
        <v>24</v>
      </c>
      <c r="K830">
        <v>1</v>
      </c>
      <c r="L830">
        <v>24</v>
      </c>
      <c r="M830">
        <v>13.103999999999999</v>
      </c>
      <c r="N830">
        <v>11.794</v>
      </c>
      <c r="O830">
        <v>0.69499999999999995</v>
      </c>
      <c r="P830">
        <v>16.68</v>
      </c>
      <c r="Q830">
        <v>1.24</v>
      </c>
      <c r="R830">
        <v>29.76</v>
      </c>
    </row>
    <row r="831" spans="1:18" x14ac:dyDescent="0.25">
      <c r="A831">
        <v>18845917</v>
      </c>
      <c r="B831">
        <v>967938</v>
      </c>
      <c r="C831" t="s">
        <v>210</v>
      </c>
      <c r="E831" t="str">
        <f>"3560239686439"</f>
        <v>3560239686439</v>
      </c>
      <c r="H831" t="s">
        <v>17</v>
      </c>
      <c r="I831">
        <v>44219100</v>
      </c>
      <c r="J831">
        <v>1</v>
      </c>
      <c r="K831">
        <v>2</v>
      </c>
      <c r="L831">
        <v>2</v>
      </c>
      <c r="M831">
        <v>1.6759999999999999</v>
      </c>
      <c r="N831">
        <v>1.508</v>
      </c>
      <c r="O831">
        <v>5.3760000000000003</v>
      </c>
      <c r="P831">
        <v>10.752000000000001</v>
      </c>
      <c r="Q831">
        <v>4.82</v>
      </c>
      <c r="R831">
        <v>9.64</v>
      </c>
    </row>
    <row r="832" spans="1:18" x14ac:dyDescent="0.25">
      <c r="A832">
        <v>18845917</v>
      </c>
      <c r="B832">
        <v>953657</v>
      </c>
      <c r="C832" t="s">
        <v>618</v>
      </c>
      <c r="E832" t="str">
        <f>"3560234521285"</f>
        <v>3560234521285</v>
      </c>
      <c r="H832" t="s">
        <v>17</v>
      </c>
      <c r="I832">
        <v>96039091</v>
      </c>
      <c r="J832">
        <v>1</v>
      </c>
      <c r="K832">
        <v>2</v>
      </c>
      <c r="L832">
        <v>2</v>
      </c>
      <c r="M832">
        <v>1.1000000000000001</v>
      </c>
      <c r="N832">
        <v>0.99</v>
      </c>
      <c r="O832">
        <v>6.72</v>
      </c>
      <c r="P832">
        <v>13.44</v>
      </c>
      <c r="Q832">
        <v>4.03</v>
      </c>
      <c r="R832">
        <v>8.06</v>
      </c>
    </row>
    <row r="833" spans="1:18" x14ac:dyDescent="0.25">
      <c r="A833">
        <v>18845917</v>
      </c>
      <c r="B833">
        <v>326042</v>
      </c>
      <c r="C833" t="s">
        <v>619</v>
      </c>
      <c r="E833">
        <v>74299548864</v>
      </c>
      <c r="F833" t="str">
        <f>"887961309751"</f>
        <v>887961309751</v>
      </c>
      <c r="H833" t="s">
        <v>620</v>
      </c>
      <c r="I833">
        <v>95030085</v>
      </c>
      <c r="J833">
        <v>1</v>
      </c>
      <c r="K833">
        <v>2</v>
      </c>
      <c r="L833">
        <v>2</v>
      </c>
      <c r="M833">
        <v>1</v>
      </c>
      <c r="N833">
        <v>0.9</v>
      </c>
      <c r="O833">
        <v>3.125</v>
      </c>
      <c r="P833">
        <v>6.25</v>
      </c>
      <c r="Q833">
        <v>15.11</v>
      </c>
      <c r="R833">
        <v>30.22</v>
      </c>
    </row>
    <row r="834" spans="1:18" x14ac:dyDescent="0.25">
      <c r="A834">
        <v>18845917</v>
      </c>
      <c r="B834">
        <v>707638</v>
      </c>
      <c r="C834" t="s">
        <v>621</v>
      </c>
      <c r="E834" t="str">
        <f>"3491955927110"</f>
        <v>3491955927110</v>
      </c>
      <c r="F834" t="str">
        <f>"3491953626626"</f>
        <v>3491953626626</v>
      </c>
      <c r="G834" t="str">
        <f>"3491953841920"</f>
        <v>3491953841920</v>
      </c>
      <c r="H834" t="s">
        <v>17</v>
      </c>
      <c r="I834">
        <v>44211000</v>
      </c>
      <c r="J834">
        <v>18</v>
      </c>
      <c r="K834">
        <v>1</v>
      </c>
      <c r="L834">
        <v>18</v>
      </c>
      <c r="M834">
        <v>9.4860000000000007</v>
      </c>
      <c r="N834">
        <v>8.5370000000000008</v>
      </c>
      <c r="O834">
        <v>3.7440000000000002</v>
      </c>
      <c r="P834">
        <v>67.391999999999996</v>
      </c>
      <c r="Q834">
        <v>1.99</v>
      </c>
      <c r="R834">
        <v>35.82</v>
      </c>
    </row>
    <row r="835" spans="1:18" x14ac:dyDescent="0.25">
      <c r="A835">
        <v>18845917</v>
      </c>
      <c r="B835">
        <v>789290</v>
      </c>
      <c r="C835" t="s">
        <v>622</v>
      </c>
      <c r="E835" t="str">
        <f>"3497917002376"</f>
        <v>3497917002376</v>
      </c>
      <c r="H835" t="s">
        <v>97</v>
      </c>
      <c r="I835">
        <v>20052020</v>
      </c>
      <c r="J835">
        <v>10</v>
      </c>
      <c r="K835">
        <v>1</v>
      </c>
      <c r="L835">
        <v>10</v>
      </c>
      <c r="M835">
        <v>1.5</v>
      </c>
      <c r="N835">
        <v>1.35</v>
      </c>
      <c r="O835">
        <v>2.88</v>
      </c>
      <c r="P835">
        <v>28.8</v>
      </c>
      <c r="Q835">
        <v>1.29</v>
      </c>
      <c r="R835">
        <v>12.9</v>
      </c>
    </row>
    <row r="838" spans="1:18" x14ac:dyDescent="0.25">
      <c r="A838" s="1">
        <f t="shared" ref="A838:Q838" si="0">SUM(A2:A837)</f>
        <v>15689018832</v>
      </c>
      <c r="B838" s="1">
        <f t="shared" si="0"/>
        <v>710518416</v>
      </c>
      <c r="C838" s="1">
        <f t="shared" si="0"/>
        <v>0</v>
      </c>
      <c r="D838" s="1">
        <f t="shared" si="0"/>
        <v>0</v>
      </c>
      <c r="E838" s="1">
        <f t="shared" si="0"/>
        <v>674097600820500</v>
      </c>
      <c r="F838" s="1">
        <f t="shared" si="0"/>
        <v>78404533770576</v>
      </c>
      <c r="G838" s="1">
        <f t="shared" si="0"/>
        <v>32565310808866</v>
      </c>
      <c r="H838" s="1">
        <f t="shared" si="0"/>
        <v>0</v>
      </c>
      <c r="I838" s="1">
        <f t="shared" si="0"/>
        <v>58002229962</v>
      </c>
      <c r="J838" s="1">
        <f t="shared" si="0"/>
        <v>4103</v>
      </c>
      <c r="K838" s="1">
        <f t="shared" si="0"/>
        <v>2161</v>
      </c>
      <c r="L838" s="1">
        <f t="shared" si="0"/>
        <v>6742</v>
      </c>
      <c r="M838" s="1">
        <f t="shared" si="0"/>
        <v>2626.2570000000032</v>
      </c>
      <c r="N838" s="1">
        <f t="shared" si="0"/>
        <v>2363.6309999999985</v>
      </c>
      <c r="O838" s="1">
        <f t="shared" si="0"/>
        <v>5307.4900000000034</v>
      </c>
      <c r="P838" s="1">
        <f t="shared" si="0"/>
        <v>23321.755000000012</v>
      </c>
      <c r="Q838" s="1">
        <f t="shared" si="0"/>
        <v>5467.590000000002</v>
      </c>
      <c r="R838" s="1">
        <f>SUM(R2:R837)</f>
        <v>24618.769999999986</v>
      </c>
    </row>
  </sheetData>
  <autoFilter ref="A1:R835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A1:AB838"/>
  <sheetViews>
    <sheetView workbookViewId="0">
      <pane ySplit="1" topLeftCell="A2" activePane="bottomLeft" state="frozen"/>
      <selection pane="bottomLeft" activeCell="H2" sqref="H2"/>
    </sheetView>
  </sheetViews>
  <sheetFormatPr baseColWidth="10" defaultRowHeight="15" x14ac:dyDescent="0.25"/>
  <cols>
    <col min="1" max="1" width="17.28515625" hidden="1" customWidth="1"/>
    <col min="2" max="2" width="14.5703125" hidden="1" customWidth="1"/>
    <col min="3" max="4" width="11.5703125" hidden="1" customWidth="1"/>
    <col min="5" max="5" width="22" hidden="1" customWidth="1"/>
    <col min="6" max="7" width="20.85546875" hidden="1" customWidth="1"/>
    <col min="8" max="8" width="17.28515625" customWidth="1"/>
    <col min="9" max="17" width="11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692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28" x14ac:dyDescent="0.25">
      <c r="A2">
        <v>18768943</v>
      </c>
      <c r="B2">
        <v>905236</v>
      </c>
      <c r="C2" t="s">
        <v>322</v>
      </c>
      <c r="H2" t="s">
        <v>693</v>
      </c>
      <c r="I2">
        <v>1</v>
      </c>
      <c r="J2">
        <v>16</v>
      </c>
      <c r="K2">
        <v>16</v>
      </c>
      <c r="L2">
        <v>4.266</v>
      </c>
      <c r="M2">
        <v>3.84</v>
      </c>
      <c r="N2">
        <v>5.1360000000000001</v>
      </c>
      <c r="O2">
        <v>82.176000000000002</v>
      </c>
      <c r="P2">
        <v>3.68</v>
      </c>
      <c r="Q2">
        <v>58.82</v>
      </c>
    </row>
    <row r="3" spans="1:28" x14ac:dyDescent="0.25">
      <c r="A3">
        <v>18768943</v>
      </c>
      <c r="B3">
        <v>997529</v>
      </c>
      <c r="C3" t="s">
        <v>323</v>
      </c>
      <c r="H3" t="s">
        <v>694</v>
      </c>
      <c r="I3">
        <v>5</v>
      </c>
      <c r="J3">
        <v>4</v>
      </c>
      <c r="K3">
        <v>20</v>
      </c>
      <c r="L3">
        <v>1.48</v>
      </c>
      <c r="M3">
        <v>1.3320000000000001</v>
      </c>
      <c r="N3">
        <v>0.61699999999999999</v>
      </c>
      <c r="O3">
        <v>12.34</v>
      </c>
      <c r="P3">
        <v>1.86</v>
      </c>
      <c r="Q3">
        <v>37.200000000000003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14</v>
      </c>
      <c r="AB3" t="s">
        <v>15</v>
      </c>
    </row>
    <row r="4" spans="1:28" x14ac:dyDescent="0.25">
      <c r="A4">
        <v>18768943</v>
      </c>
      <c r="B4">
        <v>991982</v>
      </c>
      <c r="C4" t="s">
        <v>324</v>
      </c>
      <c r="H4" t="s">
        <v>694</v>
      </c>
      <c r="I4">
        <v>12</v>
      </c>
      <c r="J4">
        <v>3</v>
      </c>
      <c r="K4">
        <v>36</v>
      </c>
      <c r="L4">
        <v>1.86</v>
      </c>
      <c r="M4">
        <v>1.6739999999999999</v>
      </c>
      <c r="N4">
        <v>0.63300000000000001</v>
      </c>
      <c r="O4">
        <v>22.776</v>
      </c>
      <c r="P4">
        <v>4.01</v>
      </c>
      <c r="Q4">
        <v>144.36000000000001</v>
      </c>
      <c r="S4" t="s">
        <v>693</v>
      </c>
      <c r="T4">
        <v>17</v>
      </c>
      <c r="U4">
        <v>74</v>
      </c>
      <c r="V4">
        <v>84</v>
      </c>
      <c r="W4">
        <v>28.927</v>
      </c>
      <c r="X4">
        <v>26.039000000000001</v>
      </c>
      <c r="Y4">
        <v>39.809999999999995</v>
      </c>
      <c r="Z4">
        <v>489.80799999999994</v>
      </c>
      <c r="AA4">
        <v>38.65</v>
      </c>
      <c r="AB4">
        <v>383.49</v>
      </c>
    </row>
    <row r="5" spans="1:28" x14ac:dyDescent="0.25">
      <c r="A5">
        <v>18768943</v>
      </c>
      <c r="B5">
        <v>709775</v>
      </c>
      <c r="C5" t="s">
        <v>325</v>
      </c>
      <c r="H5" t="s">
        <v>695</v>
      </c>
      <c r="I5">
        <v>12</v>
      </c>
      <c r="J5">
        <v>3</v>
      </c>
      <c r="K5">
        <v>36</v>
      </c>
      <c r="L5">
        <v>2.3519999999999999</v>
      </c>
      <c r="M5">
        <v>2.117</v>
      </c>
      <c r="N5">
        <v>0.76</v>
      </c>
      <c r="O5">
        <v>27.36</v>
      </c>
      <c r="P5">
        <v>3.71</v>
      </c>
      <c r="Q5">
        <v>133.56</v>
      </c>
      <c r="S5" t="s">
        <v>694</v>
      </c>
      <c r="T5">
        <v>17</v>
      </c>
      <c r="U5">
        <v>7</v>
      </c>
      <c r="V5">
        <v>56</v>
      </c>
      <c r="W5">
        <v>3.34</v>
      </c>
      <c r="X5">
        <v>3.0060000000000002</v>
      </c>
      <c r="Y5">
        <v>1.25</v>
      </c>
      <c r="Z5">
        <v>35.116</v>
      </c>
      <c r="AA5">
        <v>5.87</v>
      </c>
      <c r="AB5">
        <v>181.56</v>
      </c>
    </row>
    <row r="6" spans="1:28" x14ac:dyDescent="0.25">
      <c r="A6">
        <v>18768943</v>
      </c>
      <c r="B6">
        <v>793513</v>
      </c>
      <c r="C6" t="s">
        <v>326</v>
      </c>
      <c r="H6" t="s">
        <v>696</v>
      </c>
      <c r="I6">
        <v>4</v>
      </c>
      <c r="J6">
        <v>4</v>
      </c>
      <c r="K6">
        <v>16</v>
      </c>
      <c r="L6">
        <v>1.1399999999999999</v>
      </c>
      <c r="M6">
        <v>1.026</v>
      </c>
      <c r="N6">
        <v>0.78100000000000003</v>
      </c>
      <c r="O6">
        <v>12.496</v>
      </c>
      <c r="P6">
        <v>1.67</v>
      </c>
      <c r="Q6">
        <v>26.64</v>
      </c>
      <c r="S6" t="s">
        <v>695</v>
      </c>
      <c r="T6">
        <v>12</v>
      </c>
      <c r="U6">
        <v>3</v>
      </c>
      <c r="V6">
        <v>36</v>
      </c>
      <c r="W6">
        <v>2.3519999999999999</v>
      </c>
      <c r="X6">
        <v>2.117</v>
      </c>
      <c r="Y6">
        <v>0.76</v>
      </c>
      <c r="Z6">
        <v>27.36</v>
      </c>
      <c r="AA6">
        <v>3.71</v>
      </c>
      <c r="AB6">
        <v>133.56</v>
      </c>
    </row>
    <row r="7" spans="1:28" x14ac:dyDescent="0.25">
      <c r="A7">
        <v>18768943</v>
      </c>
      <c r="B7">
        <v>723185</v>
      </c>
      <c r="C7" t="s">
        <v>327</v>
      </c>
      <c r="E7">
        <v>3031446805734</v>
      </c>
      <c r="H7" t="s">
        <v>697</v>
      </c>
      <c r="I7">
        <v>3</v>
      </c>
      <c r="J7">
        <v>1</v>
      </c>
      <c r="K7">
        <v>3</v>
      </c>
      <c r="L7">
        <v>0.23400000000000001</v>
      </c>
      <c r="M7">
        <v>0.21099999999999999</v>
      </c>
      <c r="N7">
        <v>1</v>
      </c>
      <c r="O7">
        <v>3</v>
      </c>
      <c r="P7">
        <v>2.71</v>
      </c>
      <c r="Q7">
        <v>8.1300000000000008</v>
      </c>
      <c r="S7" t="s">
        <v>696</v>
      </c>
      <c r="T7">
        <v>13</v>
      </c>
      <c r="U7">
        <v>6</v>
      </c>
      <c r="V7">
        <v>25</v>
      </c>
      <c r="W7">
        <v>2.7130000000000001</v>
      </c>
      <c r="X7">
        <v>2.4420000000000002</v>
      </c>
      <c r="Y7">
        <v>3.343</v>
      </c>
      <c r="Z7">
        <v>24.880000000000003</v>
      </c>
      <c r="AA7">
        <v>5.1999999999999993</v>
      </c>
      <c r="AB7">
        <v>42.89</v>
      </c>
    </row>
    <row r="8" spans="1:28" x14ac:dyDescent="0.25">
      <c r="A8">
        <v>18768943</v>
      </c>
      <c r="B8">
        <v>996593</v>
      </c>
      <c r="C8" t="s">
        <v>328</v>
      </c>
      <c r="E8">
        <v>3031446805765</v>
      </c>
      <c r="H8" t="s">
        <v>697</v>
      </c>
      <c r="I8">
        <v>3</v>
      </c>
      <c r="J8">
        <v>1</v>
      </c>
      <c r="K8">
        <v>3</v>
      </c>
      <c r="L8">
        <v>0.186</v>
      </c>
      <c r="M8">
        <v>0.16700000000000001</v>
      </c>
      <c r="N8">
        <v>0.75</v>
      </c>
      <c r="O8">
        <v>2.25</v>
      </c>
      <c r="P8">
        <v>1.39</v>
      </c>
      <c r="Q8">
        <v>4.17</v>
      </c>
      <c r="S8" t="s">
        <v>697</v>
      </c>
      <c r="T8">
        <v>18</v>
      </c>
      <c r="U8">
        <v>6</v>
      </c>
      <c r="V8">
        <v>18</v>
      </c>
      <c r="W8">
        <v>1.161</v>
      </c>
      <c r="X8">
        <v>1.0449999999999999</v>
      </c>
      <c r="Y8">
        <v>4.9180000000000001</v>
      </c>
      <c r="Z8">
        <v>14.754</v>
      </c>
      <c r="AA8">
        <v>13.02</v>
      </c>
      <c r="AB8">
        <v>39.060000000000009</v>
      </c>
    </row>
    <row r="9" spans="1:28" x14ac:dyDescent="0.25">
      <c r="A9">
        <v>18768943</v>
      </c>
      <c r="B9">
        <v>929409</v>
      </c>
      <c r="C9" t="s">
        <v>329</v>
      </c>
      <c r="E9">
        <v>3031446801743</v>
      </c>
      <c r="H9" t="s">
        <v>697</v>
      </c>
      <c r="I9">
        <v>3</v>
      </c>
      <c r="J9">
        <v>1</v>
      </c>
      <c r="K9">
        <v>3</v>
      </c>
      <c r="L9">
        <v>8.4000000000000005E-2</v>
      </c>
      <c r="M9">
        <v>7.5999999999999998E-2</v>
      </c>
      <c r="N9">
        <v>0.41799999999999998</v>
      </c>
      <c r="O9">
        <v>1.254</v>
      </c>
      <c r="P9">
        <v>2.11</v>
      </c>
      <c r="Q9">
        <v>6.33</v>
      </c>
      <c r="S9" t="s">
        <v>698</v>
      </c>
      <c r="T9">
        <v>5</v>
      </c>
      <c r="U9">
        <v>14</v>
      </c>
      <c r="V9">
        <v>27</v>
      </c>
      <c r="W9">
        <v>17.586999999999996</v>
      </c>
      <c r="X9">
        <v>15.827999999999999</v>
      </c>
      <c r="Y9">
        <v>12.817</v>
      </c>
      <c r="Z9">
        <v>114.73899999999999</v>
      </c>
      <c r="AA9">
        <v>12.219999999999999</v>
      </c>
      <c r="AB9">
        <v>120.56</v>
      </c>
    </row>
    <row r="10" spans="1:28" x14ac:dyDescent="0.25">
      <c r="A10">
        <v>18768943</v>
      </c>
      <c r="B10">
        <v>723182</v>
      </c>
      <c r="C10" t="s">
        <v>330</v>
      </c>
      <c r="E10">
        <v>3031446805727</v>
      </c>
      <c r="H10" t="s">
        <v>697</v>
      </c>
      <c r="I10">
        <v>3</v>
      </c>
      <c r="J10">
        <v>1</v>
      </c>
      <c r="K10">
        <v>3</v>
      </c>
      <c r="L10">
        <v>0.219</v>
      </c>
      <c r="M10">
        <v>0.19700000000000001</v>
      </c>
      <c r="N10">
        <v>1</v>
      </c>
      <c r="O10">
        <v>3</v>
      </c>
      <c r="P10">
        <v>2.71</v>
      </c>
      <c r="Q10">
        <v>8.1300000000000008</v>
      </c>
      <c r="S10" t="s">
        <v>699</v>
      </c>
      <c r="T10">
        <v>1</v>
      </c>
      <c r="U10">
        <v>5</v>
      </c>
      <c r="V10">
        <v>5</v>
      </c>
      <c r="W10">
        <v>0.15</v>
      </c>
      <c r="X10">
        <v>0.13500000000000001</v>
      </c>
      <c r="Y10">
        <v>0.157</v>
      </c>
      <c r="Z10">
        <v>0.78500000000000003</v>
      </c>
      <c r="AA10">
        <v>2</v>
      </c>
      <c r="AB10">
        <v>10</v>
      </c>
    </row>
    <row r="11" spans="1:28" x14ac:dyDescent="0.25">
      <c r="A11">
        <v>18768943</v>
      </c>
      <c r="B11">
        <v>723168</v>
      </c>
      <c r="C11" t="s">
        <v>331</v>
      </c>
      <c r="E11">
        <v>3031446805741</v>
      </c>
      <c r="H11" t="s">
        <v>697</v>
      </c>
      <c r="I11">
        <v>3</v>
      </c>
      <c r="J11">
        <v>1</v>
      </c>
      <c r="K11">
        <v>3</v>
      </c>
      <c r="L11">
        <v>0.252</v>
      </c>
      <c r="M11">
        <v>0.22700000000000001</v>
      </c>
      <c r="N11">
        <v>1</v>
      </c>
      <c r="O11">
        <v>3</v>
      </c>
      <c r="P11">
        <v>2.71</v>
      </c>
      <c r="Q11">
        <v>8.1300000000000008</v>
      </c>
      <c r="S11" t="s">
        <v>944</v>
      </c>
      <c r="T11">
        <v>1</v>
      </c>
      <c r="U11">
        <v>5</v>
      </c>
      <c r="V11">
        <v>5</v>
      </c>
      <c r="W11">
        <v>1.145</v>
      </c>
      <c r="X11">
        <v>1.0309999999999999</v>
      </c>
      <c r="Y11">
        <v>0.746</v>
      </c>
      <c r="Z11">
        <v>3.73</v>
      </c>
      <c r="AA11">
        <v>0.57999999999999996</v>
      </c>
      <c r="AB11">
        <v>2.9</v>
      </c>
    </row>
    <row r="12" spans="1:28" x14ac:dyDescent="0.25">
      <c r="A12">
        <v>18768943</v>
      </c>
      <c r="B12">
        <v>996600</v>
      </c>
      <c r="C12" t="s">
        <v>332</v>
      </c>
      <c r="E12">
        <v>3031446805758</v>
      </c>
      <c r="H12" t="s">
        <v>697</v>
      </c>
      <c r="I12">
        <v>3</v>
      </c>
      <c r="J12">
        <v>1</v>
      </c>
      <c r="K12">
        <v>3</v>
      </c>
      <c r="L12">
        <v>0.186</v>
      </c>
      <c r="M12">
        <v>0.16700000000000001</v>
      </c>
      <c r="N12">
        <v>0.75</v>
      </c>
      <c r="O12">
        <v>2.25</v>
      </c>
      <c r="P12">
        <v>1.39</v>
      </c>
      <c r="Q12">
        <v>4.17</v>
      </c>
      <c r="S12" t="s">
        <v>700</v>
      </c>
      <c r="T12">
        <v>1</v>
      </c>
      <c r="U12">
        <v>1</v>
      </c>
      <c r="V12">
        <v>1</v>
      </c>
      <c r="W12">
        <v>0.01</v>
      </c>
      <c r="X12">
        <v>8.9999999999999993E-3</v>
      </c>
      <c r="Y12">
        <v>0.45</v>
      </c>
      <c r="Z12">
        <v>0.45</v>
      </c>
      <c r="AA12">
        <v>11.02</v>
      </c>
      <c r="AB12">
        <v>11.02</v>
      </c>
    </row>
    <row r="13" spans="1:28" x14ac:dyDescent="0.25">
      <c r="A13">
        <v>18768943</v>
      </c>
      <c r="B13">
        <v>763302</v>
      </c>
      <c r="C13" t="s">
        <v>333</v>
      </c>
      <c r="H13" t="s">
        <v>698</v>
      </c>
      <c r="I13">
        <v>2</v>
      </c>
      <c r="J13">
        <v>7</v>
      </c>
      <c r="K13">
        <v>14</v>
      </c>
      <c r="L13">
        <v>9.1199999999999992</v>
      </c>
      <c r="M13">
        <v>8.2080000000000002</v>
      </c>
      <c r="N13">
        <v>4.3410000000000002</v>
      </c>
      <c r="O13">
        <v>60.774000000000001</v>
      </c>
      <c r="P13">
        <v>4.55</v>
      </c>
      <c r="Q13">
        <v>63.7</v>
      </c>
      <c r="S13" t="s">
        <v>701</v>
      </c>
      <c r="T13">
        <v>10</v>
      </c>
      <c r="U13">
        <v>5</v>
      </c>
      <c r="V13">
        <v>50</v>
      </c>
      <c r="W13">
        <v>10</v>
      </c>
      <c r="X13">
        <v>9</v>
      </c>
      <c r="Y13">
        <v>8.5500000000000007</v>
      </c>
      <c r="Z13">
        <v>427.5</v>
      </c>
      <c r="AA13">
        <v>2.58</v>
      </c>
      <c r="AB13">
        <v>129</v>
      </c>
    </row>
    <row r="14" spans="1:28" x14ac:dyDescent="0.25">
      <c r="A14">
        <v>18768943</v>
      </c>
      <c r="B14">
        <v>763301</v>
      </c>
      <c r="C14" t="s">
        <v>334</v>
      </c>
      <c r="H14" t="s">
        <v>698</v>
      </c>
      <c r="I14">
        <v>2</v>
      </c>
      <c r="J14">
        <v>6</v>
      </c>
      <c r="K14">
        <v>12</v>
      </c>
      <c r="L14">
        <v>7.8719999999999999</v>
      </c>
      <c r="M14">
        <v>7.0839999999999996</v>
      </c>
      <c r="N14">
        <v>4.1349999999999998</v>
      </c>
      <c r="O14">
        <v>49.624000000000002</v>
      </c>
      <c r="P14">
        <v>4.47</v>
      </c>
      <c r="Q14">
        <v>53.66</v>
      </c>
      <c r="S14" t="s">
        <v>702</v>
      </c>
      <c r="T14">
        <v>1</v>
      </c>
      <c r="U14">
        <v>5</v>
      </c>
      <c r="V14">
        <v>5</v>
      </c>
      <c r="W14">
        <v>3.13</v>
      </c>
      <c r="X14">
        <v>2.8170000000000002</v>
      </c>
      <c r="Y14">
        <v>2.97</v>
      </c>
      <c r="Z14">
        <v>14.85</v>
      </c>
      <c r="AA14">
        <v>2.85</v>
      </c>
      <c r="AB14">
        <v>14.25</v>
      </c>
    </row>
    <row r="15" spans="1:28" x14ac:dyDescent="0.25">
      <c r="A15">
        <v>18768943</v>
      </c>
      <c r="B15">
        <v>905233</v>
      </c>
      <c r="C15" t="s">
        <v>335</v>
      </c>
      <c r="H15" t="s">
        <v>693</v>
      </c>
      <c r="I15">
        <v>1</v>
      </c>
      <c r="J15">
        <v>16</v>
      </c>
      <c r="K15">
        <v>16</v>
      </c>
      <c r="L15">
        <v>5.6369999999999996</v>
      </c>
      <c r="M15">
        <v>5.0739999999999998</v>
      </c>
      <c r="N15">
        <v>6.9180000000000001</v>
      </c>
      <c r="O15">
        <v>110.68</v>
      </c>
      <c r="P15">
        <v>4.04</v>
      </c>
      <c r="Q15">
        <v>64.62</v>
      </c>
      <c r="S15" t="s">
        <v>703</v>
      </c>
      <c r="T15">
        <v>25</v>
      </c>
      <c r="U15">
        <v>3</v>
      </c>
      <c r="V15">
        <v>75</v>
      </c>
      <c r="W15">
        <v>25.125</v>
      </c>
      <c r="X15">
        <v>22.613</v>
      </c>
      <c r="Y15">
        <v>3</v>
      </c>
      <c r="Z15">
        <v>225</v>
      </c>
      <c r="AA15">
        <v>1.22</v>
      </c>
      <c r="AB15">
        <v>91.5</v>
      </c>
    </row>
    <row r="16" spans="1:28" x14ac:dyDescent="0.25">
      <c r="A16">
        <v>18768943</v>
      </c>
      <c r="B16">
        <v>905234</v>
      </c>
      <c r="C16" t="s">
        <v>336</v>
      </c>
      <c r="H16" t="s">
        <v>693</v>
      </c>
      <c r="I16">
        <v>1</v>
      </c>
      <c r="J16">
        <v>12</v>
      </c>
      <c r="K16">
        <v>12</v>
      </c>
      <c r="L16">
        <v>3.21</v>
      </c>
      <c r="M16">
        <v>2.891</v>
      </c>
      <c r="N16">
        <v>5.0359999999999996</v>
      </c>
      <c r="O16">
        <v>60.427999999999997</v>
      </c>
      <c r="P16">
        <v>3.08</v>
      </c>
      <c r="Q16">
        <v>36.96</v>
      </c>
      <c r="S16" t="s">
        <v>704</v>
      </c>
      <c r="T16">
        <v>1</v>
      </c>
      <c r="U16">
        <v>2</v>
      </c>
      <c r="V16">
        <v>2</v>
      </c>
      <c r="W16">
        <v>2.4239999999999999</v>
      </c>
      <c r="X16">
        <v>2.1819999999999999</v>
      </c>
      <c r="Y16">
        <v>4</v>
      </c>
      <c r="Z16">
        <v>8</v>
      </c>
      <c r="AA16">
        <v>1.83</v>
      </c>
      <c r="AB16">
        <v>3.66</v>
      </c>
    </row>
    <row r="17" spans="1:28" x14ac:dyDescent="0.25">
      <c r="A17">
        <v>18768943</v>
      </c>
      <c r="B17">
        <v>905231</v>
      </c>
      <c r="C17" t="s">
        <v>337</v>
      </c>
      <c r="H17" t="s">
        <v>693</v>
      </c>
      <c r="I17">
        <v>1</v>
      </c>
      <c r="J17">
        <v>16</v>
      </c>
      <c r="K17">
        <v>16</v>
      </c>
      <c r="L17">
        <v>5.4960000000000004</v>
      </c>
      <c r="M17">
        <v>4.9470000000000001</v>
      </c>
      <c r="N17">
        <v>6.9020000000000001</v>
      </c>
      <c r="O17">
        <v>110.42400000000001</v>
      </c>
      <c r="P17">
        <v>3.66</v>
      </c>
      <c r="Q17">
        <v>58.51</v>
      </c>
      <c r="S17" t="s">
        <v>705</v>
      </c>
      <c r="T17">
        <v>1</v>
      </c>
      <c r="U17">
        <v>5</v>
      </c>
      <c r="V17">
        <v>5</v>
      </c>
      <c r="W17">
        <v>1.335</v>
      </c>
      <c r="X17">
        <v>1.202</v>
      </c>
      <c r="Y17">
        <v>0.50700000000000001</v>
      </c>
      <c r="Z17">
        <v>2.5350000000000001</v>
      </c>
      <c r="AA17">
        <v>0.69</v>
      </c>
      <c r="AB17">
        <v>3.45</v>
      </c>
    </row>
    <row r="18" spans="1:28" x14ac:dyDescent="0.25">
      <c r="A18">
        <v>18768943</v>
      </c>
      <c r="B18">
        <v>905235</v>
      </c>
      <c r="C18" t="s">
        <v>338</v>
      </c>
      <c r="H18" t="s">
        <v>693</v>
      </c>
      <c r="I18">
        <v>1</v>
      </c>
      <c r="J18">
        <v>12</v>
      </c>
      <c r="K18">
        <v>12</v>
      </c>
      <c r="L18">
        <v>3.226</v>
      </c>
      <c r="M18">
        <v>2.9049999999999998</v>
      </c>
      <c r="N18">
        <v>5.1980000000000004</v>
      </c>
      <c r="O18">
        <v>62.38</v>
      </c>
      <c r="P18">
        <v>3.25</v>
      </c>
      <c r="Q18">
        <v>38.94</v>
      </c>
      <c r="S18" t="s">
        <v>706</v>
      </c>
      <c r="T18">
        <v>1</v>
      </c>
      <c r="U18">
        <v>1</v>
      </c>
      <c r="V18">
        <v>1</v>
      </c>
      <c r="W18">
        <v>0.47099999999999997</v>
      </c>
      <c r="X18">
        <v>0.42399999999999999</v>
      </c>
      <c r="Y18">
        <v>2.5329999999999999</v>
      </c>
      <c r="Z18">
        <v>2.5329999999999999</v>
      </c>
      <c r="AA18">
        <v>7.47</v>
      </c>
      <c r="AB18">
        <v>7.47</v>
      </c>
    </row>
    <row r="19" spans="1:28" x14ac:dyDescent="0.25">
      <c r="A19">
        <v>18832507</v>
      </c>
      <c r="B19">
        <v>901451</v>
      </c>
      <c r="C19" t="s">
        <v>339</v>
      </c>
      <c r="H19" t="s">
        <v>699</v>
      </c>
      <c r="I19">
        <v>1</v>
      </c>
      <c r="J19">
        <v>5</v>
      </c>
      <c r="K19">
        <v>5</v>
      </c>
      <c r="L19">
        <v>0.15</v>
      </c>
      <c r="M19">
        <v>0.13500000000000001</v>
      </c>
      <c r="N19">
        <v>0.157</v>
      </c>
      <c r="O19">
        <v>0.78500000000000003</v>
      </c>
      <c r="P19">
        <v>2</v>
      </c>
      <c r="Q19">
        <v>10</v>
      </c>
      <c r="S19" t="s">
        <v>707</v>
      </c>
      <c r="T19">
        <v>12</v>
      </c>
      <c r="U19">
        <v>7</v>
      </c>
      <c r="V19">
        <v>14</v>
      </c>
      <c r="W19">
        <v>0.81799999999999995</v>
      </c>
      <c r="X19">
        <v>0.7370000000000001</v>
      </c>
      <c r="Y19">
        <v>1.4419999999999999</v>
      </c>
      <c r="Z19">
        <v>2.9039999999999999</v>
      </c>
      <c r="AA19">
        <v>5.54</v>
      </c>
      <c r="AB19">
        <v>12.799999999999999</v>
      </c>
    </row>
    <row r="20" spans="1:28" x14ac:dyDescent="0.25">
      <c r="A20">
        <v>18832507</v>
      </c>
      <c r="B20">
        <v>900850</v>
      </c>
      <c r="C20" t="s">
        <v>340</v>
      </c>
      <c r="E20">
        <v>5400141167900</v>
      </c>
      <c r="H20" t="s">
        <v>944</v>
      </c>
      <c r="I20">
        <v>1</v>
      </c>
      <c r="J20">
        <v>5</v>
      </c>
      <c r="K20">
        <v>5</v>
      </c>
      <c r="L20">
        <v>1.145</v>
      </c>
      <c r="M20">
        <v>1.0309999999999999</v>
      </c>
      <c r="N20">
        <v>0.746</v>
      </c>
      <c r="O20">
        <v>3.73</v>
      </c>
      <c r="P20">
        <v>0.57999999999999996</v>
      </c>
      <c r="Q20">
        <v>2.9</v>
      </c>
      <c r="S20" t="s">
        <v>708</v>
      </c>
      <c r="T20">
        <v>2</v>
      </c>
      <c r="U20">
        <v>3</v>
      </c>
      <c r="V20">
        <v>3</v>
      </c>
      <c r="W20">
        <v>1.7400000000000002</v>
      </c>
      <c r="X20">
        <v>1.5660000000000001</v>
      </c>
      <c r="Y20">
        <v>5.75</v>
      </c>
      <c r="Z20">
        <v>8.5</v>
      </c>
      <c r="AA20">
        <v>15.33</v>
      </c>
      <c r="AB20">
        <v>22.73</v>
      </c>
    </row>
    <row r="21" spans="1:28" x14ac:dyDescent="0.25">
      <c r="A21">
        <v>18832507</v>
      </c>
      <c r="B21">
        <v>900216</v>
      </c>
      <c r="C21" t="s">
        <v>341</v>
      </c>
      <c r="H21" t="s">
        <v>700</v>
      </c>
      <c r="I21">
        <v>1</v>
      </c>
      <c r="J21">
        <v>1</v>
      </c>
      <c r="K21">
        <v>1</v>
      </c>
      <c r="L21">
        <v>0.01</v>
      </c>
      <c r="M21">
        <v>8.9999999999999993E-3</v>
      </c>
      <c r="N21">
        <v>0.45</v>
      </c>
      <c r="O21">
        <v>0.45</v>
      </c>
      <c r="P21">
        <v>11.02</v>
      </c>
      <c r="Q21">
        <v>11.02</v>
      </c>
      <c r="S21" t="s">
        <v>709</v>
      </c>
      <c r="T21">
        <v>2</v>
      </c>
      <c r="U21">
        <v>1</v>
      </c>
      <c r="V21">
        <v>2</v>
      </c>
      <c r="W21">
        <v>0.33400000000000002</v>
      </c>
      <c r="X21">
        <v>0.30099999999999999</v>
      </c>
      <c r="Y21">
        <v>1.3859999999999999</v>
      </c>
      <c r="Z21">
        <v>2.7719999999999998</v>
      </c>
      <c r="AA21">
        <v>2.58</v>
      </c>
      <c r="AB21">
        <v>5.16</v>
      </c>
    </row>
    <row r="22" spans="1:28" x14ac:dyDescent="0.25">
      <c r="A22">
        <v>18832507</v>
      </c>
      <c r="B22">
        <v>900774</v>
      </c>
      <c r="C22" t="s">
        <v>342</v>
      </c>
      <c r="H22" t="s">
        <v>701</v>
      </c>
      <c r="I22">
        <v>10</v>
      </c>
      <c r="J22">
        <v>5</v>
      </c>
      <c r="K22">
        <v>50</v>
      </c>
      <c r="L22">
        <v>10</v>
      </c>
      <c r="M22">
        <v>9</v>
      </c>
      <c r="N22">
        <v>8.5500000000000007</v>
      </c>
      <c r="O22">
        <v>427.5</v>
      </c>
      <c r="P22">
        <v>2.58</v>
      </c>
      <c r="Q22">
        <v>129</v>
      </c>
      <c r="S22" t="s">
        <v>710</v>
      </c>
      <c r="T22">
        <v>2</v>
      </c>
      <c r="U22">
        <v>1</v>
      </c>
      <c r="V22">
        <v>2</v>
      </c>
      <c r="W22">
        <v>0.35199999999999998</v>
      </c>
      <c r="X22">
        <v>0.317</v>
      </c>
      <c r="Y22">
        <v>1.1759999999999999</v>
      </c>
      <c r="Z22">
        <v>2.3519999999999999</v>
      </c>
      <c r="AA22">
        <v>2.5499999999999998</v>
      </c>
      <c r="AB22">
        <v>5.0999999999999996</v>
      </c>
    </row>
    <row r="23" spans="1:28" x14ac:dyDescent="0.25">
      <c r="A23">
        <v>18832507</v>
      </c>
      <c r="B23">
        <v>901050</v>
      </c>
      <c r="C23" t="s">
        <v>343</v>
      </c>
      <c r="H23" t="s">
        <v>702</v>
      </c>
      <c r="I23">
        <v>1</v>
      </c>
      <c r="J23">
        <v>5</v>
      </c>
      <c r="K23">
        <v>5</v>
      </c>
      <c r="L23">
        <v>3.13</v>
      </c>
      <c r="M23">
        <v>2.8170000000000002</v>
      </c>
      <c r="N23">
        <v>2.97</v>
      </c>
      <c r="O23">
        <v>14.85</v>
      </c>
      <c r="P23">
        <v>2.85</v>
      </c>
      <c r="Q23">
        <v>14.25</v>
      </c>
      <c r="S23" t="s">
        <v>711</v>
      </c>
      <c r="T23">
        <v>56</v>
      </c>
      <c r="U23">
        <v>18</v>
      </c>
      <c r="V23">
        <v>60</v>
      </c>
      <c r="W23">
        <v>16.601000000000003</v>
      </c>
      <c r="X23">
        <v>14.941000000000001</v>
      </c>
      <c r="Y23">
        <v>41.609000000000002</v>
      </c>
      <c r="Z23">
        <v>160.584</v>
      </c>
      <c r="AA23">
        <v>69.61</v>
      </c>
      <c r="AB23">
        <v>306.56999999999994</v>
      </c>
    </row>
    <row r="24" spans="1:28" x14ac:dyDescent="0.25">
      <c r="A24">
        <v>18832507</v>
      </c>
      <c r="B24">
        <v>900781</v>
      </c>
      <c r="C24" t="s">
        <v>344</v>
      </c>
      <c r="H24" t="s">
        <v>703</v>
      </c>
      <c r="I24">
        <v>25</v>
      </c>
      <c r="J24">
        <v>3</v>
      </c>
      <c r="K24">
        <v>75</v>
      </c>
      <c r="L24">
        <v>25.125</v>
      </c>
      <c r="M24">
        <v>22.613</v>
      </c>
      <c r="N24">
        <v>3</v>
      </c>
      <c r="O24">
        <v>225</v>
      </c>
      <c r="P24">
        <v>1.22</v>
      </c>
      <c r="Q24">
        <v>91.5</v>
      </c>
      <c r="S24" t="s">
        <v>712</v>
      </c>
      <c r="T24">
        <v>52</v>
      </c>
      <c r="U24">
        <v>11</v>
      </c>
      <c r="V24">
        <v>58</v>
      </c>
      <c r="W24">
        <v>10.234</v>
      </c>
      <c r="X24">
        <v>9.2100000000000009</v>
      </c>
      <c r="Y24">
        <v>15.041</v>
      </c>
      <c r="Z24">
        <v>98.02</v>
      </c>
      <c r="AA24">
        <v>31.95</v>
      </c>
      <c r="AB24">
        <v>207.82000000000002</v>
      </c>
    </row>
    <row r="25" spans="1:28" x14ac:dyDescent="0.25">
      <c r="A25">
        <v>18832517</v>
      </c>
      <c r="B25">
        <v>915273</v>
      </c>
      <c r="C25" t="s">
        <v>345</v>
      </c>
      <c r="E25">
        <v>8715658440048</v>
      </c>
      <c r="H25" t="s">
        <v>704</v>
      </c>
      <c r="I25">
        <v>1</v>
      </c>
      <c r="J25">
        <v>2</v>
      </c>
      <c r="K25">
        <v>2</v>
      </c>
      <c r="L25">
        <v>2.4239999999999999</v>
      </c>
      <c r="M25">
        <v>2.1819999999999999</v>
      </c>
      <c r="N25">
        <v>4</v>
      </c>
      <c r="O25">
        <v>8</v>
      </c>
      <c r="P25">
        <v>1.83</v>
      </c>
      <c r="Q25">
        <v>3.66</v>
      </c>
      <c r="S25" t="s">
        <v>713</v>
      </c>
      <c r="T25">
        <v>2</v>
      </c>
      <c r="U25">
        <v>1</v>
      </c>
      <c r="V25">
        <v>2</v>
      </c>
      <c r="W25">
        <v>0.86</v>
      </c>
      <c r="X25">
        <v>0.77400000000000002</v>
      </c>
      <c r="Y25">
        <v>3.52</v>
      </c>
      <c r="Z25">
        <v>7.04</v>
      </c>
      <c r="AA25">
        <v>4.7699999999999996</v>
      </c>
      <c r="AB25">
        <v>9.5399999999999991</v>
      </c>
    </row>
    <row r="26" spans="1:28" x14ac:dyDescent="0.25">
      <c r="A26">
        <v>18832517</v>
      </c>
      <c r="B26">
        <v>283973</v>
      </c>
      <c r="C26" t="s">
        <v>346</v>
      </c>
      <c r="E26">
        <v>8436097092703</v>
      </c>
      <c r="F26">
        <v>8437005723306</v>
      </c>
      <c r="G26">
        <v>8436097093984</v>
      </c>
      <c r="H26" t="s">
        <v>705</v>
      </c>
      <c r="I26">
        <v>1</v>
      </c>
      <c r="J26">
        <v>5</v>
      </c>
      <c r="K26">
        <v>5</v>
      </c>
      <c r="L26">
        <v>1.335</v>
      </c>
      <c r="M26">
        <v>1.202</v>
      </c>
      <c r="N26">
        <v>0.50700000000000001</v>
      </c>
      <c r="O26">
        <v>2.5350000000000001</v>
      </c>
      <c r="P26">
        <v>0.69</v>
      </c>
      <c r="Q26">
        <v>3.45</v>
      </c>
      <c r="S26" t="s">
        <v>714</v>
      </c>
      <c r="T26">
        <v>13</v>
      </c>
      <c r="U26">
        <v>3</v>
      </c>
      <c r="V26">
        <v>13</v>
      </c>
      <c r="W26">
        <v>3.1459999999999999</v>
      </c>
      <c r="X26">
        <v>2.831</v>
      </c>
      <c r="Y26">
        <v>8.4420000000000002</v>
      </c>
      <c r="Z26">
        <v>34.152000000000001</v>
      </c>
      <c r="AA26">
        <v>17.420000000000002</v>
      </c>
      <c r="AB26">
        <v>76.52000000000001</v>
      </c>
    </row>
    <row r="27" spans="1:28" x14ac:dyDescent="0.25">
      <c r="A27">
        <v>18832651</v>
      </c>
      <c r="B27">
        <v>700322</v>
      </c>
      <c r="C27" t="s">
        <v>347</v>
      </c>
      <c r="H27" t="s">
        <v>706</v>
      </c>
      <c r="I27">
        <v>1</v>
      </c>
      <c r="J27">
        <v>1</v>
      </c>
      <c r="K27">
        <v>1</v>
      </c>
      <c r="L27">
        <v>0.47099999999999997</v>
      </c>
      <c r="M27">
        <v>0.42399999999999999</v>
      </c>
      <c r="N27">
        <v>2.5329999999999999</v>
      </c>
      <c r="O27">
        <v>2.5329999999999999</v>
      </c>
      <c r="P27">
        <v>7.47</v>
      </c>
      <c r="Q27">
        <v>7.47</v>
      </c>
      <c r="S27" t="s">
        <v>715</v>
      </c>
      <c r="T27">
        <v>1</v>
      </c>
      <c r="U27">
        <v>2</v>
      </c>
      <c r="V27">
        <v>2</v>
      </c>
      <c r="W27">
        <v>0.59199999999999997</v>
      </c>
      <c r="X27">
        <v>0.53300000000000003</v>
      </c>
      <c r="Y27">
        <v>2.2850000000000001</v>
      </c>
      <c r="Z27">
        <v>4.57</v>
      </c>
      <c r="AA27">
        <v>3.17</v>
      </c>
      <c r="AB27">
        <v>6.34</v>
      </c>
    </row>
    <row r="28" spans="1:28" x14ac:dyDescent="0.25">
      <c r="A28">
        <v>18832651</v>
      </c>
      <c r="B28">
        <v>991150</v>
      </c>
      <c r="C28" t="s">
        <v>348</v>
      </c>
      <c r="H28" t="s">
        <v>707</v>
      </c>
      <c r="I28">
        <v>2</v>
      </c>
      <c r="J28">
        <v>1</v>
      </c>
      <c r="K28">
        <v>2</v>
      </c>
      <c r="L28">
        <v>0.24399999999999999</v>
      </c>
      <c r="M28">
        <v>0.22</v>
      </c>
      <c r="N28">
        <v>0.442</v>
      </c>
      <c r="O28">
        <v>0.88400000000000001</v>
      </c>
      <c r="P28">
        <v>1.05</v>
      </c>
      <c r="Q28">
        <v>2.1</v>
      </c>
      <c r="S28" t="s">
        <v>716</v>
      </c>
      <c r="T28">
        <v>4</v>
      </c>
      <c r="U28">
        <v>4</v>
      </c>
      <c r="V28">
        <v>4</v>
      </c>
      <c r="W28">
        <v>2.1869999999999998</v>
      </c>
      <c r="X28">
        <v>1.9690000000000001</v>
      </c>
      <c r="Y28">
        <v>9.4450000000000003</v>
      </c>
      <c r="Z28">
        <v>9.4450000000000003</v>
      </c>
      <c r="AA28">
        <v>27.830000000000002</v>
      </c>
      <c r="AB28">
        <v>27.830000000000002</v>
      </c>
    </row>
    <row r="29" spans="1:28" x14ac:dyDescent="0.25">
      <c r="A29">
        <v>18832651</v>
      </c>
      <c r="B29">
        <v>659963</v>
      </c>
      <c r="C29" t="s">
        <v>349</v>
      </c>
      <c r="H29" t="s">
        <v>708</v>
      </c>
      <c r="I29">
        <v>1</v>
      </c>
      <c r="J29">
        <v>1</v>
      </c>
      <c r="K29">
        <v>1</v>
      </c>
      <c r="L29">
        <v>0.497</v>
      </c>
      <c r="M29">
        <v>0.44700000000000001</v>
      </c>
      <c r="N29">
        <v>3</v>
      </c>
      <c r="O29">
        <v>3</v>
      </c>
      <c r="P29">
        <v>7.93</v>
      </c>
      <c r="Q29">
        <v>7.93</v>
      </c>
      <c r="S29" t="s">
        <v>717</v>
      </c>
      <c r="T29">
        <v>3</v>
      </c>
      <c r="U29">
        <v>3</v>
      </c>
      <c r="V29">
        <v>3</v>
      </c>
      <c r="W29">
        <v>0.81600000000000006</v>
      </c>
      <c r="X29">
        <v>0.73399999999999999</v>
      </c>
      <c r="Y29">
        <v>5.76</v>
      </c>
      <c r="Z29">
        <v>5.76</v>
      </c>
      <c r="AA29">
        <v>8.1300000000000008</v>
      </c>
      <c r="AB29">
        <v>8.1300000000000008</v>
      </c>
    </row>
    <row r="30" spans="1:28" x14ac:dyDescent="0.25">
      <c r="A30">
        <v>18832651</v>
      </c>
      <c r="B30">
        <v>635597</v>
      </c>
      <c r="C30" t="s">
        <v>350</v>
      </c>
      <c r="H30" t="s">
        <v>709</v>
      </c>
      <c r="I30">
        <v>2</v>
      </c>
      <c r="J30">
        <v>1</v>
      </c>
      <c r="K30">
        <v>2</v>
      </c>
      <c r="L30">
        <v>0.33400000000000002</v>
      </c>
      <c r="M30">
        <v>0.30099999999999999</v>
      </c>
      <c r="N30">
        <v>1.3859999999999999</v>
      </c>
      <c r="O30">
        <v>2.7719999999999998</v>
      </c>
      <c r="P30">
        <v>2.58</v>
      </c>
      <c r="Q30">
        <v>5.16</v>
      </c>
      <c r="S30" t="s">
        <v>718</v>
      </c>
      <c r="T30">
        <v>26</v>
      </c>
      <c r="U30">
        <v>6</v>
      </c>
      <c r="V30">
        <v>26</v>
      </c>
      <c r="W30">
        <v>10.516999999999999</v>
      </c>
      <c r="X30">
        <v>9.4649999999999999</v>
      </c>
      <c r="Y30">
        <v>14.809000000000001</v>
      </c>
      <c r="Z30">
        <v>48.539000000000001</v>
      </c>
      <c r="AA30">
        <v>36.25</v>
      </c>
      <c r="AB30">
        <v>158.05000000000001</v>
      </c>
    </row>
    <row r="31" spans="1:28" x14ac:dyDescent="0.25">
      <c r="A31">
        <v>18832651</v>
      </c>
      <c r="B31">
        <v>942303</v>
      </c>
      <c r="C31" t="s">
        <v>351</v>
      </c>
      <c r="H31" t="s">
        <v>710</v>
      </c>
      <c r="I31">
        <v>2</v>
      </c>
      <c r="J31">
        <v>1</v>
      </c>
      <c r="K31">
        <v>2</v>
      </c>
      <c r="L31">
        <v>0.35199999999999998</v>
      </c>
      <c r="M31">
        <v>0.317</v>
      </c>
      <c r="N31">
        <v>1.1759999999999999</v>
      </c>
      <c r="O31">
        <v>2.3519999999999999</v>
      </c>
      <c r="P31">
        <v>2.5499999999999998</v>
      </c>
      <c r="Q31">
        <v>5.0999999999999996</v>
      </c>
      <c r="S31" t="s">
        <v>719</v>
      </c>
      <c r="T31">
        <v>5</v>
      </c>
      <c r="U31">
        <v>12</v>
      </c>
      <c r="V31">
        <v>12</v>
      </c>
      <c r="W31">
        <v>0.76400000000000001</v>
      </c>
      <c r="X31">
        <v>0.68699999999999994</v>
      </c>
      <c r="Y31">
        <v>2.496</v>
      </c>
      <c r="Z31">
        <v>5.0279999999999996</v>
      </c>
      <c r="AA31">
        <v>4.95</v>
      </c>
      <c r="AB31">
        <v>11.74</v>
      </c>
    </row>
    <row r="32" spans="1:28" x14ac:dyDescent="0.25">
      <c r="A32">
        <v>18832651</v>
      </c>
      <c r="B32">
        <v>700245</v>
      </c>
      <c r="C32" t="s">
        <v>352</v>
      </c>
      <c r="H32" t="s">
        <v>711</v>
      </c>
      <c r="I32">
        <v>1</v>
      </c>
      <c r="J32">
        <v>1</v>
      </c>
      <c r="K32">
        <v>1</v>
      </c>
      <c r="L32">
        <v>0.13600000000000001</v>
      </c>
      <c r="M32">
        <v>0.122</v>
      </c>
      <c r="N32">
        <v>1.8</v>
      </c>
      <c r="O32">
        <v>1.8</v>
      </c>
      <c r="P32">
        <v>2.86</v>
      </c>
      <c r="Q32">
        <v>2.86</v>
      </c>
      <c r="S32" t="s">
        <v>720</v>
      </c>
      <c r="T32">
        <v>30</v>
      </c>
      <c r="U32">
        <v>5</v>
      </c>
      <c r="V32">
        <v>42</v>
      </c>
      <c r="W32">
        <v>5.2319999999999993</v>
      </c>
      <c r="X32">
        <v>4.7089999999999996</v>
      </c>
      <c r="Y32">
        <v>3.9139999999999997</v>
      </c>
      <c r="Z32">
        <v>37.155999999999999</v>
      </c>
      <c r="AA32">
        <v>5.66</v>
      </c>
      <c r="AB32">
        <v>61.120000000000005</v>
      </c>
    </row>
    <row r="33" spans="1:28" x14ac:dyDescent="0.25">
      <c r="A33">
        <v>18832651</v>
      </c>
      <c r="B33">
        <v>700243</v>
      </c>
      <c r="C33" t="s">
        <v>353</v>
      </c>
      <c r="H33" t="s">
        <v>711</v>
      </c>
      <c r="I33">
        <v>1</v>
      </c>
      <c r="J33">
        <v>1</v>
      </c>
      <c r="K33">
        <v>1</v>
      </c>
      <c r="L33">
        <v>0.20399999999999999</v>
      </c>
      <c r="M33">
        <v>0.184</v>
      </c>
      <c r="N33">
        <v>2.4</v>
      </c>
      <c r="O33">
        <v>2.4</v>
      </c>
      <c r="P33">
        <v>2.93</v>
      </c>
      <c r="Q33">
        <v>2.93</v>
      </c>
      <c r="S33" t="s">
        <v>721</v>
      </c>
      <c r="T33">
        <v>11</v>
      </c>
      <c r="U33">
        <v>3</v>
      </c>
      <c r="V33">
        <v>11</v>
      </c>
      <c r="W33">
        <v>0.70900000000000007</v>
      </c>
      <c r="X33">
        <v>0.63800000000000001</v>
      </c>
      <c r="Y33">
        <v>1.8689999999999998</v>
      </c>
      <c r="Z33">
        <v>7.020999999999999</v>
      </c>
      <c r="AA33">
        <v>3.0700000000000003</v>
      </c>
      <c r="AB33">
        <v>11.41</v>
      </c>
    </row>
    <row r="34" spans="1:28" x14ac:dyDescent="0.25">
      <c r="A34">
        <v>18832651</v>
      </c>
      <c r="B34">
        <v>700247</v>
      </c>
      <c r="C34" t="s">
        <v>354</v>
      </c>
      <c r="H34" t="s">
        <v>711</v>
      </c>
      <c r="I34">
        <v>1</v>
      </c>
      <c r="J34">
        <v>1</v>
      </c>
      <c r="K34">
        <v>1</v>
      </c>
      <c r="L34">
        <v>0.33300000000000002</v>
      </c>
      <c r="M34">
        <v>0.3</v>
      </c>
      <c r="N34">
        <v>2.6659999999999999</v>
      </c>
      <c r="O34">
        <v>2.6659999999999999</v>
      </c>
      <c r="P34">
        <v>3.6</v>
      </c>
      <c r="Q34">
        <v>3.6</v>
      </c>
      <c r="S34" t="s">
        <v>722</v>
      </c>
      <c r="T34">
        <v>18</v>
      </c>
      <c r="U34">
        <v>6</v>
      </c>
      <c r="V34">
        <v>20</v>
      </c>
      <c r="W34">
        <v>1.607</v>
      </c>
      <c r="X34">
        <v>1.4470000000000001</v>
      </c>
      <c r="Y34">
        <v>2.8479999999999999</v>
      </c>
      <c r="Z34">
        <v>12.636999999999999</v>
      </c>
      <c r="AA34">
        <v>6.71</v>
      </c>
      <c r="AB34">
        <v>33.75</v>
      </c>
    </row>
    <row r="35" spans="1:28" x14ac:dyDescent="0.25">
      <c r="A35">
        <v>18832651</v>
      </c>
      <c r="B35">
        <v>380893</v>
      </c>
      <c r="C35" t="s">
        <v>355</v>
      </c>
      <c r="H35" t="s">
        <v>712</v>
      </c>
      <c r="I35">
        <v>2</v>
      </c>
      <c r="J35">
        <v>1</v>
      </c>
      <c r="K35">
        <v>2</v>
      </c>
      <c r="L35">
        <v>0.224</v>
      </c>
      <c r="M35">
        <v>0.20200000000000001</v>
      </c>
      <c r="N35">
        <v>1.2</v>
      </c>
      <c r="O35">
        <v>2.4</v>
      </c>
      <c r="P35">
        <v>1.03</v>
      </c>
      <c r="Q35">
        <v>2.06</v>
      </c>
      <c r="S35" t="s">
        <v>723</v>
      </c>
      <c r="T35">
        <v>6</v>
      </c>
      <c r="U35">
        <v>3</v>
      </c>
      <c r="V35">
        <v>6</v>
      </c>
      <c r="W35">
        <v>0.46199999999999997</v>
      </c>
      <c r="X35">
        <v>0.41600000000000004</v>
      </c>
      <c r="Y35">
        <v>1.7969999999999999</v>
      </c>
      <c r="Z35">
        <v>3.5939999999999999</v>
      </c>
      <c r="AA35">
        <v>4.3100000000000005</v>
      </c>
      <c r="AB35">
        <v>8.620000000000001</v>
      </c>
    </row>
    <row r="36" spans="1:28" x14ac:dyDescent="0.25">
      <c r="A36">
        <v>18832651</v>
      </c>
      <c r="B36">
        <v>991151</v>
      </c>
      <c r="C36" t="s">
        <v>356</v>
      </c>
      <c r="H36" t="s">
        <v>707</v>
      </c>
      <c r="I36">
        <v>2</v>
      </c>
      <c r="J36">
        <v>1</v>
      </c>
      <c r="K36">
        <v>2</v>
      </c>
      <c r="L36">
        <v>0.24</v>
      </c>
      <c r="M36">
        <v>0.216</v>
      </c>
      <c r="N36">
        <v>0.442</v>
      </c>
      <c r="O36">
        <v>0.88400000000000001</v>
      </c>
      <c r="P36">
        <v>1.05</v>
      </c>
      <c r="Q36">
        <v>2.1</v>
      </c>
      <c r="S36" t="s">
        <v>724</v>
      </c>
      <c r="T36">
        <v>4</v>
      </c>
      <c r="U36">
        <v>1</v>
      </c>
      <c r="V36">
        <v>4</v>
      </c>
      <c r="W36">
        <v>0.3</v>
      </c>
      <c r="X36">
        <v>0.27</v>
      </c>
      <c r="Y36">
        <v>0.54100000000000004</v>
      </c>
      <c r="Z36">
        <v>2.1640000000000001</v>
      </c>
      <c r="AA36">
        <v>1.22</v>
      </c>
      <c r="AB36">
        <v>4.88</v>
      </c>
    </row>
    <row r="37" spans="1:28" x14ac:dyDescent="0.25">
      <c r="A37">
        <v>18832651</v>
      </c>
      <c r="B37">
        <v>745081</v>
      </c>
      <c r="C37" t="s">
        <v>357</v>
      </c>
      <c r="H37" t="s">
        <v>713</v>
      </c>
      <c r="I37">
        <v>2</v>
      </c>
      <c r="J37">
        <v>1</v>
      </c>
      <c r="K37">
        <v>2</v>
      </c>
      <c r="L37">
        <v>0.86</v>
      </c>
      <c r="M37">
        <v>0.77400000000000002</v>
      </c>
      <c r="N37">
        <v>3.52</v>
      </c>
      <c r="O37">
        <v>7.04</v>
      </c>
      <c r="P37">
        <v>4.7699999999999996</v>
      </c>
      <c r="Q37">
        <v>9.5399999999999991</v>
      </c>
      <c r="S37" t="s">
        <v>725</v>
      </c>
      <c r="T37">
        <v>18</v>
      </c>
      <c r="U37">
        <v>6</v>
      </c>
      <c r="V37">
        <v>20</v>
      </c>
      <c r="W37">
        <v>1.7050000000000001</v>
      </c>
      <c r="X37">
        <v>1.5329999999999999</v>
      </c>
      <c r="Y37">
        <v>0.83299999999999996</v>
      </c>
      <c r="Z37">
        <v>1.5310000000000001</v>
      </c>
      <c r="AA37">
        <v>9.93</v>
      </c>
      <c r="AB37">
        <v>53.33</v>
      </c>
    </row>
    <row r="38" spans="1:28" x14ac:dyDescent="0.25">
      <c r="A38">
        <v>18832651</v>
      </c>
      <c r="B38">
        <v>380904</v>
      </c>
      <c r="C38" t="s">
        <v>358</v>
      </c>
      <c r="H38" t="s">
        <v>714</v>
      </c>
      <c r="I38">
        <v>1</v>
      </c>
      <c r="J38">
        <v>1</v>
      </c>
      <c r="K38">
        <v>1</v>
      </c>
      <c r="L38">
        <v>0.35</v>
      </c>
      <c r="M38">
        <v>0.315</v>
      </c>
      <c r="N38">
        <v>3.3</v>
      </c>
      <c r="O38">
        <v>3.3</v>
      </c>
      <c r="P38">
        <v>5.6</v>
      </c>
      <c r="Q38">
        <v>5.6</v>
      </c>
      <c r="S38" t="s">
        <v>726</v>
      </c>
      <c r="T38">
        <v>4</v>
      </c>
      <c r="U38">
        <v>1</v>
      </c>
      <c r="V38">
        <v>4</v>
      </c>
      <c r="W38">
        <v>0.248</v>
      </c>
      <c r="X38">
        <v>0.223</v>
      </c>
      <c r="Y38">
        <v>0.496</v>
      </c>
      <c r="Z38">
        <v>1.984</v>
      </c>
      <c r="AA38">
        <v>1.17</v>
      </c>
      <c r="AB38">
        <v>4.68</v>
      </c>
    </row>
    <row r="39" spans="1:28" x14ac:dyDescent="0.25">
      <c r="A39">
        <v>18832651</v>
      </c>
      <c r="B39">
        <v>701779</v>
      </c>
      <c r="C39" t="s">
        <v>359</v>
      </c>
      <c r="H39" t="s">
        <v>715</v>
      </c>
      <c r="I39">
        <v>1</v>
      </c>
      <c r="J39">
        <v>2</v>
      </c>
      <c r="K39">
        <v>2</v>
      </c>
      <c r="L39">
        <v>0.59199999999999997</v>
      </c>
      <c r="M39">
        <v>0.53300000000000003</v>
      </c>
      <c r="N39">
        <v>2.2850000000000001</v>
      </c>
      <c r="O39">
        <v>4.57</v>
      </c>
      <c r="P39">
        <v>3.17</v>
      </c>
      <c r="Q39">
        <v>6.34</v>
      </c>
      <c r="S39" t="s">
        <v>727</v>
      </c>
      <c r="T39">
        <v>2</v>
      </c>
      <c r="U39">
        <v>1</v>
      </c>
      <c r="V39">
        <v>2</v>
      </c>
      <c r="W39">
        <v>0.17399999999999999</v>
      </c>
      <c r="X39">
        <v>0.157</v>
      </c>
      <c r="Y39">
        <v>0.58799999999999997</v>
      </c>
      <c r="Z39">
        <v>1.1759999999999999</v>
      </c>
      <c r="AA39">
        <v>1.74</v>
      </c>
      <c r="AB39">
        <v>3.48</v>
      </c>
    </row>
    <row r="40" spans="1:28" x14ac:dyDescent="0.25">
      <c r="A40">
        <v>18832651</v>
      </c>
      <c r="B40">
        <v>701621</v>
      </c>
      <c r="C40" t="s">
        <v>361</v>
      </c>
      <c r="H40" t="s">
        <v>716</v>
      </c>
      <c r="I40">
        <v>1</v>
      </c>
      <c r="J40">
        <v>1</v>
      </c>
      <c r="K40">
        <v>1</v>
      </c>
      <c r="L40">
        <v>0.311</v>
      </c>
      <c r="M40">
        <v>0.28000000000000003</v>
      </c>
      <c r="N40">
        <v>1.2250000000000001</v>
      </c>
      <c r="O40">
        <v>1.2250000000000001</v>
      </c>
      <c r="P40">
        <v>5.66</v>
      </c>
      <c r="Q40">
        <v>5.66</v>
      </c>
      <c r="S40" t="s">
        <v>728</v>
      </c>
      <c r="T40">
        <v>10</v>
      </c>
      <c r="U40">
        <v>3</v>
      </c>
      <c r="V40">
        <v>10</v>
      </c>
      <c r="W40">
        <v>1.022</v>
      </c>
      <c r="X40">
        <v>0.92100000000000004</v>
      </c>
      <c r="Y40">
        <v>5.3390000000000004</v>
      </c>
      <c r="Z40">
        <v>11.190999999999999</v>
      </c>
      <c r="AA40">
        <v>20.81</v>
      </c>
      <c r="AB40">
        <v>43.56</v>
      </c>
    </row>
    <row r="41" spans="1:28" x14ac:dyDescent="0.25">
      <c r="A41">
        <v>18832651</v>
      </c>
      <c r="B41">
        <v>701585</v>
      </c>
      <c r="C41" t="s">
        <v>362</v>
      </c>
      <c r="H41" t="s">
        <v>711</v>
      </c>
      <c r="I41">
        <v>1</v>
      </c>
      <c r="J41">
        <v>1</v>
      </c>
      <c r="K41">
        <v>1</v>
      </c>
      <c r="L41">
        <v>0.17499999999999999</v>
      </c>
      <c r="M41">
        <v>0.158</v>
      </c>
      <c r="N41">
        <v>2.0880000000000001</v>
      </c>
      <c r="O41">
        <v>2.0880000000000001</v>
      </c>
      <c r="P41">
        <v>3.64</v>
      </c>
      <c r="Q41">
        <v>3.64</v>
      </c>
      <c r="S41" t="s">
        <v>729</v>
      </c>
      <c r="T41">
        <v>4</v>
      </c>
      <c r="U41">
        <v>1</v>
      </c>
      <c r="V41">
        <v>4</v>
      </c>
      <c r="W41">
        <v>0.86799999999999999</v>
      </c>
      <c r="X41">
        <v>0.78100000000000003</v>
      </c>
      <c r="Y41">
        <v>1.84</v>
      </c>
      <c r="Z41">
        <v>7.36</v>
      </c>
      <c r="AA41">
        <v>2.4</v>
      </c>
      <c r="AB41">
        <v>9.6</v>
      </c>
    </row>
    <row r="42" spans="1:28" x14ac:dyDescent="0.25">
      <c r="A42">
        <v>18832651</v>
      </c>
      <c r="B42">
        <v>991165</v>
      </c>
      <c r="C42" t="s">
        <v>363</v>
      </c>
      <c r="H42" t="s">
        <v>716</v>
      </c>
      <c r="I42">
        <v>1</v>
      </c>
      <c r="J42">
        <v>1</v>
      </c>
      <c r="K42">
        <v>1</v>
      </c>
      <c r="L42">
        <v>0.60399999999999998</v>
      </c>
      <c r="M42">
        <v>0.54400000000000004</v>
      </c>
      <c r="N42">
        <v>2.46</v>
      </c>
      <c r="O42">
        <v>2.46</v>
      </c>
      <c r="P42">
        <v>8.3000000000000007</v>
      </c>
      <c r="Q42">
        <v>8.3000000000000007</v>
      </c>
      <c r="S42" t="s">
        <v>730</v>
      </c>
      <c r="T42">
        <v>2</v>
      </c>
      <c r="U42">
        <v>2</v>
      </c>
      <c r="V42">
        <v>2</v>
      </c>
      <c r="W42">
        <v>0.67399999999999993</v>
      </c>
      <c r="X42">
        <v>0.60599999999999998</v>
      </c>
      <c r="Y42">
        <v>3.2839999999999998</v>
      </c>
      <c r="Z42">
        <v>3.2839999999999998</v>
      </c>
      <c r="AA42">
        <v>8.4699999999999989</v>
      </c>
      <c r="AB42">
        <v>8.4699999999999989</v>
      </c>
    </row>
    <row r="43" spans="1:28" x14ac:dyDescent="0.25">
      <c r="A43">
        <v>18832651</v>
      </c>
      <c r="B43">
        <v>701590</v>
      </c>
      <c r="C43" t="s">
        <v>364</v>
      </c>
      <c r="H43" t="s">
        <v>711</v>
      </c>
      <c r="I43">
        <v>1</v>
      </c>
      <c r="J43">
        <v>3</v>
      </c>
      <c r="K43">
        <v>3</v>
      </c>
      <c r="L43">
        <v>0.64500000000000002</v>
      </c>
      <c r="M43">
        <v>0.58099999999999996</v>
      </c>
      <c r="N43">
        <v>2.5030000000000001</v>
      </c>
      <c r="O43">
        <v>7.51</v>
      </c>
      <c r="P43">
        <v>3.64</v>
      </c>
      <c r="Q43">
        <v>10.92</v>
      </c>
      <c r="S43" t="s">
        <v>731</v>
      </c>
      <c r="T43">
        <v>5</v>
      </c>
      <c r="U43">
        <v>1</v>
      </c>
      <c r="V43">
        <v>5</v>
      </c>
      <c r="W43">
        <v>0.63500000000000001</v>
      </c>
      <c r="X43">
        <v>0.57199999999999995</v>
      </c>
      <c r="Y43">
        <v>0.5</v>
      </c>
      <c r="Z43">
        <v>2.5</v>
      </c>
      <c r="AA43">
        <v>1.1000000000000001</v>
      </c>
      <c r="AB43">
        <v>5.5</v>
      </c>
    </row>
    <row r="44" spans="1:28" x14ac:dyDescent="0.25">
      <c r="A44">
        <v>18832651</v>
      </c>
      <c r="B44">
        <v>596162</v>
      </c>
      <c r="C44" t="s">
        <v>365</v>
      </c>
      <c r="H44" t="s">
        <v>717</v>
      </c>
      <c r="I44">
        <v>1</v>
      </c>
      <c r="J44">
        <v>1</v>
      </c>
      <c r="K44">
        <v>1</v>
      </c>
      <c r="L44">
        <v>0.30599999999999999</v>
      </c>
      <c r="M44">
        <v>0.27500000000000002</v>
      </c>
      <c r="N44">
        <v>1.92</v>
      </c>
      <c r="O44">
        <v>1.92</v>
      </c>
      <c r="P44">
        <v>2.69</v>
      </c>
      <c r="Q44">
        <v>2.69</v>
      </c>
      <c r="S44" t="s">
        <v>732</v>
      </c>
      <c r="T44">
        <v>4</v>
      </c>
      <c r="U44">
        <v>1</v>
      </c>
      <c r="V44">
        <v>4</v>
      </c>
      <c r="W44">
        <v>0.252</v>
      </c>
      <c r="X44">
        <v>0.22700000000000001</v>
      </c>
      <c r="Y44">
        <v>0.63800000000000001</v>
      </c>
      <c r="Z44">
        <v>2.552</v>
      </c>
      <c r="AA44">
        <v>0.82</v>
      </c>
      <c r="AB44">
        <v>3.28</v>
      </c>
    </row>
    <row r="45" spans="1:28" x14ac:dyDescent="0.25">
      <c r="A45">
        <v>18832651</v>
      </c>
      <c r="B45">
        <v>655048</v>
      </c>
      <c r="C45" t="s">
        <v>366</v>
      </c>
      <c r="H45" t="s">
        <v>711</v>
      </c>
      <c r="I45">
        <v>1</v>
      </c>
      <c r="J45">
        <v>1</v>
      </c>
      <c r="K45">
        <v>1</v>
      </c>
      <c r="L45">
        <v>0.52600000000000002</v>
      </c>
      <c r="M45">
        <v>0.47299999999999998</v>
      </c>
      <c r="N45">
        <v>5.2919999999999998</v>
      </c>
      <c r="O45">
        <v>5.2919999999999998</v>
      </c>
      <c r="P45">
        <v>4.82</v>
      </c>
      <c r="Q45">
        <v>4.82</v>
      </c>
      <c r="S45" t="s">
        <v>733</v>
      </c>
      <c r="T45">
        <v>1</v>
      </c>
      <c r="U45">
        <v>3</v>
      </c>
      <c r="V45">
        <v>3</v>
      </c>
      <c r="W45">
        <v>0.69199999999999995</v>
      </c>
      <c r="X45">
        <v>0.623</v>
      </c>
      <c r="Y45">
        <v>1.5329999999999999</v>
      </c>
      <c r="Z45">
        <v>4.5999999999999996</v>
      </c>
      <c r="AA45">
        <v>3.5</v>
      </c>
      <c r="AB45">
        <v>10.5</v>
      </c>
    </row>
    <row r="46" spans="1:28" x14ac:dyDescent="0.25">
      <c r="A46">
        <v>18832651</v>
      </c>
      <c r="B46">
        <v>700269</v>
      </c>
      <c r="C46" t="s">
        <v>367</v>
      </c>
      <c r="H46" t="s">
        <v>716</v>
      </c>
      <c r="I46">
        <v>1</v>
      </c>
      <c r="J46">
        <v>1</v>
      </c>
      <c r="K46">
        <v>1</v>
      </c>
      <c r="L46">
        <v>0.65400000000000003</v>
      </c>
      <c r="M46">
        <v>0.58899999999999997</v>
      </c>
      <c r="N46">
        <v>2.88</v>
      </c>
      <c r="O46">
        <v>2.88</v>
      </c>
      <c r="P46">
        <v>6.78</v>
      </c>
      <c r="Q46">
        <v>6.78</v>
      </c>
      <c r="S46" t="s">
        <v>734</v>
      </c>
      <c r="T46">
        <v>1</v>
      </c>
      <c r="U46">
        <v>3</v>
      </c>
      <c r="V46">
        <v>3</v>
      </c>
      <c r="W46">
        <v>0.55200000000000005</v>
      </c>
      <c r="X46">
        <v>0.497</v>
      </c>
      <c r="Y46">
        <v>1.3440000000000001</v>
      </c>
      <c r="Z46">
        <v>4.032</v>
      </c>
      <c r="AA46">
        <v>1.88</v>
      </c>
      <c r="AB46">
        <v>5.64</v>
      </c>
    </row>
    <row r="47" spans="1:28" x14ac:dyDescent="0.25">
      <c r="A47">
        <v>18832651</v>
      </c>
      <c r="B47">
        <v>993456</v>
      </c>
      <c r="C47" t="s">
        <v>368</v>
      </c>
      <c r="H47" t="s">
        <v>718</v>
      </c>
      <c r="I47">
        <v>1</v>
      </c>
      <c r="J47">
        <v>1</v>
      </c>
      <c r="K47">
        <v>1</v>
      </c>
      <c r="L47">
        <v>0.71699999999999997</v>
      </c>
      <c r="M47">
        <v>0.64500000000000002</v>
      </c>
      <c r="N47">
        <v>4.4800000000000004</v>
      </c>
      <c r="O47">
        <v>4.4800000000000004</v>
      </c>
      <c r="P47">
        <v>7.73</v>
      </c>
      <c r="Q47">
        <v>7.73</v>
      </c>
      <c r="S47" t="s">
        <v>735</v>
      </c>
      <c r="T47">
        <v>4</v>
      </c>
      <c r="U47">
        <v>1</v>
      </c>
      <c r="V47">
        <v>4</v>
      </c>
      <c r="W47">
        <v>0.13200000000000001</v>
      </c>
      <c r="X47">
        <v>0.11899999999999999</v>
      </c>
      <c r="Y47">
        <v>0.27600000000000002</v>
      </c>
      <c r="Z47">
        <v>1.1040000000000001</v>
      </c>
      <c r="AA47">
        <v>0.64</v>
      </c>
      <c r="AB47">
        <v>2.56</v>
      </c>
    </row>
    <row r="48" spans="1:28" x14ac:dyDescent="0.25">
      <c r="A48">
        <v>18832651</v>
      </c>
      <c r="B48">
        <v>700268</v>
      </c>
      <c r="C48" t="s">
        <v>369</v>
      </c>
      <c r="H48" t="s">
        <v>716</v>
      </c>
      <c r="I48">
        <v>1</v>
      </c>
      <c r="J48">
        <v>1</v>
      </c>
      <c r="K48">
        <v>1</v>
      </c>
      <c r="L48">
        <v>0.61799999999999999</v>
      </c>
      <c r="M48">
        <v>0.55600000000000005</v>
      </c>
      <c r="N48">
        <v>2.88</v>
      </c>
      <c r="O48">
        <v>2.88</v>
      </c>
      <c r="P48">
        <v>7.09</v>
      </c>
      <c r="Q48">
        <v>7.09</v>
      </c>
      <c r="S48" t="s">
        <v>736</v>
      </c>
      <c r="T48">
        <v>4</v>
      </c>
      <c r="U48">
        <v>1</v>
      </c>
      <c r="V48">
        <v>4</v>
      </c>
      <c r="W48">
        <v>0.108</v>
      </c>
      <c r="X48">
        <v>9.7000000000000003E-2</v>
      </c>
      <c r="Y48">
        <v>0.34499999999999997</v>
      </c>
      <c r="Z48">
        <v>1.38</v>
      </c>
      <c r="AA48">
        <v>0.81</v>
      </c>
      <c r="AB48">
        <v>3.24</v>
      </c>
    </row>
    <row r="49" spans="1:28" x14ac:dyDescent="0.25">
      <c r="A49">
        <v>18832651</v>
      </c>
      <c r="B49">
        <v>659940</v>
      </c>
      <c r="C49" t="s">
        <v>370</v>
      </c>
      <c r="H49" t="s">
        <v>712</v>
      </c>
      <c r="I49">
        <v>2</v>
      </c>
      <c r="J49">
        <v>1</v>
      </c>
      <c r="K49">
        <v>2</v>
      </c>
      <c r="L49">
        <v>0.218</v>
      </c>
      <c r="M49">
        <v>0.19600000000000001</v>
      </c>
      <c r="N49">
        <v>0.85699999999999998</v>
      </c>
      <c r="O49">
        <v>1.714</v>
      </c>
      <c r="P49">
        <v>1.72</v>
      </c>
      <c r="Q49">
        <v>3.44</v>
      </c>
      <c r="S49" t="s">
        <v>737</v>
      </c>
      <c r="T49">
        <v>1</v>
      </c>
      <c r="U49">
        <v>2</v>
      </c>
      <c r="V49">
        <v>2</v>
      </c>
      <c r="W49">
        <v>0.72</v>
      </c>
      <c r="X49">
        <v>0.64800000000000002</v>
      </c>
      <c r="Y49">
        <v>3.2</v>
      </c>
      <c r="Z49">
        <v>6.4</v>
      </c>
      <c r="AA49">
        <v>4.21</v>
      </c>
      <c r="AB49">
        <v>8.42</v>
      </c>
    </row>
    <row r="50" spans="1:28" x14ac:dyDescent="0.25">
      <c r="A50">
        <v>18832651</v>
      </c>
      <c r="B50">
        <v>596161</v>
      </c>
      <c r="C50" t="s">
        <v>371</v>
      </c>
      <c r="H50" t="s">
        <v>717</v>
      </c>
      <c r="I50">
        <v>1</v>
      </c>
      <c r="J50">
        <v>1</v>
      </c>
      <c r="K50">
        <v>1</v>
      </c>
      <c r="L50">
        <v>0.23200000000000001</v>
      </c>
      <c r="M50">
        <v>0.20899999999999999</v>
      </c>
      <c r="N50">
        <v>1.92</v>
      </c>
      <c r="O50">
        <v>1.92</v>
      </c>
      <c r="P50">
        <v>2.71</v>
      </c>
      <c r="Q50">
        <v>2.71</v>
      </c>
      <c r="S50" t="s">
        <v>738</v>
      </c>
      <c r="T50">
        <v>2</v>
      </c>
      <c r="U50">
        <v>2</v>
      </c>
      <c r="V50">
        <v>2</v>
      </c>
      <c r="W50">
        <v>1.22</v>
      </c>
      <c r="X50">
        <v>1.099</v>
      </c>
      <c r="Y50">
        <v>14.34</v>
      </c>
      <c r="Z50">
        <v>14.34</v>
      </c>
      <c r="AA50">
        <v>7.8599999999999994</v>
      </c>
      <c r="AB50">
        <v>7.8599999999999994</v>
      </c>
    </row>
    <row r="51" spans="1:28" x14ac:dyDescent="0.25">
      <c r="A51">
        <v>18832651</v>
      </c>
      <c r="B51">
        <v>701642</v>
      </c>
      <c r="C51" t="s">
        <v>372</v>
      </c>
      <c r="H51" t="s">
        <v>717</v>
      </c>
      <c r="I51">
        <v>1</v>
      </c>
      <c r="J51">
        <v>1</v>
      </c>
      <c r="K51">
        <v>1</v>
      </c>
      <c r="L51">
        <v>0.27800000000000002</v>
      </c>
      <c r="M51">
        <v>0.25</v>
      </c>
      <c r="N51">
        <v>1.92</v>
      </c>
      <c r="O51">
        <v>1.92</v>
      </c>
      <c r="P51">
        <v>2.73</v>
      </c>
      <c r="Q51">
        <v>2.73</v>
      </c>
      <c r="S51" t="s">
        <v>739</v>
      </c>
      <c r="T51">
        <v>42</v>
      </c>
      <c r="U51">
        <v>26</v>
      </c>
      <c r="V51">
        <v>59</v>
      </c>
      <c r="W51">
        <v>7.5140000000000002</v>
      </c>
      <c r="X51">
        <v>6.7610000000000001</v>
      </c>
      <c r="Y51">
        <v>11.768000000000001</v>
      </c>
      <c r="Z51">
        <v>50.216000000000001</v>
      </c>
      <c r="AA51">
        <v>12.97</v>
      </c>
      <c r="AB51">
        <v>81.050000000000011</v>
      </c>
    </row>
    <row r="52" spans="1:28" x14ac:dyDescent="0.25">
      <c r="A52">
        <v>18832651</v>
      </c>
      <c r="B52">
        <v>722660</v>
      </c>
      <c r="C52" t="s">
        <v>373</v>
      </c>
      <c r="H52" t="s">
        <v>718</v>
      </c>
      <c r="I52">
        <v>1</v>
      </c>
      <c r="J52">
        <v>1</v>
      </c>
      <c r="K52">
        <v>1</v>
      </c>
      <c r="L52">
        <v>0.34399999999999997</v>
      </c>
      <c r="M52">
        <v>0.31</v>
      </c>
      <c r="N52">
        <v>3.5830000000000002</v>
      </c>
      <c r="O52">
        <v>3.5830000000000002</v>
      </c>
      <c r="P52">
        <v>4.16</v>
      </c>
      <c r="Q52">
        <v>4.16</v>
      </c>
      <c r="S52" t="s">
        <v>740</v>
      </c>
      <c r="T52">
        <v>1</v>
      </c>
      <c r="U52">
        <v>3</v>
      </c>
      <c r="V52">
        <v>3</v>
      </c>
      <c r="W52">
        <v>0.84</v>
      </c>
      <c r="X52">
        <v>0.75600000000000001</v>
      </c>
      <c r="Y52">
        <v>3.645</v>
      </c>
      <c r="Z52">
        <v>10.935</v>
      </c>
      <c r="AA52">
        <v>3.7</v>
      </c>
      <c r="AB52">
        <v>11.1</v>
      </c>
    </row>
    <row r="53" spans="1:28" x14ac:dyDescent="0.25">
      <c r="A53">
        <v>18832651</v>
      </c>
      <c r="B53">
        <v>743937</v>
      </c>
      <c r="C53" t="s">
        <v>374</v>
      </c>
      <c r="H53" t="s">
        <v>719</v>
      </c>
      <c r="I53">
        <v>1</v>
      </c>
      <c r="J53">
        <v>4</v>
      </c>
      <c r="K53">
        <v>4</v>
      </c>
      <c r="L53">
        <v>0.192</v>
      </c>
      <c r="M53">
        <v>0.17199999999999999</v>
      </c>
      <c r="N53">
        <v>0.245</v>
      </c>
      <c r="O53">
        <v>0.98</v>
      </c>
      <c r="P53">
        <v>0.93</v>
      </c>
      <c r="Q53">
        <v>3.7</v>
      </c>
      <c r="S53" t="s">
        <v>741</v>
      </c>
      <c r="T53">
        <v>4</v>
      </c>
      <c r="U53">
        <v>9</v>
      </c>
      <c r="V53">
        <v>9</v>
      </c>
      <c r="W53">
        <v>4.0999999999999996</v>
      </c>
      <c r="X53">
        <v>3.6899999999999995</v>
      </c>
      <c r="Y53">
        <v>15.802</v>
      </c>
      <c r="Z53">
        <v>38.624000000000002</v>
      </c>
      <c r="AA53">
        <v>9.14</v>
      </c>
      <c r="AB53">
        <v>20.93</v>
      </c>
    </row>
    <row r="54" spans="1:28" x14ac:dyDescent="0.25">
      <c r="A54">
        <v>18832651</v>
      </c>
      <c r="B54">
        <v>746468</v>
      </c>
      <c r="C54" t="s">
        <v>375</v>
      </c>
      <c r="H54" t="s">
        <v>719</v>
      </c>
      <c r="I54">
        <v>1</v>
      </c>
      <c r="J54">
        <v>3</v>
      </c>
      <c r="K54">
        <v>3</v>
      </c>
      <c r="L54">
        <v>0.23200000000000001</v>
      </c>
      <c r="M54">
        <v>0.20899999999999999</v>
      </c>
      <c r="N54">
        <v>0.50700000000000001</v>
      </c>
      <c r="O54">
        <v>1.52</v>
      </c>
      <c r="P54">
        <v>1.02</v>
      </c>
      <c r="Q54">
        <v>3.06</v>
      </c>
      <c r="S54" t="s">
        <v>742</v>
      </c>
      <c r="T54">
        <v>7</v>
      </c>
      <c r="U54">
        <v>4</v>
      </c>
      <c r="V54">
        <v>9</v>
      </c>
      <c r="W54">
        <v>6.7560000000000002</v>
      </c>
      <c r="X54">
        <v>6.08</v>
      </c>
      <c r="Y54">
        <v>2.948</v>
      </c>
      <c r="Z54">
        <v>11.516999999999999</v>
      </c>
      <c r="AA54">
        <v>5.2200000000000006</v>
      </c>
      <c r="AB54">
        <v>21.270000000000003</v>
      </c>
    </row>
    <row r="55" spans="1:28" x14ac:dyDescent="0.25">
      <c r="A55">
        <v>18832651</v>
      </c>
      <c r="B55">
        <v>746469</v>
      </c>
      <c r="C55" t="s">
        <v>376</v>
      </c>
      <c r="H55" t="s">
        <v>719</v>
      </c>
      <c r="I55">
        <v>1</v>
      </c>
      <c r="J55">
        <v>2</v>
      </c>
      <c r="K55">
        <v>2</v>
      </c>
      <c r="L55">
        <v>0.14199999999999999</v>
      </c>
      <c r="M55">
        <v>0.128</v>
      </c>
      <c r="N55">
        <v>0.48</v>
      </c>
      <c r="O55">
        <v>0.96</v>
      </c>
      <c r="P55">
        <v>1.02</v>
      </c>
      <c r="Q55">
        <v>2.04</v>
      </c>
      <c r="S55" t="s">
        <v>743</v>
      </c>
      <c r="T55">
        <v>16</v>
      </c>
      <c r="U55">
        <v>1</v>
      </c>
      <c r="V55">
        <v>16</v>
      </c>
      <c r="W55">
        <v>1.1200000000000001</v>
      </c>
      <c r="X55">
        <v>1.008</v>
      </c>
      <c r="Y55">
        <v>0.58699999999999997</v>
      </c>
      <c r="Z55">
        <v>9.3919999999999995</v>
      </c>
      <c r="AA55">
        <v>0.63</v>
      </c>
      <c r="AB55">
        <v>10.08</v>
      </c>
    </row>
    <row r="56" spans="1:28" x14ac:dyDescent="0.25">
      <c r="A56">
        <v>18832651</v>
      </c>
      <c r="B56">
        <v>750726</v>
      </c>
      <c r="C56" t="s">
        <v>377</v>
      </c>
      <c r="H56" t="s">
        <v>719</v>
      </c>
      <c r="I56">
        <v>1</v>
      </c>
      <c r="J56">
        <v>1</v>
      </c>
      <c r="K56">
        <v>1</v>
      </c>
      <c r="L56">
        <v>0.09</v>
      </c>
      <c r="M56">
        <v>8.1000000000000003E-2</v>
      </c>
      <c r="N56">
        <v>0.96</v>
      </c>
      <c r="O56">
        <v>0.96</v>
      </c>
      <c r="P56">
        <v>1.02</v>
      </c>
      <c r="Q56">
        <v>1.02</v>
      </c>
      <c r="S56" t="s">
        <v>744</v>
      </c>
      <c r="T56">
        <v>1</v>
      </c>
      <c r="U56">
        <v>3</v>
      </c>
      <c r="V56">
        <v>3</v>
      </c>
      <c r="W56">
        <v>0.73199999999999998</v>
      </c>
      <c r="X56">
        <v>0.65900000000000003</v>
      </c>
      <c r="Y56">
        <v>2.016</v>
      </c>
      <c r="Z56">
        <v>6.048</v>
      </c>
      <c r="AA56">
        <v>4.6500000000000004</v>
      </c>
      <c r="AB56">
        <v>13.95</v>
      </c>
    </row>
    <row r="57" spans="1:28" x14ac:dyDescent="0.25">
      <c r="A57">
        <v>18832651</v>
      </c>
      <c r="B57">
        <v>727155</v>
      </c>
      <c r="C57" t="s">
        <v>378</v>
      </c>
      <c r="H57" t="s">
        <v>720</v>
      </c>
      <c r="I57">
        <v>4</v>
      </c>
      <c r="J57">
        <v>1</v>
      </c>
      <c r="K57">
        <v>4</v>
      </c>
      <c r="L57">
        <v>0.58799999999999997</v>
      </c>
      <c r="M57">
        <v>0.52900000000000003</v>
      </c>
      <c r="N57">
        <v>1.0169999999999999</v>
      </c>
      <c r="O57">
        <v>4.0679999999999996</v>
      </c>
      <c r="P57">
        <v>1.1599999999999999</v>
      </c>
      <c r="Q57">
        <v>4.6399999999999997</v>
      </c>
      <c r="S57" t="s">
        <v>745</v>
      </c>
      <c r="T57">
        <v>19</v>
      </c>
      <c r="U57">
        <v>5</v>
      </c>
      <c r="V57">
        <v>20</v>
      </c>
      <c r="W57">
        <v>19.738</v>
      </c>
      <c r="X57">
        <v>17.764000000000003</v>
      </c>
      <c r="Y57">
        <v>10.35</v>
      </c>
      <c r="Z57">
        <v>49.927999999999997</v>
      </c>
      <c r="AA57">
        <v>6.99</v>
      </c>
      <c r="AB57">
        <v>31.380000000000003</v>
      </c>
    </row>
    <row r="58" spans="1:28" x14ac:dyDescent="0.25">
      <c r="A58">
        <v>18832651</v>
      </c>
      <c r="B58">
        <v>707862</v>
      </c>
      <c r="C58" t="s">
        <v>379</v>
      </c>
      <c r="H58" t="s">
        <v>721</v>
      </c>
      <c r="I58">
        <v>3</v>
      </c>
      <c r="J58">
        <v>1</v>
      </c>
      <c r="K58">
        <v>3</v>
      </c>
      <c r="L58">
        <v>0.129</v>
      </c>
      <c r="M58">
        <v>0.11600000000000001</v>
      </c>
      <c r="N58">
        <v>0.45500000000000002</v>
      </c>
      <c r="O58">
        <v>1.365</v>
      </c>
      <c r="P58">
        <v>0.87</v>
      </c>
      <c r="Q58">
        <v>2.61</v>
      </c>
      <c r="S58" t="s">
        <v>746</v>
      </c>
      <c r="T58">
        <v>1</v>
      </c>
      <c r="U58">
        <v>6</v>
      </c>
      <c r="V58">
        <v>6</v>
      </c>
      <c r="W58">
        <v>0.33</v>
      </c>
      <c r="X58">
        <v>0.29699999999999999</v>
      </c>
      <c r="Y58">
        <v>0.54500000000000004</v>
      </c>
      <c r="Z58">
        <v>3.27</v>
      </c>
      <c r="AA58">
        <v>0.59</v>
      </c>
      <c r="AB58">
        <v>3.54</v>
      </c>
    </row>
    <row r="59" spans="1:28" x14ac:dyDescent="0.25">
      <c r="A59">
        <v>18832651</v>
      </c>
      <c r="B59">
        <v>991176</v>
      </c>
      <c r="C59" t="s">
        <v>380</v>
      </c>
      <c r="E59">
        <v>8720193921013</v>
      </c>
      <c r="H59" t="s">
        <v>722</v>
      </c>
      <c r="I59">
        <v>12</v>
      </c>
      <c r="J59">
        <v>1</v>
      </c>
      <c r="K59">
        <v>12</v>
      </c>
      <c r="L59">
        <v>0.85199999999999998</v>
      </c>
      <c r="M59">
        <v>0.76700000000000002</v>
      </c>
      <c r="N59">
        <v>0.58499999999999996</v>
      </c>
      <c r="O59">
        <v>7.02</v>
      </c>
      <c r="P59">
        <v>1.78</v>
      </c>
      <c r="Q59">
        <v>21.36</v>
      </c>
      <c r="S59" t="s">
        <v>747</v>
      </c>
      <c r="T59">
        <v>1</v>
      </c>
      <c r="U59">
        <v>2</v>
      </c>
      <c r="V59">
        <v>2</v>
      </c>
      <c r="W59">
        <v>2.306</v>
      </c>
      <c r="X59">
        <v>2.0750000000000002</v>
      </c>
      <c r="Y59">
        <v>4.3330000000000002</v>
      </c>
      <c r="Z59">
        <v>8.6660000000000004</v>
      </c>
      <c r="AA59">
        <v>10.02</v>
      </c>
      <c r="AB59">
        <v>20.04</v>
      </c>
    </row>
    <row r="60" spans="1:28" x14ac:dyDescent="0.25">
      <c r="A60">
        <v>18832651</v>
      </c>
      <c r="B60">
        <v>613275</v>
      </c>
      <c r="C60" t="s">
        <v>381</v>
      </c>
      <c r="H60" t="s">
        <v>723</v>
      </c>
      <c r="I60">
        <v>2</v>
      </c>
      <c r="J60">
        <v>1</v>
      </c>
      <c r="K60">
        <v>2</v>
      </c>
      <c r="L60">
        <v>0.17199999999999999</v>
      </c>
      <c r="M60">
        <v>0.155</v>
      </c>
      <c r="N60">
        <v>0.77100000000000002</v>
      </c>
      <c r="O60">
        <v>1.542</v>
      </c>
      <c r="P60">
        <v>1.4</v>
      </c>
      <c r="Q60">
        <v>2.8</v>
      </c>
      <c r="S60" t="s">
        <v>748</v>
      </c>
      <c r="T60">
        <v>2</v>
      </c>
      <c r="U60">
        <v>10</v>
      </c>
      <c r="V60">
        <v>10</v>
      </c>
      <c r="W60">
        <v>8.0150000000000006</v>
      </c>
      <c r="X60">
        <v>7.2140000000000004</v>
      </c>
      <c r="Y60">
        <v>6.9930000000000003</v>
      </c>
      <c r="Z60">
        <v>34.965000000000003</v>
      </c>
      <c r="AA60">
        <v>4.7300000000000004</v>
      </c>
      <c r="AB60">
        <v>23.65</v>
      </c>
    </row>
    <row r="61" spans="1:28" x14ac:dyDescent="0.25">
      <c r="A61">
        <v>18832651</v>
      </c>
      <c r="B61">
        <v>613302</v>
      </c>
      <c r="C61" t="s">
        <v>382</v>
      </c>
      <c r="H61" t="s">
        <v>723</v>
      </c>
      <c r="I61">
        <v>2</v>
      </c>
      <c r="J61">
        <v>1</v>
      </c>
      <c r="K61">
        <v>2</v>
      </c>
      <c r="L61">
        <v>0.14399999999999999</v>
      </c>
      <c r="M61">
        <v>0.13</v>
      </c>
      <c r="N61">
        <v>0.47199999999999998</v>
      </c>
      <c r="O61">
        <v>0.94399999999999995</v>
      </c>
      <c r="P61">
        <v>1.37</v>
      </c>
      <c r="Q61">
        <v>2.74</v>
      </c>
      <c r="S61" t="s">
        <v>749</v>
      </c>
      <c r="T61">
        <v>1</v>
      </c>
      <c r="U61">
        <v>1</v>
      </c>
      <c r="V61">
        <v>1</v>
      </c>
      <c r="W61">
        <v>0.39</v>
      </c>
      <c r="X61">
        <v>0.35099999999999998</v>
      </c>
      <c r="Y61">
        <v>6.1829999999999998</v>
      </c>
      <c r="Z61">
        <v>6.1829999999999998</v>
      </c>
      <c r="AA61">
        <v>2.38</v>
      </c>
      <c r="AB61">
        <v>2.38</v>
      </c>
    </row>
    <row r="62" spans="1:28" x14ac:dyDescent="0.25">
      <c r="A62">
        <v>18832651</v>
      </c>
      <c r="B62">
        <v>664022</v>
      </c>
      <c r="C62" t="s">
        <v>383</v>
      </c>
      <c r="H62" t="s">
        <v>724</v>
      </c>
      <c r="I62">
        <v>4</v>
      </c>
      <c r="J62">
        <v>1</v>
      </c>
      <c r="K62">
        <v>4</v>
      </c>
      <c r="L62">
        <v>0.3</v>
      </c>
      <c r="M62">
        <v>0.27</v>
      </c>
      <c r="N62">
        <v>0.54100000000000004</v>
      </c>
      <c r="O62">
        <v>2.1640000000000001</v>
      </c>
      <c r="P62">
        <v>1.22</v>
      </c>
      <c r="Q62">
        <v>4.88</v>
      </c>
      <c r="S62" t="s">
        <v>750</v>
      </c>
      <c r="T62">
        <v>6</v>
      </c>
      <c r="U62">
        <v>2</v>
      </c>
      <c r="V62">
        <v>12</v>
      </c>
      <c r="W62">
        <v>3.996</v>
      </c>
      <c r="X62">
        <v>3.5960000000000001</v>
      </c>
      <c r="Y62">
        <v>0.73599999999999999</v>
      </c>
      <c r="Z62">
        <v>8.8320000000000007</v>
      </c>
      <c r="AA62">
        <v>1.04</v>
      </c>
      <c r="AB62">
        <v>12.48</v>
      </c>
    </row>
    <row r="63" spans="1:28" x14ac:dyDescent="0.25">
      <c r="A63">
        <v>18832651</v>
      </c>
      <c r="B63">
        <v>913369</v>
      </c>
      <c r="C63" t="s">
        <v>384</v>
      </c>
      <c r="E63">
        <v>2090001191348</v>
      </c>
      <c r="H63" t="s">
        <v>721</v>
      </c>
      <c r="I63">
        <v>4</v>
      </c>
      <c r="J63">
        <v>1</v>
      </c>
      <c r="K63">
        <v>4</v>
      </c>
      <c r="L63">
        <v>0.34</v>
      </c>
      <c r="M63">
        <v>0.30599999999999999</v>
      </c>
      <c r="N63">
        <v>0.84</v>
      </c>
      <c r="O63">
        <v>3.36</v>
      </c>
      <c r="P63">
        <v>1.27</v>
      </c>
      <c r="Q63">
        <v>5.08</v>
      </c>
      <c r="S63" t="s">
        <v>751</v>
      </c>
      <c r="T63">
        <v>1</v>
      </c>
      <c r="U63">
        <v>1</v>
      </c>
      <c r="V63">
        <v>1</v>
      </c>
      <c r="W63">
        <v>0.80300000000000005</v>
      </c>
      <c r="X63">
        <v>0.72299999999999998</v>
      </c>
      <c r="Y63">
        <v>10.5</v>
      </c>
      <c r="Z63">
        <v>10.5</v>
      </c>
      <c r="AA63">
        <v>11.16</v>
      </c>
      <c r="AB63">
        <v>11.16</v>
      </c>
    </row>
    <row r="64" spans="1:28" x14ac:dyDescent="0.25">
      <c r="A64">
        <v>18832651</v>
      </c>
      <c r="B64">
        <v>663985</v>
      </c>
      <c r="C64" t="s">
        <v>385</v>
      </c>
      <c r="H64" t="s">
        <v>721</v>
      </c>
      <c r="I64">
        <v>4</v>
      </c>
      <c r="J64">
        <v>1</v>
      </c>
      <c r="K64">
        <v>4</v>
      </c>
      <c r="L64">
        <v>0.24</v>
      </c>
      <c r="M64">
        <v>0.216</v>
      </c>
      <c r="N64">
        <v>0.57399999999999995</v>
      </c>
      <c r="O64">
        <v>2.2959999999999998</v>
      </c>
      <c r="P64">
        <v>0.93</v>
      </c>
      <c r="Q64">
        <v>3.72</v>
      </c>
      <c r="S64" t="s">
        <v>752</v>
      </c>
      <c r="T64">
        <v>9</v>
      </c>
      <c r="U64">
        <v>2</v>
      </c>
      <c r="V64">
        <v>9</v>
      </c>
      <c r="W64">
        <v>4.4039999999999999</v>
      </c>
      <c r="X64">
        <v>3.9630000000000001</v>
      </c>
      <c r="Y64">
        <v>8.5609999999999999</v>
      </c>
      <c r="Z64">
        <v>33.305999999999997</v>
      </c>
      <c r="AA64">
        <v>7.03</v>
      </c>
      <c r="AB64">
        <v>25.92</v>
      </c>
    </row>
    <row r="65" spans="1:28" x14ac:dyDescent="0.25">
      <c r="A65">
        <v>18832651</v>
      </c>
      <c r="B65">
        <v>684517</v>
      </c>
      <c r="C65" t="s">
        <v>386</v>
      </c>
      <c r="H65" t="s">
        <v>725</v>
      </c>
      <c r="I65">
        <v>1</v>
      </c>
      <c r="J65">
        <v>3</v>
      </c>
      <c r="K65">
        <v>3</v>
      </c>
      <c r="L65">
        <v>8.3000000000000004E-2</v>
      </c>
      <c r="M65">
        <v>7.3999999999999996E-2</v>
      </c>
      <c r="N65">
        <v>0.34200000000000003</v>
      </c>
      <c r="O65">
        <v>1.026</v>
      </c>
      <c r="P65">
        <v>1.19</v>
      </c>
      <c r="Q65">
        <v>3.57</v>
      </c>
      <c r="S65" t="s">
        <v>753</v>
      </c>
      <c r="T65">
        <v>1</v>
      </c>
      <c r="U65">
        <v>2</v>
      </c>
      <c r="V65">
        <v>2</v>
      </c>
      <c r="W65">
        <v>2.7719999999999998</v>
      </c>
      <c r="X65">
        <v>2.4950000000000001</v>
      </c>
      <c r="Y65">
        <v>9.25</v>
      </c>
      <c r="Z65">
        <v>18.5</v>
      </c>
      <c r="AA65">
        <v>21.47</v>
      </c>
      <c r="AB65">
        <v>42.94</v>
      </c>
    </row>
    <row r="66" spans="1:28" x14ac:dyDescent="0.25">
      <c r="A66">
        <v>18832651</v>
      </c>
      <c r="B66">
        <v>638821</v>
      </c>
      <c r="C66" t="s">
        <v>387</v>
      </c>
      <c r="H66" t="s">
        <v>722</v>
      </c>
      <c r="I66">
        <v>1</v>
      </c>
      <c r="J66">
        <v>1</v>
      </c>
      <c r="K66">
        <v>1</v>
      </c>
      <c r="L66">
        <v>0.10299999999999999</v>
      </c>
      <c r="M66">
        <v>9.2999999999999999E-2</v>
      </c>
      <c r="N66">
        <v>1.006</v>
      </c>
      <c r="O66">
        <v>1.006</v>
      </c>
      <c r="P66">
        <v>2.1800000000000002</v>
      </c>
      <c r="Q66">
        <v>2.1800000000000002</v>
      </c>
      <c r="S66" t="s">
        <v>754</v>
      </c>
      <c r="T66">
        <v>10</v>
      </c>
      <c r="U66">
        <v>1</v>
      </c>
      <c r="V66">
        <v>10</v>
      </c>
      <c r="W66">
        <v>1.49</v>
      </c>
      <c r="X66">
        <v>1.341</v>
      </c>
      <c r="Y66">
        <v>0.184</v>
      </c>
      <c r="Z66">
        <v>1.84</v>
      </c>
      <c r="AA66">
        <v>1.3</v>
      </c>
      <c r="AB66">
        <v>13</v>
      </c>
    </row>
    <row r="67" spans="1:28" x14ac:dyDescent="0.25">
      <c r="A67">
        <v>18832651</v>
      </c>
      <c r="B67">
        <v>663875</v>
      </c>
      <c r="C67" t="s">
        <v>388</v>
      </c>
      <c r="E67">
        <v>2090000943962</v>
      </c>
      <c r="H67" t="s">
        <v>726</v>
      </c>
      <c r="I67">
        <v>4</v>
      </c>
      <c r="J67">
        <v>1</v>
      </c>
      <c r="K67">
        <v>4</v>
      </c>
      <c r="L67">
        <v>0.248</v>
      </c>
      <c r="M67">
        <v>0.223</v>
      </c>
      <c r="N67">
        <v>0.496</v>
      </c>
      <c r="O67">
        <v>1.984</v>
      </c>
      <c r="P67">
        <v>1.17</v>
      </c>
      <c r="Q67">
        <v>4.68</v>
      </c>
      <c r="S67" t="s">
        <v>755</v>
      </c>
      <c r="T67">
        <v>1</v>
      </c>
      <c r="U67">
        <v>3</v>
      </c>
      <c r="V67">
        <v>3</v>
      </c>
      <c r="W67">
        <v>1.7490000000000001</v>
      </c>
      <c r="X67">
        <v>1.5740000000000001</v>
      </c>
      <c r="Y67">
        <v>3.2170000000000001</v>
      </c>
      <c r="Z67">
        <v>9.6509999999999998</v>
      </c>
      <c r="AA67">
        <v>6.48</v>
      </c>
      <c r="AB67">
        <v>19.440000000000001</v>
      </c>
    </row>
    <row r="68" spans="1:28" x14ac:dyDescent="0.25">
      <c r="A68">
        <v>18832651</v>
      </c>
      <c r="B68">
        <v>664011</v>
      </c>
      <c r="C68" t="s">
        <v>389</v>
      </c>
      <c r="H68" t="s">
        <v>696</v>
      </c>
      <c r="I68">
        <v>4</v>
      </c>
      <c r="J68">
        <v>1</v>
      </c>
      <c r="K68">
        <v>4</v>
      </c>
      <c r="L68">
        <v>0.248</v>
      </c>
      <c r="M68">
        <v>0.223</v>
      </c>
      <c r="N68">
        <v>0.42599999999999999</v>
      </c>
      <c r="O68">
        <v>1.704</v>
      </c>
      <c r="P68">
        <v>1.4</v>
      </c>
      <c r="Q68">
        <v>5.6</v>
      </c>
      <c r="S68" t="s">
        <v>756</v>
      </c>
      <c r="T68">
        <v>1</v>
      </c>
      <c r="U68">
        <v>3</v>
      </c>
      <c r="V68">
        <v>3</v>
      </c>
      <c r="W68">
        <v>0.22500000000000001</v>
      </c>
      <c r="X68">
        <v>0.20300000000000001</v>
      </c>
      <c r="Y68">
        <v>1.127</v>
      </c>
      <c r="Z68">
        <v>3.3809999999999998</v>
      </c>
      <c r="AA68">
        <v>1.03</v>
      </c>
      <c r="AB68">
        <v>3.09</v>
      </c>
    </row>
    <row r="69" spans="1:28" x14ac:dyDescent="0.25">
      <c r="A69">
        <v>18832651</v>
      </c>
      <c r="B69">
        <v>380510</v>
      </c>
      <c r="C69" t="s">
        <v>390</v>
      </c>
      <c r="H69" t="s">
        <v>722</v>
      </c>
      <c r="I69">
        <v>4</v>
      </c>
      <c r="J69">
        <v>1</v>
      </c>
      <c r="K69">
        <v>4</v>
      </c>
      <c r="L69">
        <v>0.48399999999999999</v>
      </c>
      <c r="M69">
        <v>0.436</v>
      </c>
      <c r="N69">
        <v>0.84</v>
      </c>
      <c r="O69">
        <v>3.36</v>
      </c>
      <c r="P69">
        <v>1.96</v>
      </c>
      <c r="Q69">
        <v>7.84</v>
      </c>
      <c r="S69" t="s">
        <v>757</v>
      </c>
      <c r="T69">
        <v>9</v>
      </c>
      <c r="U69">
        <v>15</v>
      </c>
      <c r="V69">
        <v>20</v>
      </c>
      <c r="W69">
        <v>14.58</v>
      </c>
      <c r="X69">
        <v>13.122</v>
      </c>
      <c r="Y69">
        <v>10.64</v>
      </c>
      <c r="Z69">
        <v>53.984000000000002</v>
      </c>
      <c r="AA69">
        <v>18.850000000000001</v>
      </c>
      <c r="AB69">
        <v>96.72</v>
      </c>
    </row>
    <row r="70" spans="1:28" x14ac:dyDescent="0.25">
      <c r="A70">
        <v>18832651</v>
      </c>
      <c r="B70">
        <v>361405</v>
      </c>
      <c r="C70" t="s">
        <v>391</v>
      </c>
      <c r="H70" t="s">
        <v>722</v>
      </c>
      <c r="I70">
        <v>1</v>
      </c>
      <c r="J70">
        <v>3</v>
      </c>
      <c r="K70">
        <v>3</v>
      </c>
      <c r="L70">
        <v>0.16800000000000001</v>
      </c>
      <c r="M70">
        <v>0.151</v>
      </c>
      <c r="N70">
        <v>0.41699999999999998</v>
      </c>
      <c r="O70">
        <v>1.2509999999999999</v>
      </c>
      <c r="P70">
        <v>0.79</v>
      </c>
      <c r="Q70">
        <v>2.37</v>
      </c>
      <c r="S70" t="s">
        <v>758</v>
      </c>
      <c r="T70">
        <v>4</v>
      </c>
      <c r="U70">
        <v>5</v>
      </c>
      <c r="V70">
        <v>5</v>
      </c>
      <c r="W70">
        <v>7.4530000000000003</v>
      </c>
      <c r="X70">
        <v>6.7080000000000002</v>
      </c>
      <c r="Y70">
        <v>42.578000000000003</v>
      </c>
      <c r="Z70">
        <v>59.542999999999999</v>
      </c>
      <c r="AA70">
        <v>35.46</v>
      </c>
      <c r="AB70">
        <v>50.36</v>
      </c>
    </row>
    <row r="71" spans="1:28" x14ac:dyDescent="0.25">
      <c r="A71">
        <v>18832651</v>
      </c>
      <c r="B71">
        <v>987061</v>
      </c>
      <c r="C71" t="s">
        <v>392</v>
      </c>
      <c r="H71" t="s">
        <v>727</v>
      </c>
      <c r="I71">
        <v>2</v>
      </c>
      <c r="J71">
        <v>1</v>
      </c>
      <c r="K71">
        <v>2</v>
      </c>
      <c r="L71">
        <v>0.17399999999999999</v>
      </c>
      <c r="M71">
        <v>0.157</v>
      </c>
      <c r="N71">
        <v>0.58799999999999997</v>
      </c>
      <c r="O71">
        <v>1.1759999999999999</v>
      </c>
      <c r="P71">
        <v>1.74</v>
      </c>
      <c r="Q71">
        <v>3.48</v>
      </c>
      <c r="S71" t="s">
        <v>759</v>
      </c>
      <c r="T71">
        <v>12</v>
      </c>
      <c r="U71">
        <v>1</v>
      </c>
      <c r="V71">
        <v>12</v>
      </c>
      <c r="W71">
        <v>0.9</v>
      </c>
      <c r="X71">
        <v>0.81</v>
      </c>
      <c r="Y71">
        <v>0.5</v>
      </c>
      <c r="Z71">
        <v>6</v>
      </c>
      <c r="AA71">
        <v>0.54</v>
      </c>
      <c r="AB71">
        <v>6.48</v>
      </c>
    </row>
    <row r="72" spans="1:28" x14ac:dyDescent="0.25">
      <c r="A72">
        <v>18832651</v>
      </c>
      <c r="B72">
        <v>603405</v>
      </c>
      <c r="C72" t="s">
        <v>393</v>
      </c>
      <c r="H72" t="s">
        <v>728</v>
      </c>
      <c r="I72">
        <v>1</v>
      </c>
      <c r="J72">
        <v>1</v>
      </c>
      <c r="K72">
        <v>1</v>
      </c>
      <c r="L72">
        <v>0.29499999999999998</v>
      </c>
      <c r="M72">
        <v>0.26600000000000001</v>
      </c>
      <c r="N72">
        <v>2.97</v>
      </c>
      <c r="O72">
        <v>2.97</v>
      </c>
      <c r="P72">
        <v>5.8</v>
      </c>
      <c r="Q72">
        <v>5.8</v>
      </c>
      <c r="S72" t="s">
        <v>760</v>
      </c>
      <c r="T72">
        <v>1</v>
      </c>
      <c r="U72">
        <v>3</v>
      </c>
      <c r="V72">
        <v>3</v>
      </c>
      <c r="W72">
        <v>0.75900000000000001</v>
      </c>
      <c r="X72">
        <v>0.68300000000000005</v>
      </c>
      <c r="Y72">
        <v>3.5230000000000001</v>
      </c>
      <c r="Z72">
        <v>10.569000000000001</v>
      </c>
      <c r="AA72">
        <v>1.79</v>
      </c>
      <c r="AB72">
        <v>5.37</v>
      </c>
    </row>
    <row r="73" spans="1:28" x14ac:dyDescent="0.25">
      <c r="A73">
        <v>18832651</v>
      </c>
      <c r="B73">
        <v>986959</v>
      </c>
      <c r="C73" t="s">
        <v>394</v>
      </c>
      <c r="H73" t="s">
        <v>728</v>
      </c>
      <c r="I73">
        <v>1</v>
      </c>
      <c r="J73">
        <v>1</v>
      </c>
      <c r="K73">
        <v>1</v>
      </c>
      <c r="L73">
        <v>0.10299999999999999</v>
      </c>
      <c r="M73">
        <v>9.2999999999999999E-2</v>
      </c>
      <c r="N73">
        <v>1.5329999999999999</v>
      </c>
      <c r="O73">
        <v>1.5329999999999999</v>
      </c>
      <c r="P73">
        <v>11.76</v>
      </c>
      <c r="Q73">
        <v>11.76</v>
      </c>
      <c r="S73" t="s">
        <v>761</v>
      </c>
      <c r="T73">
        <v>1</v>
      </c>
      <c r="U73">
        <v>4</v>
      </c>
      <c r="V73">
        <v>4</v>
      </c>
      <c r="W73">
        <v>3.6120000000000001</v>
      </c>
      <c r="X73">
        <v>3.2509999999999999</v>
      </c>
      <c r="Y73">
        <v>4.9400000000000004</v>
      </c>
      <c r="Z73">
        <v>19.760000000000002</v>
      </c>
      <c r="AA73">
        <v>2.12</v>
      </c>
      <c r="AB73">
        <v>8.48</v>
      </c>
    </row>
    <row r="74" spans="1:28" x14ac:dyDescent="0.25">
      <c r="A74">
        <v>18832651</v>
      </c>
      <c r="B74">
        <v>755783</v>
      </c>
      <c r="C74" t="s">
        <v>395</v>
      </c>
      <c r="H74" t="s">
        <v>723</v>
      </c>
      <c r="I74">
        <v>2</v>
      </c>
      <c r="J74">
        <v>1</v>
      </c>
      <c r="K74">
        <v>2</v>
      </c>
      <c r="L74">
        <v>0.14599999999999999</v>
      </c>
      <c r="M74">
        <v>0.13100000000000001</v>
      </c>
      <c r="N74">
        <v>0.55400000000000005</v>
      </c>
      <c r="O74">
        <v>1.1080000000000001</v>
      </c>
      <c r="P74">
        <v>1.54</v>
      </c>
      <c r="Q74">
        <v>3.08</v>
      </c>
      <c r="S74" t="s">
        <v>762</v>
      </c>
      <c r="T74">
        <v>1</v>
      </c>
      <c r="U74">
        <v>2</v>
      </c>
      <c r="V74">
        <v>2</v>
      </c>
      <c r="W74">
        <v>1.4159999999999999</v>
      </c>
      <c r="X74">
        <v>1.274</v>
      </c>
      <c r="Y74">
        <v>6.8559999999999999</v>
      </c>
      <c r="Z74">
        <v>13.712</v>
      </c>
      <c r="AA74">
        <v>3.34</v>
      </c>
      <c r="AB74">
        <v>6.68</v>
      </c>
    </row>
    <row r="75" spans="1:28" x14ac:dyDescent="0.25">
      <c r="A75">
        <v>18832651</v>
      </c>
      <c r="B75">
        <v>707645</v>
      </c>
      <c r="C75" t="s">
        <v>396</v>
      </c>
      <c r="H75" t="s">
        <v>729</v>
      </c>
      <c r="I75">
        <v>4</v>
      </c>
      <c r="J75">
        <v>1</v>
      </c>
      <c r="K75">
        <v>4</v>
      </c>
      <c r="L75">
        <v>0.86799999999999999</v>
      </c>
      <c r="M75">
        <v>0.78100000000000003</v>
      </c>
      <c r="N75">
        <v>1.84</v>
      </c>
      <c r="O75">
        <v>7.36</v>
      </c>
      <c r="P75">
        <v>2.4</v>
      </c>
      <c r="Q75">
        <v>9.6</v>
      </c>
      <c r="S75" t="s">
        <v>763</v>
      </c>
      <c r="T75">
        <v>1</v>
      </c>
      <c r="U75">
        <v>5</v>
      </c>
      <c r="V75">
        <v>5</v>
      </c>
      <c r="W75">
        <v>4.9000000000000004</v>
      </c>
      <c r="X75">
        <v>4.41</v>
      </c>
      <c r="Y75">
        <v>3.5710000000000002</v>
      </c>
      <c r="Z75">
        <v>17.855</v>
      </c>
      <c r="AA75">
        <v>2.02</v>
      </c>
      <c r="AB75">
        <v>10.1</v>
      </c>
    </row>
    <row r="76" spans="1:28" x14ac:dyDescent="0.25">
      <c r="A76">
        <v>18832651</v>
      </c>
      <c r="B76">
        <v>725821</v>
      </c>
      <c r="C76" t="s">
        <v>398</v>
      </c>
      <c r="H76" t="s">
        <v>730</v>
      </c>
      <c r="I76">
        <v>1</v>
      </c>
      <c r="J76">
        <v>1</v>
      </c>
      <c r="K76">
        <v>1</v>
      </c>
      <c r="L76">
        <v>0.35799999999999998</v>
      </c>
      <c r="M76">
        <v>0.32200000000000001</v>
      </c>
      <c r="N76">
        <v>1.6419999999999999</v>
      </c>
      <c r="O76">
        <v>1.6419999999999999</v>
      </c>
      <c r="P76">
        <v>4.26</v>
      </c>
      <c r="Q76">
        <v>4.26</v>
      </c>
      <c r="S76" t="s">
        <v>764</v>
      </c>
      <c r="T76">
        <v>1</v>
      </c>
      <c r="U76">
        <v>6</v>
      </c>
      <c r="V76">
        <v>6</v>
      </c>
      <c r="W76">
        <v>1.89</v>
      </c>
      <c r="X76">
        <v>1.702</v>
      </c>
      <c r="Y76">
        <v>1.75</v>
      </c>
      <c r="Z76">
        <v>10.5</v>
      </c>
      <c r="AA76">
        <v>3.81</v>
      </c>
      <c r="AB76">
        <v>22.86</v>
      </c>
    </row>
    <row r="77" spans="1:28" x14ac:dyDescent="0.25">
      <c r="A77">
        <v>18832651</v>
      </c>
      <c r="B77">
        <v>750120</v>
      </c>
      <c r="C77" t="s">
        <v>399</v>
      </c>
      <c r="E77">
        <v>2090001128054</v>
      </c>
      <c r="H77" t="s">
        <v>731</v>
      </c>
      <c r="I77">
        <v>5</v>
      </c>
      <c r="J77">
        <v>1</v>
      </c>
      <c r="K77">
        <v>5</v>
      </c>
      <c r="L77">
        <v>0.63500000000000001</v>
      </c>
      <c r="M77">
        <v>0.57199999999999995</v>
      </c>
      <c r="N77">
        <v>0.5</v>
      </c>
      <c r="O77">
        <v>2.5</v>
      </c>
      <c r="P77">
        <v>1.1000000000000001</v>
      </c>
      <c r="Q77">
        <v>5.5</v>
      </c>
      <c r="S77" t="s">
        <v>765</v>
      </c>
      <c r="T77">
        <v>6</v>
      </c>
      <c r="U77">
        <v>1</v>
      </c>
      <c r="V77">
        <v>6</v>
      </c>
      <c r="W77">
        <v>4.1459999999999999</v>
      </c>
      <c r="X77">
        <v>3.7309999999999999</v>
      </c>
      <c r="Y77">
        <v>1.5</v>
      </c>
      <c r="Z77">
        <v>9</v>
      </c>
      <c r="AA77">
        <v>1.28</v>
      </c>
      <c r="AB77">
        <v>7.68</v>
      </c>
    </row>
    <row r="78" spans="1:28" x14ac:dyDescent="0.25">
      <c r="A78">
        <v>18832651</v>
      </c>
      <c r="B78">
        <v>659967</v>
      </c>
      <c r="C78" t="s">
        <v>400</v>
      </c>
      <c r="H78" t="s">
        <v>708</v>
      </c>
      <c r="I78">
        <v>1</v>
      </c>
      <c r="J78">
        <v>2</v>
      </c>
      <c r="K78">
        <v>2</v>
      </c>
      <c r="L78">
        <v>1.2430000000000001</v>
      </c>
      <c r="M78">
        <v>1.119</v>
      </c>
      <c r="N78">
        <v>2.75</v>
      </c>
      <c r="O78">
        <v>5.5</v>
      </c>
      <c r="P78">
        <v>7.4</v>
      </c>
      <c r="Q78">
        <v>14.8</v>
      </c>
      <c r="S78" t="s">
        <v>766</v>
      </c>
      <c r="T78">
        <v>112</v>
      </c>
      <c r="U78">
        <v>18</v>
      </c>
      <c r="V78">
        <v>128</v>
      </c>
      <c r="W78">
        <v>118.67999999999999</v>
      </c>
      <c r="X78">
        <v>106.812</v>
      </c>
      <c r="Y78">
        <v>1.4570000000000001</v>
      </c>
      <c r="Z78">
        <v>86.956000000000003</v>
      </c>
      <c r="AA78">
        <v>1.6099999999999999</v>
      </c>
      <c r="AB78">
        <v>105.64</v>
      </c>
    </row>
    <row r="79" spans="1:28" x14ac:dyDescent="0.25">
      <c r="A79">
        <v>18832651</v>
      </c>
      <c r="B79">
        <v>655050</v>
      </c>
      <c r="C79" t="s">
        <v>401</v>
      </c>
      <c r="H79" t="s">
        <v>711</v>
      </c>
      <c r="I79">
        <v>2</v>
      </c>
      <c r="J79">
        <v>2</v>
      </c>
      <c r="K79">
        <v>4</v>
      </c>
      <c r="L79">
        <v>1.91</v>
      </c>
      <c r="M79">
        <v>1.7190000000000001</v>
      </c>
      <c r="N79">
        <v>5.1660000000000004</v>
      </c>
      <c r="O79">
        <v>20.664000000000001</v>
      </c>
      <c r="P79">
        <v>5.46</v>
      </c>
      <c r="Q79">
        <v>21.84</v>
      </c>
      <c r="S79" t="s">
        <v>767</v>
      </c>
      <c r="T79">
        <v>2</v>
      </c>
      <c r="U79">
        <v>7</v>
      </c>
      <c r="V79">
        <v>7</v>
      </c>
      <c r="W79">
        <v>0.113</v>
      </c>
      <c r="X79">
        <v>0.10200000000000001</v>
      </c>
      <c r="Y79">
        <v>0.14000000000000001</v>
      </c>
      <c r="Z79">
        <v>0.48499999999999999</v>
      </c>
      <c r="AA79">
        <v>4.93</v>
      </c>
      <c r="AB79">
        <v>17.240000000000002</v>
      </c>
    </row>
    <row r="80" spans="1:28" x14ac:dyDescent="0.25">
      <c r="A80">
        <v>18832651</v>
      </c>
      <c r="B80">
        <v>727156</v>
      </c>
      <c r="C80" t="s">
        <v>378</v>
      </c>
      <c r="H80" t="s">
        <v>720</v>
      </c>
      <c r="I80">
        <v>4</v>
      </c>
      <c r="J80">
        <v>1</v>
      </c>
      <c r="K80">
        <v>4</v>
      </c>
      <c r="L80">
        <v>0.7</v>
      </c>
      <c r="M80">
        <v>0.63</v>
      </c>
      <c r="N80">
        <v>0.77200000000000002</v>
      </c>
      <c r="O80">
        <v>3.0880000000000001</v>
      </c>
      <c r="P80">
        <v>1.26</v>
      </c>
      <c r="Q80">
        <v>5.04</v>
      </c>
      <c r="S80" t="s">
        <v>768</v>
      </c>
      <c r="T80">
        <v>8</v>
      </c>
      <c r="U80">
        <v>24</v>
      </c>
      <c r="V80">
        <v>24</v>
      </c>
      <c r="W80">
        <v>0.8829999999999999</v>
      </c>
      <c r="X80">
        <v>0.79600000000000004</v>
      </c>
      <c r="Y80">
        <v>0.74899999999999989</v>
      </c>
      <c r="Z80">
        <v>2.2249999999999996</v>
      </c>
      <c r="AA80">
        <v>23.669999999999998</v>
      </c>
      <c r="AB80">
        <v>70.98</v>
      </c>
    </row>
    <row r="81" spans="1:28" x14ac:dyDescent="0.25">
      <c r="A81">
        <v>18832651</v>
      </c>
      <c r="B81">
        <v>743935</v>
      </c>
      <c r="C81" t="s">
        <v>402</v>
      </c>
      <c r="H81" t="s">
        <v>719</v>
      </c>
      <c r="I81">
        <v>1</v>
      </c>
      <c r="J81">
        <v>2</v>
      </c>
      <c r="K81">
        <v>2</v>
      </c>
      <c r="L81">
        <v>0.108</v>
      </c>
      <c r="M81">
        <v>9.7000000000000003E-2</v>
      </c>
      <c r="N81">
        <v>0.30399999999999999</v>
      </c>
      <c r="O81">
        <v>0.60799999999999998</v>
      </c>
      <c r="P81">
        <v>0.96</v>
      </c>
      <c r="Q81">
        <v>1.92</v>
      </c>
      <c r="S81" t="s">
        <v>769</v>
      </c>
      <c r="T81">
        <v>21</v>
      </c>
      <c r="U81">
        <v>1</v>
      </c>
      <c r="V81">
        <v>21</v>
      </c>
      <c r="W81">
        <v>0.92400000000000004</v>
      </c>
      <c r="X81">
        <v>0.83199999999999996</v>
      </c>
      <c r="Y81">
        <v>0.84299999999999997</v>
      </c>
      <c r="Z81">
        <v>17.702999999999999</v>
      </c>
      <c r="AA81">
        <v>0.39</v>
      </c>
      <c r="AB81">
        <v>8.19</v>
      </c>
    </row>
    <row r="82" spans="1:28" x14ac:dyDescent="0.25">
      <c r="A82">
        <v>18832651</v>
      </c>
      <c r="B82">
        <v>606328</v>
      </c>
      <c r="C82" t="s">
        <v>403</v>
      </c>
      <c r="H82" t="s">
        <v>725</v>
      </c>
      <c r="I82">
        <v>1</v>
      </c>
      <c r="J82">
        <v>1</v>
      </c>
      <c r="K82">
        <v>1</v>
      </c>
      <c r="L82">
        <v>8.5999999999999993E-2</v>
      </c>
      <c r="M82">
        <v>7.6999999999999999E-2</v>
      </c>
      <c r="N82">
        <v>0.48899999999999999</v>
      </c>
      <c r="O82">
        <v>0.48899999999999999</v>
      </c>
      <c r="P82">
        <v>2.88</v>
      </c>
      <c r="Q82">
        <v>2.88</v>
      </c>
      <c r="S82" t="s">
        <v>770</v>
      </c>
      <c r="T82">
        <v>1</v>
      </c>
      <c r="U82">
        <v>8</v>
      </c>
      <c r="V82">
        <v>8</v>
      </c>
      <c r="W82">
        <v>35.200000000000003</v>
      </c>
      <c r="X82">
        <v>31.68</v>
      </c>
      <c r="Y82">
        <v>12</v>
      </c>
      <c r="Z82">
        <v>96</v>
      </c>
      <c r="AA82">
        <v>3.35</v>
      </c>
      <c r="AB82">
        <v>26.8</v>
      </c>
    </row>
    <row r="83" spans="1:28" x14ac:dyDescent="0.25">
      <c r="A83">
        <v>18832651</v>
      </c>
      <c r="B83">
        <v>692488</v>
      </c>
      <c r="C83" t="s">
        <v>404</v>
      </c>
      <c r="E83">
        <v>2090001004433</v>
      </c>
      <c r="H83" t="s">
        <v>732</v>
      </c>
      <c r="I83">
        <v>4</v>
      </c>
      <c r="J83">
        <v>1</v>
      </c>
      <c r="K83">
        <v>4</v>
      </c>
      <c r="L83">
        <v>0.252</v>
      </c>
      <c r="M83">
        <v>0.22700000000000001</v>
      </c>
      <c r="N83">
        <v>0.63800000000000001</v>
      </c>
      <c r="O83">
        <v>2.552</v>
      </c>
      <c r="P83">
        <v>0.82</v>
      </c>
      <c r="Q83">
        <v>3.28</v>
      </c>
      <c r="S83" t="s">
        <v>771</v>
      </c>
      <c r="T83">
        <v>11</v>
      </c>
      <c r="U83">
        <v>5</v>
      </c>
      <c r="V83">
        <v>14</v>
      </c>
      <c r="W83">
        <v>7.58</v>
      </c>
      <c r="X83">
        <v>6.8220000000000001</v>
      </c>
      <c r="Y83">
        <v>5.9779999999999998</v>
      </c>
      <c r="Z83">
        <v>26.18</v>
      </c>
      <c r="AA83">
        <v>3.4299999999999997</v>
      </c>
      <c r="AB83">
        <v>18.16</v>
      </c>
    </row>
    <row r="84" spans="1:28" x14ac:dyDescent="0.25">
      <c r="A84">
        <v>18832651</v>
      </c>
      <c r="B84">
        <v>725798</v>
      </c>
      <c r="C84" t="s">
        <v>405</v>
      </c>
      <c r="H84" t="s">
        <v>730</v>
      </c>
      <c r="I84">
        <v>1</v>
      </c>
      <c r="J84">
        <v>1</v>
      </c>
      <c r="K84">
        <v>1</v>
      </c>
      <c r="L84">
        <v>0.316</v>
      </c>
      <c r="M84">
        <v>0.28399999999999997</v>
      </c>
      <c r="N84">
        <v>1.6419999999999999</v>
      </c>
      <c r="O84">
        <v>1.6419999999999999</v>
      </c>
      <c r="P84">
        <v>4.21</v>
      </c>
      <c r="Q84">
        <v>4.21</v>
      </c>
      <c r="S84" t="s">
        <v>772</v>
      </c>
      <c r="T84">
        <v>2</v>
      </c>
      <c r="U84">
        <v>5</v>
      </c>
      <c r="V84">
        <v>9</v>
      </c>
      <c r="W84">
        <v>23.724</v>
      </c>
      <c r="X84">
        <v>21.350999999999999</v>
      </c>
      <c r="Y84">
        <v>7.84</v>
      </c>
      <c r="Z84">
        <v>43.680000000000007</v>
      </c>
      <c r="AA84">
        <v>4.24</v>
      </c>
      <c r="AB84">
        <v>20.779999999999998</v>
      </c>
    </row>
    <row r="85" spans="1:28" x14ac:dyDescent="0.25">
      <c r="A85">
        <v>18832651</v>
      </c>
      <c r="B85">
        <v>600227</v>
      </c>
      <c r="C85" t="s">
        <v>406</v>
      </c>
      <c r="H85" t="s">
        <v>733</v>
      </c>
      <c r="I85">
        <v>1</v>
      </c>
      <c r="J85">
        <v>3</v>
      </c>
      <c r="K85">
        <v>3</v>
      </c>
      <c r="L85">
        <v>0.69199999999999995</v>
      </c>
      <c r="M85">
        <v>0.623</v>
      </c>
      <c r="N85">
        <v>1.5329999999999999</v>
      </c>
      <c r="O85">
        <v>4.5999999999999996</v>
      </c>
      <c r="P85">
        <v>3.5</v>
      </c>
      <c r="Q85">
        <v>10.5</v>
      </c>
      <c r="S85" t="s">
        <v>773</v>
      </c>
      <c r="T85">
        <v>1</v>
      </c>
      <c r="U85">
        <v>1</v>
      </c>
      <c r="V85">
        <v>1</v>
      </c>
      <c r="W85">
        <v>0.83699999999999997</v>
      </c>
      <c r="X85">
        <v>0.753</v>
      </c>
      <c r="Y85">
        <v>12.09</v>
      </c>
      <c r="Z85">
        <v>12.09</v>
      </c>
      <c r="AA85">
        <v>7.57</v>
      </c>
      <c r="AB85">
        <v>7.57</v>
      </c>
    </row>
    <row r="86" spans="1:28" x14ac:dyDescent="0.25">
      <c r="A86">
        <v>18832651</v>
      </c>
      <c r="B86">
        <v>752671</v>
      </c>
      <c r="C86" t="s">
        <v>407</v>
      </c>
      <c r="E86">
        <v>2090001134116</v>
      </c>
      <c r="H86" t="s">
        <v>696</v>
      </c>
      <c r="I86">
        <v>5</v>
      </c>
      <c r="J86">
        <v>1</v>
      </c>
      <c r="K86">
        <v>5</v>
      </c>
      <c r="L86">
        <v>1.325</v>
      </c>
      <c r="M86">
        <v>1.1930000000000001</v>
      </c>
      <c r="N86">
        <v>2.1360000000000001</v>
      </c>
      <c r="O86">
        <v>10.68</v>
      </c>
      <c r="P86">
        <v>2.13</v>
      </c>
      <c r="Q86">
        <v>10.65</v>
      </c>
      <c r="S86" t="s">
        <v>774</v>
      </c>
      <c r="T86">
        <v>1</v>
      </c>
      <c r="U86">
        <v>2</v>
      </c>
      <c r="V86">
        <v>2</v>
      </c>
      <c r="W86">
        <v>0.27600000000000002</v>
      </c>
      <c r="X86">
        <v>0.248</v>
      </c>
      <c r="Y86">
        <v>0.83</v>
      </c>
      <c r="Z86">
        <v>1.66</v>
      </c>
      <c r="AA86">
        <v>1.87</v>
      </c>
      <c r="AB86">
        <v>3.74</v>
      </c>
    </row>
    <row r="87" spans="1:28" x14ac:dyDescent="0.25">
      <c r="A87">
        <v>18832651</v>
      </c>
      <c r="B87">
        <v>683902</v>
      </c>
      <c r="C87" t="s">
        <v>408</v>
      </c>
      <c r="H87" t="s">
        <v>734</v>
      </c>
      <c r="I87">
        <v>1</v>
      </c>
      <c r="J87">
        <v>3</v>
      </c>
      <c r="K87">
        <v>3</v>
      </c>
      <c r="L87">
        <v>0.55200000000000005</v>
      </c>
      <c r="M87">
        <v>0.497</v>
      </c>
      <c r="N87">
        <v>1.3440000000000001</v>
      </c>
      <c r="O87">
        <v>4.032</v>
      </c>
      <c r="P87">
        <v>1.88</v>
      </c>
      <c r="Q87">
        <v>5.64</v>
      </c>
      <c r="S87" t="s">
        <v>775</v>
      </c>
      <c r="T87">
        <v>1</v>
      </c>
      <c r="U87">
        <v>5</v>
      </c>
      <c r="V87">
        <v>5</v>
      </c>
      <c r="W87">
        <v>0.57999999999999996</v>
      </c>
      <c r="X87">
        <v>0.52200000000000002</v>
      </c>
      <c r="Y87">
        <v>0.75600000000000001</v>
      </c>
      <c r="Z87">
        <v>3.78</v>
      </c>
      <c r="AA87">
        <v>1.69</v>
      </c>
      <c r="AB87">
        <v>8.4499999999999993</v>
      </c>
    </row>
    <row r="88" spans="1:28" x14ac:dyDescent="0.25">
      <c r="A88">
        <v>18832651</v>
      </c>
      <c r="B88">
        <v>663873</v>
      </c>
      <c r="C88" t="s">
        <v>409</v>
      </c>
      <c r="E88">
        <v>2090000943955</v>
      </c>
      <c r="H88" t="s">
        <v>735</v>
      </c>
      <c r="I88">
        <v>4</v>
      </c>
      <c r="J88">
        <v>1</v>
      </c>
      <c r="K88">
        <v>4</v>
      </c>
      <c r="L88">
        <v>0.13200000000000001</v>
      </c>
      <c r="M88">
        <v>0.11899999999999999</v>
      </c>
      <c r="N88">
        <v>0.27600000000000002</v>
      </c>
      <c r="O88">
        <v>1.1040000000000001</v>
      </c>
      <c r="P88">
        <v>0.64</v>
      </c>
      <c r="Q88">
        <v>2.56</v>
      </c>
      <c r="S88" t="s">
        <v>776</v>
      </c>
      <c r="T88">
        <v>2</v>
      </c>
      <c r="U88">
        <v>6</v>
      </c>
      <c r="V88">
        <v>6</v>
      </c>
      <c r="W88">
        <v>1.46</v>
      </c>
      <c r="X88">
        <v>1.3140000000000001</v>
      </c>
      <c r="Y88">
        <v>0.876</v>
      </c>
      <c r="Z88">
        <v>2.6739999999999999</v>
      </c>
      <c r="AA88">
        <v>6.91</v>
      </c>
      <c r="AB88">
        <v>23.08</v>
      </c>
    </row>
    <row r="89" spans="1:28" x14ac:dyDescent="0.25">
      <c r="A89">
        <v>18832651</v>
      </c>
      <c r="B89">
        <v>663864</v>
      </c>
      <c r="C89" t="s">
        <v>410</v>
      </c>
      <c r="E89">
        <v>2090000943863</v>
      </c>
      <c r="H89" t="s">
        <v>736</v>
      </c>
      <c r="I89">
        <v>4</v>
      </c>
      <c r="J89">
        <v>1</v>
      </c>
      <c r="K89">
        <v>4</v>
      </c>
      <c r="L89">
        <v>0.108</v>
      </c>
      <c r="M89">
        <v>9.7000000000000003E-2</v>
      </c>
      <c r="N89">
        <v>0.34499999999999997</v>
      </c>
      <c r="O89">
        <v>1.38</v>
      </c>
      <c r="P89">
        <v>0.81</v>
      </c>
      <c r="Q89">
        <v>3.24</v>
      </c>
      <c r="S89" t="s">
        <v>777</v>
      </c>
      <c r="T89">
        <v>2</v>
      </c>
      <c r="U89">
        <v>2</v>
      </c>
      <c r="V89">
        <v>2</v>
      </c>
      <c r="W89">
        <v>3.8520000000000003</v>
      </c>
      <c r="X89">
        <v>3.4660000000000002</v>
      </c>
      <c r="Y89">
        <v>21.234000000000002</v>
      </c>
      <c r="Z89">
        <v>21.234000000000002</v>
      </c>
      <c r="AA89">
        <v>24.299999999999997</v>
      </c>
      <c r="AB89">
        <v>24.299999999999997</v>
      </c>
    </row>
    <row r="90" spans="1:28" x14ac:dyDescent="0.25">
      <c r="A90">
        <v>18832651</v>
      </c>
      <c r="B90">
        <v>659181</v>
      </c>
      <c r="C90" t="s">
        <v>411</v>
      </c>
      <c r="E90">
        <v>2090000925111</v>
      </c>
      <c r="H90" t="s">
        <v>720</v>
      </c>
      <c r="I90">
        <v>10</v>
      </c>
      <c r="J90">
        <v>1</v>
      </c>
      <c r="K90">
        <v>10</v>
      </c>
      <c r="L90">
        <v>1.52</v>
      </c>
      <c r="M90">
        <v>1.3680000000000001</v>
      </c>
      <c r="N90">
        <v>1.5</v>
      </c>
      <c r="O90">
        <v>15</v>
      </c>
      <c r="P90">
        <v>1.88</v>
      </c>
      <c r="Q90">
        <v>18.8</v>
      </c>
      <c r="S90" t="s">
        <v>778</v>
      </c>
      <c r="T90">
        <v>2</v>
      </c>
      <c r="U90">
        <v>2</v>
      </c>
      <c r="V90">
        <v>2</v>
      </c>
      <c r="W90">
        <v>9.23</v>
      </c>
      <c r="X90">
        <v>8.3069999999999986</v>
      </c>
      <c r="Y90">
        <v>72.187999999999988</v>
      </c>
      <c r="Z90">
        <v>72.187999999999988</v>
      </c>
      <c r="AA90">
        <v>133.21</v>
      </c>
      <c r="AB90">
        <v>133.21</v>
      </c>
    </row>
    <row r="91" spans="1:28" x14ac:dyDescent="0.25">
      <c r="A91">
        <v>18832651</v>
      </c>
      <c r="B91">
        <v>725822</v>
      </c>
      <c r="C91" t="s">
        <v>412</v>
      </c>
      <c r="H91" t="s">
        <v>737</v>
      </c>
      <c r="I91">
        <v>1</v>
      </c>
      <c r="J91">
        <v>2</v>
      </c>
      <c r="K91">
        <v>2</v>
      </c>
      <c r="L91">
        <v>0.72</v>
      </c>
      <c r="M91">
        <v>0.64800000000000002</v>
      </c>
      <c r="N91">
        <v>3.2</v>
      </c>
      <c r="O91">
        <v>6.4</v>
      </c>
      <c r="P91">
        <v>4.21</v>
      </c>
      <c r="Q91">
        <v>8.42</v>
      </c>
      <c r="S91" t="s">
        <v>779</v>
      </c>
      <c r="T91">
        <v>10</v>
      </c>
      <c r="U91">
        <v>1</v>
      </c>
      <c r="V91">
        <v>10</v>
      </c>
      <c r="W91">
        <v>2.08</v>
      </c>
      <c r="X91">
        <v>1.8720000000000001</v>
      </c>
      <c r="Y91">
        <v>0.63700000000000001</v>
      </c>
      <c r="Z91">
        <v>6.37</v>
      </c>
      <c r="AA91">
        <v>0.9</v>
      </c>
      <c r="AB91">
        <v>9</v>
      </c>
    </row>
    <row r="92" spans="1:28" x14ac:dyDescent="0.25">
      <c r="A92">
        <v>18832916</v>
      </c>
      <c r="B92">
        <v>1020700</v>
      </c>
      <c r="C92" t="s">
        <v>413</v>
      </c>
      <c r="E92">
        <v>3560237583907</v>
      </c>
      <c r="H92" t="s">
        <v>738</v>
      </c>
      <c r="I92">
        <v>1</v>
      </c>
      <c r="J92">
        <v>1</v>
      </c>
      <c r="K92">
        <v>1</v>
      </c>
      <c r="L92">
        <v>0.86499999999999999</v>
      </c>
      <c r="M92">
        <v>0.77900000000000003</v>
      </c>
      <c r="N92">
        <v>11.22</v>
      </c>
      <c r="O92">
        <v>11.22</v>
      </c>
      <c r="P92">
        <v>5.08</v>
      </c>
      <c r="Q92">
        <v>5.08</v>
      </c>
      <c r="S92" t="s">
        <v>780</v>
      </c>
      <c r="T92">
        <v>2</v>
      </c>
      <c r="U92">
        <v>4</v>
      </c>
      <c r="V92">
        <v>4</v>
      </c>
      <c r="W92">
        <v>1.006</v>
      </c>
      <c r="X92">
        <v>0.90500000000000003</v>
      </c>
      <c r="Y92">
        <v>8.0750000000000011</v>
      </c>
      <c r="Z92">
        <v>16.150000000000002</v>
      </c>
      <c r="AA92">
        <v>6.07</v>
      </c>
      <c r="AB92">
        <v>12.14</v>
      </c>
    </row>
    <row r="93" spans="1:28" x14ac:dyDescent="0.25">
      <c r="A93">
        <v>18832916</v>
      </c>
      <c r="B93">
        <v>682224</v>
      </c>
      <c r="C93" t="s">
        <v>414</v>
      </c>
      <c r="E93">
        <v>2090000979121</v>
      </c>
      <c r="H93" t="s">
        <v>739</v>
      </c>
      <c r="I93">
        <v>1</v>
      </c>
      <c r="J93">
        <v>2</v>
      </c>
      <c r="K93">
        <v>2</v>
      </c>
      <c r="L93">
        <v>0.54</v>
      </c>
      <c r="M93">
        <v>0.48599999999999999</v>
      </c>
      <c r="N93">
        <v>3.2629999999999999</v>
      </c>
      <c r="O93">
        <v>6.5259999999999998</v>
      </c>
      <c r="P93">
        <v>2.11</v>
      </c>
      <c r="Q93">
        <v>4.22</v>
      </c>
      <c r="S93" t="s">
        <v>781</v>
      </c>
      <c r="T93">
        <v>1</v>
      </c>
      <c r="U93">
        <v>3</v>
      </c>
      <c r="V93">
        <v>3</v>
      </c>
      <c r="W93">
        <v>0.19800000000000001</v>
      </c>
      <c r="X93">
        <v>0.17799999999999999</v>
      </c>
      <c r="Y93">
        <v>0.44</v>
      </c>
      <c r="Z93">
        <v>1.32</v>
      </c>
      <c r="AA93">
        <v>1.3</v>
      </c>
      <c r="AB93">
        <v>3.9</v>
      </c>
    </row>
    <row r="94" spans="1:28" x14ac:dyDescent="0.25">
      <c r="A94">
        <v>18832916</v>
      </c>
      <c r="B94">
        <v>949306</v>
      </c>
      <c r="C94" t="s">
        <v>415</v>
      </c>
      <c r="E94">
        <v>5410801113000</v>
      </c>
      <c r="H94" t="s">
        <v>740</v>
      </c>
      <c r="I94">
        <v>1</v>
      </c>
      <c r="J94">
        <v>3</v>
      </c>
      <c r="K94">
        <v>3</v>
      </c>
      <c r="L94">
        <v>0.84</v>
      </c>
      <c r="M94">
        <v>0.75600000000000001</v>
      </c>
      <c r="N94">
        <v>3.645</v>
      </c>
      <c r="O94">
        <v>10.935</v>
      </c>
      <c r="P94">
        <v>3.7</v>
      </c>
      <c r="Q94">
        <v>11.1</v>
      </c>
      <c r="S94" t="s">
        <v>782</v>
      </c>
      <c r="T94">
        <v>1</v>
      </c>
      <c r="U94">
        <v>1</v>
      </c>
      <c r="V94">
        <v>1</v>
      </c>
      <c r="W94">
        <v>0.6</v>
      </c>
      <c r="X94">
        <v>0.54</v>
      </c>
      <c r="Y94">
        <v>5.3159999999999998</v>
      </c>
      <c r="Z94">
        <v>5.3159999999999998</v>
      </c>
      <c r="AA94">
        <v>5.9</v>
      </c>
      <c r="AB94">
        <v>5.9</v>
      </c>
    </row>
    <row r="95" spans="1:28" x14ac:dyDescent="0.25">
      <c r="A95">
        <v>18832916</v>
      </c>
      <c r="B95">
        <v>1001570</v>
      </c>
      <c r="C95" t="s">
        <v>416</v>
      </c>
      <c r="E95">
        <v>3664944388197</v>
      </c>
      <c r="H95" t="s">
        <v>741</v>
      </c>
      <c r="I95">
        <v>1</v>
      </c>
      <c r="J95">
        <v>2</v>
      </c>
      <c r="K95">
        <v>2</v>
      </c>
      <c r="L95">
        <v>0.504</v>
      </c>
      <c r="M95">
        <v>0.45400000000000001</v>
      </c>
      <c r="N95">
        <v>1.2490000000000001</v>
      </c>
      <c r="O95">
        <v>2.4980000000000002</v>
      </c>
      <c r="P95">
        <v>1.37</v>
      </c>
      <c r="Q95">
        <v>2.74</v>
      </c>
      <c r="S95" t="s">
        <v>783</v>
      </c>
      <c r="T95">
        <v>1</v>
      </c>
      <c r="U95">
        <v>1</v>
      </c>
      <c r="V95">
        <v>1</v>
      </c>
      <c r="W95">
        <v>0.45800000000000002</v>
      </c>
      <c r="X95">
        <v>0.41199999999999998</v>
      </c>
      <c r="Y95">
        <v>3.375</v>
      </c>
      <c r="Z95">
        <v>3.375</v>
      </c>
      <c r="AA95">
        <v>1.3</v>
      </c>
      <c r="AB95">
        <v>1.3</v>
      </c>
    </row>
    <row r="96" spans="1:28" x14ac:dyDescent="0.25">
      <c r="A96">
        <v>18832916</v>
      </c>
      <c r="B96">
        <v>708113</v>
      </c>
      <c r="C96" t="s">
        <v>417</v>
      </c>
      <c r="E96">
        <v>5400191808723</v>
      </c>
      <c r="H96" t="s">
        <v>742</v>
      </c>
      <c r="I96">
        <v>1</v>
      </c>
      <c r="J96">
        <v>3</v>
      </c>
      <c r="K96">
        <v>3</v>
      </c>
      <c r="L96">
        <v>3.3180000000000001</v>
      </c>
      <c r="M96">
        <v>2.9860000000000002</v>
      </c>
      <c r="N96">
        <v>2.0569999999999999</v>
      </c>
      <c r="O96">
        <v>6.1710000000000003</v>
      </c>
      <c r="P96">
        <v>3.35</v>
      </c>
      <c r="Q96">
        <v>10.050000000000001</v>
      </c>
      <c r="S96" t="s">
        <v>784</v>
      </c>
      <c r="T96">
        <v>1</v>
      </c>
      <c r="U96">
        <v>2</v>
      </c>
      <c r="V96">
        <v>2</v>
      </c>
      <c r="W96">
        <v>0.63200000000000001</v>
      </c>
      <c r="X96">
        <v>0.56799999999999995</v>
      </c>
      <c r="Y96">
        <v>4.84</v>
      </c>
      <c r="Z96">
        <v>9.68</v>
      </c>
      <c r="AA96">
        <v>3.8</v>
      </c>
      <c r="AB96">
        <v>7.6</v>
      </c>
    </row>
    <row r="97" spans="1:28" x14ac:dyDescent="0.25">
      <c r="A97">
        <v>18832916</v>
      </c>
      <c r="B97">
        <v>986642</v>
      </c>
      <c r="C97" t="s">
        <v>418</v>
      </c>
      <c r="E97">
        <v>5410721515168</v>
      </c>
      <c r="H97" t="s">
        <v>743</v>
      </c>
      <c r="I97">
        <v>16</v>
      </c>
      <c r="J97">
        <v>1</v>
      </c>
      <c r="K97">
        <v>16</v>
      </c>
      <c r="L97">
        <v>1.1200000000000001</v>
      </c>
      <c r="M97">
        <v>1.008</v>
      </c>
      <c r="N97">
        <v>0.58699999999999997</v>
      </c>
      <c r="O97">
        <v>9.3919999999999995</v>
      </c>
      <c r="P97">
        <v>0.63</v>
      </c>
      <c r="Q97">
        <v>10.08</v>
      </c>
      <c r="S97" t="s">
        <v>785</v>
      </c>
      <c r="T97">
        <v>1</v>
      </c>
      <c r="U97">
        <v>1</v>
      </c>
      <c r="V97">
        <v>1</v>
      </c>
      <c r="W97">
        <v>0.17499999999999999</v>
      </c>
      <c r="X97">
        <v>0.158</v>
      </c>
      <c r="Y97">
        <v>0.86199999999999999</v>
      </c>
      <c r="Z97">
        <v>0.86199999999999999</v>
      </c>
      <c r="AA97">
        <v>10.51</v>
      </c>
      <c r="AB97">
        <v>10.51</v>
      </c>
    </row>
    <row r="98" spans="1:28" x14ac:dyDescent="0.25">
      <c r="A98">
        <v>18832916</v>
      </c>
      <c r="B98">
        <v>746305</v>
      </c>
      <c r="C98" t="s">
        <v>419</v>
      </c>
      <c r="E98">
        <v>4023103185975</v>
      </c>
      <c r="H98" t="s">
        <v>744</v>
      </c>
      <c r="I98">
        <v>1</v>
      </c>
      <c r="J98">
        <v>3</v>
      </c>
      <c r="K98">
        <v>3</v>
      </c>
      <c r="L98">
        <v>0.73199999999999998</v>
      </c>
      <c r="M98">
        <v>0.65900000000000003</v>
      </c>
      <c r="N98">
        <v>2.016</v>
      </c>
      <c r="O98">
        <v>6.048</v>
      </c>
      <c r="P98">
        <v>4.6500000000000004</v>
      </c>
      <c r="Q98">
        <v>13.95</v>
      </c>
      <c r="S98" t="s">
        <v>786</v>
      </c>
      <c r="T98">
        <v>9</v>
      </c>
      <c r="U98">
        <v>19</v>
      </c>
      <c r="V98">
        <v>19</v>
      </c>
      <c r="W98">
        <v>13.584</v>
      </c>
      <c r="X98">
        <v>12.226000000000003</v>
      </c>
      <c r="Y98">
        <v>74.037000000000006</v>
      </c>
      <c r="Z98">
        <v>155.50099999999998</v>
      </c>
      <c r="AA98">
        <v>61.31</v>
      </c>
      <c r="AB98">
        <v>123.10999999999999</v>
      </c>
    </row>
    <row r="99" spans="1:28" x14ac:dyDescent="0.25">
      <c r="A99">
        <v>18832916</v>
      </c>
      <c r="B99">
        <v>772930</v>
      </c>
      <c r="C99" t="s">
        <v>420</v>
      </c>
      <c r="E99">
        <v>3563210022288</v>
      </c>
      <c r="H99" t="s">
        <v>745</v>
      </c>
      <c r="I99">
        <v>1</v>
      </c>
      <c r="J99">
        <v>2</v>
      </c>
      <c r="K99">
        <v>2</v>
      </c>
      <c r="L99">
        <v>1.74</v>
      </c>
      <c r="M99">
        <v>1.5660000000000001</v>
      </c>
      <c r="N99">
        <v>1.6659999999999999</v>
      </c>
      <c r="O99">
        <v>3.3319999999999999</v>
      </c>
      <c r="P99">
        <v>2.54</v>
      </c>
      <c r="Q99">
        <v>5.08</v>
      </c>
      <c r="S99" t="s">
        <v>787</v>
      </c>
      <c r="T99">
        <v>94</v>
      </c>
      <c r="U99">
        <v>84</v>
      </c>
      <c r="V99">
        <v>150</v>
      </c>
      <c r="W99">
        <v>128.69899999999998</v>
      </c>
      <c r="X99">
        <v>115.82500000000003</v>
      </c>
      <c r="Y99">
        <v>459.101</v>
      </c>
      <c r="Z99">
        <v>1634.5809999999999</v>
      </c>
      <c r="AA99">
        <v>305.95999999999998</v>
      </c>
      <c r="AB99">
        <v>1197.7599999999995</v>
      </c>
    </row>
    <row r="100" spans="1:28" x14ac:dyDescent="0.25">
      <c r="A100">
        <v>18832916</v>
      </c>
      <c r="B100">
        <v>302565</v>
      </c>
      <c r="C100" t="s">
        <v>421</v>
      </c>
      <c r="E100">
        <v>8710648172022</v>
      </c>
      <c r="H100" t="s">
        <v>746</v>
      </c>
      <c r="I100">
        <v>1</v>
      </c>
      <c r="J100">
        <v>6</v>
      </c>
      <c r="K100">
        <v>6</v>
      </c>
      <c r="L100">
        <v>0.33</v>
      </c>
      <c r="M100">
        <v>0.29699999999999999</v>
      </c>
      <c r="N100">
        <v>0.54500000000000004</v>
      </c>
      <c r="O100">
        <v>3.27</v>
      </c>
      <c r="P100">
        <v>0.59</v>
      </c>
      <c r="Q100">
        <v>3.54</v>
      </c>
      <c r="S100" t="s">
        <v>788</v>
      </c>
      <c r="T100">
        <v>5</v>
      </c>
      <c r="U100">
        <v>6</v>
      </c>
      <c r="V100">
        <v>6</v>
      </c>
      <c r="W100">
        <v>1.645</v>
      </c>
      <c r="X100">
        <v>1.4809999999999999</v>
      </c>
      <c r="Y100">
        <v>12.564</v>
      </c>
      <c r="Z100">
        <v>14.004</v>
      </c>
      <c r="AA100">
        <v>46.26</v>
      </c>
      <c r="AB100">
        <v>51.8</v>
      </c>
    </row>
    <row r="101" spans="1:28" x14ac:dyDescent="0.25">
      <c r="A101">
        <v>18832916</v>
      </c>
      <c r="B101">
        <v>624895</v>
      </c>
      <c r="C101" t="s">
        <v>422</v>
      </c>
      <c r="E101">
        <v>3593290025718</v>
      </c>
      <c r="H101" t="s">
        <v>747</v>
      </c>
      <c r="I101">
        <v>1</v>
      </c>
      <c r="J101">
        <v>2</v>
      </c>
      <c r="K101">
        <v>2</v>
      </c>
      <c r="L101">
        <v>2.306</v>
      </c>
      <c r="M101">
        <v>2.0750000000000002</v>
      </c>
      <c r="N101">
        <v>4.3330000000000002</v>
      </c>
      <c r="O101">
        <v>8.6660000000000004</v>
      </c>
      <c r="P101">
        <v>10.02</v>
      </c>
      <c r="Q101">
        <v>20.04</v>
      </c>
      <c r="S101" t="s">
        <v>789</v>
      </c>
      <c r="T101">
        <v>1</v>
      </c>
      <c r="U101">
        <v>2</v>
      </c>
      <c r="V101">
        <v>2</v>
      </c>
      <c r="W101">
        <v>0.6</v>
      </c>
      <c r="X101">
        <v>0.54</v>
      </c>
      <c r="Y101">
        <v>3.952</v>
      </c>
      <c r="Z101">
        <v>7.9039999999999999</v>
      </c>
      <c r="AA101">
        <v>13.27</v>
      </c>
      <c r="AB101">
        <v>26.54</v>
      </c>
    </row>
    <row r="102" spans="1:28" x14ac:dyDescent="0.25">
      <c r="A102">
        <v>18832916</v>
      </c>
      <c r="B102">
        <v>342217</v>
      </c>
      <c r="C102" t="s">
        <v>424</v>
      </c>
      <c r="E102">
        <v>5400191806583</v>
      </c>
      <c r="H102" t="s">
        <v>742</v>
      </c>
      <c r="I102">
        <v>6</v>
      </c>
      <c r="J102">
        <v>1</v>
      </c>
      <c r="K102">
        <v>6</v>
      </c>
      <c r="L102">
        <v>3.4380000000000002</v>
      </c>
      <c r="M102">
        <v>3.0939999999999999</v>
      </c>
      <c r="N102">
        <v>0.89100000000000001</v>
      </c>
      <c r="O102">
        <v>5.3460000000000001</v>
      </c>
      <c r="P102">
        <v>1.87</v>
      </c>
      <c r="Q102">
        <v>11.22</v>
      </c>
      <c r="S102" t="s">
        <v>790</v>
      </c>
      <c r="T102">
        <v>1</v>
      </c>
      <c r="U102">
        <v>1</v>
      </c>
      <c r="V102">
        <v>1</v>
      </c>
      <c r="W102">
        <v>0.20499999999999999</v>
      </c>
      <c r="X102">
        <v>0.185</v>
      </c>
      <c r="Y102">
        <v>2.64</v>
      </c>
      <c r="Z102">
        <v>2.64</v>
      </c>
      <c r="AA102">
        <v>9.42</v>
      </c>
      <c r="AB102">
        <v>9.42</v>
      </c>
    </row>
    <row r="103" spans="1:28" x14ac:dyDescent="0.25">
      <c r="A103">
        <v>18832916</v>
      </c>
      <c r="B103">
        <v>944588</v>
      </c>
      <c r="C103" t="s">
        <v>425</v>
      </c>
      <c r="E103">
        <v>11381000626</v>
      </c>
      <c r="F103">
        <v>8001133841708</v>
      </c>
      <c r="H103" t="s">
        <v>748</v>
      </c>
      <c r="I103">
        <v>1</v>
      </c>
      <c r="J103">
        <v>5</v>
      </c>
      <c r="K103">
        <v>5</v>
      </c>
      <c r="L103">
        <v>4.25</v>
      </c>
      <c r="M103">
        <v>3.8250000000000002</v>
      </c>
      <c r="N103">
        <v>4.375</v>
      </c>
      <c r="O103">
        <v>21.875</v>
      </c>
      <c r="P103">
        <v>1.99</v>
      </c>
      <c r="Q103">
        <v>9.9499999999999993</v>
      </c>
      <c r="S103" t="s">
        <v>791</v>
      </c>
      <c r="T103">
        <v>6</v>
      </c>
      <c r="U103">
        <v>1</v>
      </c>
      <c r="V103">
        <v>6</v>
      </c>
      <c r="W103">
        <v>1.476</v>
      </c>
      <c r="X103">
        <v>1.3280000000000001</v>
      </c>
      <c r="Y103">
        <v>0.88400000000000001</v>
      </c>
      <c r="Z103">
        <v>5.3040000000000003</v>
      </c>
      <c r="AA103">
        <v>1.34</v>
      </c>
      <c r="AB103">
        <v>8.0399999999999991</v>
      </c>
    </row>
    <row r="104" spans="1:28" x14ac:dyDescent="0.25">
      <c r="A104">
        <v>18832916</v>
      </c>
      <c r="B104">
        <v>943166</v>
      </c>
      <c r="C104" t="s">
        <v>426</v>
      </c>
      <c r="E104">
        <v>3491955565008</v>
      </c>
      <c r="H104" t="s">
        <v>749</v>
      </c>
      <c r="I104">
        <v>1</v>
      </c>
      <c r="J104">
        <v>1</v>
      </c>
      <c r="K104">
        <v>1</v>
      </c>
      <c r="L104">
        <v>0.39</v>
      </c>
      <c r="M104">
        <v>0.35099999999999998</v>
      </c>
      <c r="N104">
        <v>6.1829999999999998</v>
      </c>
      <c r="O104">
        <v>6.1829999999999998</v>
      </c>
      <c r="P104">
        <v>2.38</v>
      </c>
      <c r="Q104">
        <v>2.38</v>
      </c>
      <c r="S104" t="s">
        <v>792</v>
      </c>
      <c r="T104">
        <v>20</v>
      </c>
      <c r="U104">
        <v>1</v>
      </c>
      <c r="V104">
        <v>20</v>
      </c>
      <c r="W104">
        <v>1.34</v>
      </c>
      <c r="X104">
        <v>1.206</v>
      </c>
      <c r="Y104">
        <v>0.22800000000000001</v>
      </c>
      <c r="Z104">
        <v>4.5599999999999996</v>
      </c>
      <c r="AA104">
        <v>0.44</v>
      </c>
      <c r="AB104">
        <v>8.8000000000000007</v>
      </c>
    </row>
    <row r="105" spans="1:28" x14ac:dyDescent="0.25">
      <c r="A105">
        <v>18832916</v>
      </c>
      <c r="B105">
        <v>955600</v>
      </c>
      <c r="C105" t="s">
        <v>427</v>
      </c>
      <c r="E105">
        <v>8004360065022</v>
      </c>
      <c r="H105" t="s">
        <v>750</v>
      </c>
      <c r="I105">
        <v>6</v>
      </c>
      <c r="J105">
        <v>2</v>
      </c>
      <c r="K105">
        <v>12</v>
      </c>
      <c r="L105">
        <v>3.996</v>
      </c>
      <c r="M105">
        <v>3.5960000000000001</v>
      </c>
      <c r="N105">
        <v>0.73599999999999999</v>
      </c>
      <c r="O105">
        <v>8.8320000000000007</v>
      </c>
      <c r="P105">
        <v>1.04</v>
      </c>
      <c r="Q105">
        <v>12.48</v>
      </c>
      <c r="S105" t="s">
        <v>793</v>
      </c>
      <c r="T105">
        <v>115</v>
      </c>
      <c r="U105">
        <v>14</v>
      </c>
      <c r="V105">
        <v>227</v>
      </c>
      <c r="W105">
        <v>30.595999999999997</v>
      </c>
      <c r="X105">
        <v>27.535999999999998</v>
      </c>
      <c r="Y105">
        <v>4.3049999999999997</v>
      </c>
      <c r="Z105">
        <v>149.46299999999997</v>
      </c>
      <c r="AA105">
        <v>4.59</v>
      </c>
      <c r="AB105">
        <v>153.84</v>
      </c>
    </row>
    <row r="106" spans="1:28" x14ac:dyDescent="0.25">
      <c r="A106">
        <v>18832916</v>
      </c>
      <c r="B106">
        <v>919303</v>
      </c>
      <c r="C106" t="s">
        <v>428</v>
      </c>
      <c r="E106">
        <v>8032797730299</v>
      </c>
      <c r="H106" t="s">
        <v>751</v>
      </c>
      <c r="I106">
        <v>1</v>
      </c>
      <c r="J106">
        <v>1</v>
      </c>
      <c r="K106">
        <v>1</v>
      </c>
      <c r="L106">
        <v>0.80300000000000005</v>
      </c>
      <c r="M106">
        <v>0.72299999999999998</v>
      </c>
      <c r="N106">
        <v>10.5</v>
      </c>
      <c r="O106">
        <v>10.5</v>
      </c>
      <c r="P106">
        <v>11.16</v>
      </c>
      <c r="Q106">
        <v>11.16</v>
      </c>
      <c r="S106" t="s">
        <v>794</v>
      </c>
      <c r="T106">
        <v>16</v>
      </c>
      <c r="U106">
        <v>1</v>
      </c>
      <c r="V106">
        <v>16</v>
      </c>
      <c r="W106">
        <v>1.04</v>
      </c>
      <c r="X106">
        <v>0.93600000000000005</v>
      </c>
      <c r="Y106">
        <v>0.111</v>
      </c>
      <c r="Z106">
        <v>1.776</v>
      </c>
      <c r="AA106">
        <v>1.21</v>
      </c>
      <c r="AB106">
        <v>19.36</v>
      </c>
    </row>
    <row r="107" spans="1:28" x14ac:dyDescent="0.25">
      <c r="A107">
        <v>18832916</v>
      </c>
      <c r="B107">
        <v>743974</v>
      </c>
      <c r="C107" t="s">
        <v>429</v>
      </c>
      <c r="E107">
        <v>3560238519424</v>
      </c>
      <c r="H107" t="s">
        <v>739</v>
      </c>
      <c r="I107">
        <v>1</v>
      </c>
      <c r="J107">
        <v>6</v>
      </c>
      <c r="K107">
        <v>6</v>
      </c>
      <c r="L107">
        <v>1.278</v>
      </c>
      <c r="M107">
        <v>1.1499999999999999</v>
      </c>
      <c r="N107">
        <v>1.5289999999999999</v>
      </c>
      <c r="O107">
        <v>9.1739999999999995</v>
      </c>
      <c r="P107">
        <v>2.0299999999999998</v>
      </c>
      <c r="Q107">
        <v>12.18</v>
      </c>
      <c r="S107" t="s">
        <v>795</v>
      </c>
      <c r="T107">
        <v>1</v>
      </c>
      <c r="U107">
        <v>10</v>
      </c>
      <c r="V107">
        <v>10</v>
      </c>
      <c r="W107">
        <v>0.33</v>
      </c>
      <c r="X107">
        <v>0.29699999999999999</v>
      </c>
      <c r="Y107">
        <v>0.16800000000000001</v>
      </c>
      <c r="Z107">
        <v>1.68</v>
      </c>
      <c r="AA107">
        <v>1.4</v>
      </c>
      <c r="AB107">
        <v>14</v>
      </c>
    </row>
    <row r="108" spans="1:28" x14ac:dyDescent="0.25">
      <c r="A108">
        <v>18832916</v>
      </c>
      <c r="B108">
        <v>915281</v>
      </c>
      <c r="C108" t="s">
        <v>430</v>
      </c>
      <c r="E108">
        <v>8711252170251</v>
      </c>
      <c r="H108" t="s">
        <v>739</v>
      </c>
      <c r="I108">
        <v>1</v>
      </c>
      <c r="J108">
        <v>9</v>
      </c>
      <c r="K108">
        <v>9</v>
      </c>
      <c r="L108">
        <v>0.88200000000000001</v>
      </c>
      <c r="M108">
        <v>0.79400000000000004</v>
      </c>
      <c r="N108">
        <v>0.53200000000000003</v>
      </c>
      <c r="O108">
        <v>4.7880000000000003</v>
      </c>
      <c r="P108">
        <v>1.17</v>
      </c>
      <c r="Q108">
        <v>10.53</v>
      </c>
      <c r="S108" t="s">
        <v>796</v>
      </c>
      <c r="T108">
        <v>1</v>
      </c>
      <c r="U108">
        <v>3</v>
      </c>
      <c r="V108">
        <v>3</v>
      </c>
      <c r="W108">
        <v>0.27300000000000002</v>
      </c>
      <c r="X108">
        <v>0.246</v>
      </c>
      <c r="Y108">
        <v>1</v>
      </c>
      <c r="Z108">
        <v>3</v>
      </c>
      <c r="AA108">
        <v>0.89</v>
      </c>
      <c r="AB108">
        <v>2.67</v>
      </c>
    </row>
    <row r="109" spans="1:28" x14ac:dyDescent="0.25">
      <c r="A109">
        <v>18832916</v>
      </c>
      <c r="B109">
        <v>383537</v>
      </c>
      <c r="C109" t="s">
        <v>431</v>
      </c>
      <c r="E109">
        <v>2090000694062</v>
      </c>
      <c r="H109" t="s">
        <v>752</v>
      </c>
      <c r="I109">
        <v>3</v>
      </c>
      <c r="J109">
        <v>1</v>
      </c>
      <c r="K109">
        <v>3</v>
      </c>
      <c r="L109">
        <v>2.5379999999999998</v>
      </c>
      <c r="M109">
        <v>2.2839999999999998</v>
      </c>
      <c r="N109">
        <v>6.02</v>
      </c>
      <c r="O109">
        <v>18.059999999999999</v>
      </c>
      <c r="P109">
        <v>5.42</v>
      </c>
      <c r="Q109">
        <v>16.260000000000002</v>
      </c>
      <c r="S109" t="s">
        <v>797</v>
      </c>
      <c r="T109">
        <v>6</v>
      </c>
      <c r="U109">
        <v>1</v>
      </c>
      <c r="V109">
        <v>6</v>
      </c>
      <c r="W109">
        <v>1.278</v>
      </c>
      <c r="X109">
        <v>1.1499999999999999</v>
      </c>
      <c r="Y109">
        <v>0.504</v>
      </c>
      <c r="Z109">
        <v>3.024</v>
      </c>
      <c r="AA109">
        <v>2.96</v>
      </c>
      <c r="AB109">
        <v>17.760000000000002</v>
      </c>
    </row>
    <row r="110" spans="1:28" x14ac:dyDescent="0.25">
      <c r="A110">
        <v>18832916</v>
      </c>
      <c r="B110">
        <v>1021417</v>
      </c>
      <c r="C110" t="s">
        <v>432</v>
      </c>
      <c r="E110">
        <v>3168430344037</v>
      </c>
      <c r="H110" t="s">
        <v>753</v>
      </c>
      <c r="I110">
        <v>1</v>
      </c>
      <c r="J110">
        <v>2</v>
      </c>
      <c r="K110">
        <v>2</v>
      </c>
      <c r="L110">
        <v>2.7719999999999998</v>
      </c>
      <c r="M110">
        <v>2.4950000000000001</v>
      </c>
      <c r="N110">
        <v>9.25</v>
      </c>
      <c r="O110">
        <v>18.5</v>
      </c>
      <c r="P110">
        <v>21.47</v>
      </c>
      <c r="Q110">
        <v>42.94</v>
      </c>
      <c r="S110" t="s">
        <v>798</v>
      </c>
      <c r="T110">
        <v>1</v>
      </c>
      <c r="U110">
        <v>8</v>
      </c>
      <c r="V110">
        <v>8</v>
      </c>
      <c r="W110">
        <v>0.496</v>
      </c>
      <c r="X110">
        <v>0.44600000000000001</v>
      </c>
      <c r="Y110">
        <v>0.36199999999999999</v>
      </c>
      <c r="Z110">
        <v>2.8959999999999999</v>
      </c>
      <c r="AA110">
        <v>0.7</v>
      </c>
      <c r="AB110">
        <v>5.6</v>
      </c>
    </row>
    <row r="111" spans="1:28" x14ac:dyDescent="0.25">
      <c r="A111">
        <v>18832916</v>
      </c>
      <c r="B111">
        <v>609054</v>
      </c>
      <c r="C111" t="s">
        <v>433</v>
      </c>
      <c r="E111">
        <v>3560239397731</v>
      </c>
      <c r="H111" t="s">
        <v>741</v>
      </c>
      <c r="I111">
        <v>1</v>
      </c>
      <c r="J111">
        <v>3</v>
      </c>
      <c r="K111">
        <v>3</v>
      </c>
      <c r="L111">
        <v>1.6080000000000001</v>
      </c>
      <c r="M111">
        <v>1.4470000000000001</v>
      </c>
      <c r="N111">
        <v>7.02</v>
      </c>
      <c r="O111">
        <v>21.06</v>
      </c>
      <c r="P111">
        <v>2.65</v>
      </c>
      <c r="Q111">
        <v>7.95</v>
      </c>
      <c r="S111" t="s">
        <v>799</v>
      </c>
      <c r="T111">
        <v>10</v>
      </c>
      <c r="U111">
        <v>1</v>
      </c>
      <c r="V111">
        <v>10</v>
      </c>
      <c r="W111">
        <v>4.2</v>
      </c>
      <c r="X111">
        <v>3.78</v>
      </c>
      <c r="Y111">
        <v>0.66</v>
      </c>
      <c r="Z111">
        <v>6.6</v>
      </c>
      <c r="AA111">
        <v>0.77</v>
      </c>
      <c r="AB111">
        <v>7.7</v>
      </c>
    </row>
    <row r="112" spans="1:28" x14ac:dyDescent="0.25">
      <c r="A112">
        <v>18832916</v>
      </c>
      <c r="B112">
        <v>372328</v>
      </c>
      <c r="C112" t="s">
        <v>434</v>
      </c>
      <c r="E112">
        <v>2090000642827</v>
      </c>
      <c r="H112" t="s">
        <v>754</v>
      </c>
      <c r="I112">
        <v>10</v>
      </c>
      <c r="J112">
        <v>1</v>
      </c>
      <c r="K112">
        <v>10</v>
      </c>
      <c r="L112">
        <v>1.49</v>
      </c>
      <c r="M112">
        <v>1.341</v>
      </c>
      <c r="N112">
        <v>0.184</v>
      </c>
      <c r="O112">
        <v>1.84</v>
      </c>
      <c r="P112">
        <v>1.3</v>
      </c>
      <c r="Q112">
        <v>13</v>
      </c>
      <c r="S112" t="s">
        <v>800</v>
      </c>
      <c r="T112">
        <v>1</v>
      </c>
      <c r="U112">
        <v>3</v>
      </c>
      <c r="V112">
        <v>3</v>
      </c>
      <c r="W112">
        <v>0.51</v>
      </c>
      <c r="X112">
        <v>0.45900000000000002</v>
      </c>
      <c r="Y112">
        <v>1.127</v>
      </c>
      <c r="Z112">
        <v>3.3809999999999998</v>
      </c>
      <c r="AA112">
        <v>1.47</v>
      </c>
      <c r="AB112">
        <v>4.41</v>
      </c>
    </row>
    <row r="113" spans="1:28" x14ac:dyDescent="0.25">
      <c r="A113">
        <v>18832916</v>
      </c>
      <c r="B113">
        <v>716998</v>
      </c>
      <c r="C113" t="s">
        <v>435</v>
      </c>
      <c r="E113">
        <v>3491955115005</v>
      </c>
      <c r="H113" t="s">
        <v>739</v>
      </c>
      <c r="I113">
        <v>12</v>
      </c>
      <c r="J113">
        <v>1</v>
      </c>
      <c r="K113">
        <v>12</v>
      </c>
      <c r="L113">
        <v>0.93600000000000005</v>
      </c>
      <c r="M113">
        <v>0.84199999999999997</v>
      </c>
      <c r="N113">
        <v>0.156</v>
      </c>
      <c r="O113">
        <v>1.8720000000000001</v>
      </c>
      <c r="P113">
        <v>0.53</v>
      </c>
      <c r="Q113">
        <v>6.36</v>
      </c>
      <c r="S113" t="s">
        <v>801</v>
      </c>
      <c r="T113">
        <v>13</v>
      </c>
      <c r="U113">
        <v>11</v>
      </c>
      <c r="V113">
        <v>20</v>
      </c>
      <c r="W113">
        <v>18.060000000000002</v>
      </c>
      <c r="X113">
        <v>16.255000000000003</v>
      </c>
      <c r="Y113">
        <v>7.9490000000000007</v>
      </c>
      <c r="Z113">
        <v>49.433999999999997</v>
      </c>
      <c r="AA113">
        <v>8.9</v>
      </c>
      <c r="AB113">
        <v>52.78</v>
      </c>
    </row>
    <row r="114" spans="1:28" x14ac:dyDescent="0.25">
      <c r="A114">
        <v>18832916</v>
      </c>
      <c r="B114">
        <v>969231</v>
      </c>
      <c r="C114" t="s">
        <v>436</v>
      </c>
      <c r="E114">
        <v>5400370127379</v>
      </c>
      <c r="H114" t="s">
        <v>755</v>
      </c>
      <c r="I114">
        <v>1</v>
      </c>
      <c r="J114">
        <v>3</v>
      </c>
      <c r="K114">
        <v>3</v>
      </c>
      <c r="L114">
        <v>1.7490000000000001</v>
      </c>
      <c r="M114">
        <v>1.5740000000000001</v>
      </c>
      <c r="N114">
        <v>3.2170000000000001</v>
      </c>
      <c r="O114">
        <v>9.6509999999999998</v>
      </c>
      <c r="P114">
        <v>6.48</v>
      </c>
      <c r="Q114">
        <v>19.440000000000001</v>
      </c>
      <c r="S114" t="s">
        <v>802</v>
      </c>
      <c r="T114">
        <v>2</v>
      </c>
      <c r="U114">
        <v>5</v>
      </c>
      <c r="V114">
        <v>5</v>
      </c>
      <c r="W114">
        <v>1.24</v>
      </c>
      <c r="X114">
        <v>1.1160000000000001</v>
      </c>
      <c r="Y114">
        <v>4.9770000000000003</v>
      </c>
      <c r="Z114">
        <v>7.8119999999999994</v>
      </c>
      <c r="AA114">
        <v>5.07</v>
      </c>
      <c r="AB114">
        <v>9.629999999999999</v>
      </c>
    </row>
    <row r="115" spans="1:28" x14ac:dyDescent="0.25">
      <c r="A115">
        <v>18832916</v>
      </c>
      <c r="B115">
        <v>905014</v>
      </c>
      <c r="C115" t="s">
        <v>437</v>
      </c>
      <c r="E115">
        <v>8412497168323</v>
      </c>
      <c r="H115" t="s">
        <v>756</v>
      </c>
      <c r="I115">
        <v>1</v>
      </c>
      <c r="J115">
        <v>3</v>
      </c>
      <c r="K115">
        <v>3</v>
      </c>
      <c r="L115">
        <v>0.22500000000000001</v>
      </c>
      <c r="M115">
        <v>0.20300000000000001</v>
      </c>
      <c r="N115">
        <v>1.127</v>
      </c>
      <c r="O115">
        <v>3.3809999999999998</v>
      </c>
      <c r="P115">
        <v>1.03</v>
      </c>
      <c r="Q115">
        <v>3.09</v>
      </c>
      <c r="S115" t="s">
        <v>803</v>
      </c>
      <c r="T115">
        <v>2</v>
      </c>
      <c r="U115">
        <v>3</v>
      </c>
      <c r="V115">
        <v>6</v>
      </c>
      <c r="W115">
        <v>6.423</v>
      </c>
      <c r="X115">
        <v>5.7810000000000006</v>
      </c>
      <c r="Y115">
        <v>4.7320000000000002</v>
      </c>
      <c r="Z115">
        <v>14.196</v>
      </c>
      <c r="AA115">
        <v>10.050000000000001</v>
      </c>
      <c r="AB115">
        <v>30.25</v>
      </c>
    </row>
    <row r="116" spans="1:28" x14ac:dyDescent="0.25">
      <c r="A116">
        <v>18832916</v>
      </c>
      <c r="B116">
        <v>1005294</v>
      </c>
      <c r="C116" t="s">
        <v>438</v>
      </c>
      <c r="E116">
        <v>8412497078516</v>
      </c>
      <c r="H116" t="s">
        <v>757</v>
      </c>
      <c r="I116">
        <v>1</v>
      </c>
      <c r="J116">
        <v>4</v>
      </c>
      <c r="K116">
        <v>4</v>
      </c>
      <c r="L116">
        <v>1.484</v>
      </c>
      <c r="M116">
        <v>1.3360000000000001</v>
      </c>
      <c r="N116">
        <v>1.4279999999999999</v>
      </c>
      <c r="O116">
        <v>5.7119999999999997</v>
      </c>
      <c r="P116">
        <v>2.1</v>
      </c>
      <c r="Q116">
        <v>8.4</v>
      </c>
      <c r="S116" t="s">
        <v>804</v>
      </c>
      <c r="T116">
        <v>1</v>
      </c>
      <c r="U116">
        <v>3</v>
      </c>
      <c r="V116">
        <v>3</v>
      </c>
      <c r="W116">
        <v>2.3340000000000001</v>
      </c>
      <c r="X116">
        <v>2.101</v>
      </c>
      <c r="Y116">
        <v>2.004</v>
      </c>
      <c r="Z116">
        <v>6.0119999999999996</v>
      </c>
      <c r="AA116">
        <v>3.55</v>
      </c>
      <c r="AB116">
        <v>10.65</v>
      </c>
    </row>
    <row r="117" spans="1:28" x14ac:dyDescent="0.25">
      <c r="A117">
        <v>18832916</v>
      </c>
      <c r="B117">
        <v>924601</v>
      </c>
      <c r="C117" t="s">
        <v>439</v>
      </c>
      <c r="E117">
        <v>3664944108559</v>
      </c>
      <c r="H117" t="s">
        <v>741</v>
      </c>
      <c r="I117">
        <v>1</v>
      </c>
      <c r="J117">
        <v>2</v>
      </c>
      <c r="K117">
        <v>2</v>
      </c>
      <c r="L117">
        <v>0.58199999999999996</v>
      </c>
      <c r="M117">
        <v>0.52400000000000002</v>
      </c>
      <c r="N117">
        <v>3.3330000000000002</v>
      </c>
      <c r="O117">
        <v>6.6660000000000004</v>
      </c>
      <c r="P117">
        <v>1.37</v>
      </c>
      <c r="Q117">
        <v>2.74</v>
      </c>
      <c r="S117" t="s">
        <v>805</v>
      </c>
      <c r="T117">
        <v>2</v>
      </c>
      <c r="U117">
        <v>5</v>
      </c>
      <c r="V117">
        <v>5</v>
      </c>
      <c r="W117">
        <v>1.55</v>
      </c>
      <c r="X117">
        <v>1.395</v>
      </c>
      <c r="Y117">
        <v>7.52</v>
      </c>
      <c r="Z117">
        <v>15.84</v>
      </c>
      <c r="AA117">
        <v>4.8500000000000005</v>
      </c>
      <c r="AB117">
        <v>10.52</v>
      </c>
    </row>
    <row r="118" spans="1:28" x14ac:dyDescent="0.25">
      <c r="A118">
        <v>18832916</v>
      </c>
      <c r="B118">
        <v>1005086</v>
      </c>
      <c r="C118" t="s">
        <v>440</v>
      </c>
      <c r="E118">
        <v>3760115718845</v>
      </c>
      <c r="H118" t="s">
        <v>758</v>
      </c>
      <c r="I118">
        <v>1</v>
      </c>
      <c r="J118">
        <v>1</v>
      </c>
      <c r="K118">
        <v>1</v>
      </c>
      <c r="L118">
        <v>0.56000000000000005</v>
      </c>
      <c r="M118">
        <v>0.504</v>
      </c>
      <c r="N118">
        <v>4.5330000000000004</v>
      </c>
      <c r="O118">
        <v>4.5330000000000004</v>
      </c>
      <c r="P118">
        <v>4.7699999999999996</v>
      </c>
      <c r="Q118">
        <v>4.7699999999999996</v>
      </c>
      <c r="S118" t="s">
        <v>806</v>
      </c>
      <c r="T118">
        <v>1</v>
      </c>
      <c r="U118">
        <v>2</v>
      </c>
      <c r="V118">
        <v>2</v>
      </c>
      <c r="W118">
        <v>2.36</v>
      </c>
      <c r="X118">
        <v>2.1240000000000001</v>
      </c>
      <c r="Y118">
        <v>2.08</v>
      </c>
      <c r="Z118">
        <v>4.16</v>
      </c>
      <c r="AA118">
        <v>1.98</v>
      </c>
      <c r="AB118">
        <v>3.96</v>
      </c>
    </row>
    <row r="119" spans="1:28" x14ac:dyDescent="0.25">
      <c r="A119">
        <v>18832916</v>
      </c>
      <c r="B119">
        <v>325306</v>
      </c>
      <c r="C119" t="s">
        <v>441</v>
      </c>
      <c r="E119">
        <v>8429429169013</v>
      </c>
      <c r="H119" t="s">
        <v>759</v>
      </c>
      <c r="I119">
        <v>12</v>
      </c>
      <c r="J119">
        <v>1</v>
      </c>
      <c r="K119">
        <v>12</v>
      </c>
      <c r="L119">
        <v>0.9</v>
      </c>
      <c r="M119">
        <v>0.81</v>
      </c>
      <c r="N119">
        <v>0.5</v>
      </c>
      <c r="O119">
        <v>6</v>
      </c>
      <c r="P119">
        <v>0.54</v>
      </c>
      <c r="Q119">
        <v>6.48</v>
      </c>
      <c r="S119" t="s">
        <v>807</v>
      </c>
      <c r="T119">
        <v>1</v>
      </c>
      <c r="U119">
        <v>3</v>
      </c>
      <c r="V119">
        <v>3</v>
      </c>
      <c r="W119">
        <v>6.3E-2</v>
      </c>
      <c r="X119">
        <v>5.7000000000000002E-2</v>
      </c>
      <c r="Y119">
        <v>5.7000000000000002E-2</v>
      </c>
      <c r="Z119">
        <v>0.17100000000000001</v>
      </c>
      <c r="AA119">
        <v>2.1</v>
      </c>
      <c r="AB119">
        <v>6.3</v>
      </c>
    </row>
    <row r="120" spans="1:28" x14ac:dyDescent="0.25">
      <c r="A120">
        <v>18832916</v>
      </c>
      <c r="B120">
        <v>591111</v>
      </c>
      <c r="C120" t="s">
        <v>442</v>
      </c>
      <c r="E120">
        <v>5701922517304</v>
      </c>
      <c r="H120" t="s">
        <v>760</v>
      </c>
      <c r="I120">
        <v>1</v>
      </c>
      <c r="J120">
        <v>3</v>
      </c>
      <c r="K120">
        <v>3</v>
      </c>
      <c r="L120">
        <v>0.75900000000000001</v>
      </c>
      <c r="M120">
        <v>0.68300000000000005</v>
      </c>
      <c r="N120">
        <v>3.5230000000000001</v>
      </c>
      <c r="O120">
        <v>10.569000000000001</v>
      </c>
      <c r="P120">
        <v>1.79</v>
      </c>
      <c r="Q120">
        <v>5.37</v>
      </c>
      <c r="S120" t="s">
        <v>808</v>
      </c>
      <c r="T120">
        <v>1</v>
      </c>
      <c r="U120">
        <v>3</v>
      </c>
      <c r="V120">
        <v>3</v>
      </c>
      <c r="W120">
        <v>1.764</v>
      </c>
      <c r="X120">
        <v>1.587</v>
      </c>
      <c r="Y120">
        <v>1.155</v>
      </c>
      <c r="Z120">
        <v>3.4649999999999999</v>
      </c>
      <c r="AA120">
        <v>0.85</v>
      </c>
      <c r="AB120">
        <v>2.5499999999999998</v>
      </c>
    </row>
    <row r="121" spans="1:28" x14ac:dyDescent="0.25">
      <c r="A121">
        <v>18832916</v>
      </c>
      <c r="B121">
        <v>714293</v>
      </c>
      <c r="C121" t="s">
        <v>443</v>
      </c>
      <c r="E121">
        <v>3568350160371</v>
      </c>
      <c r="H121" t="s">
        <v>761</v>
      </c>
      <c r="I121">
        <v>1</v>
      </c>
      <c r="J121">
        <v>4</v>
      </c>
      <c r="K121">
        <v>4</v>
      </c>
      <c r="L121">
        <v>3.6120000000000001</v>
      </c>
      <c r="M121">
        <v>3.2509999999999999</v>
      </c>
      <c r="N121">
        <v>4.9400000000000004</v>
      </c>
      <c r="O121">
        <v>19.760000000000002</v>
      </c>
      <c r="P121">
        <v>2.12</v>
      </c>
      <c r="Q121">
        <v>8.48</v>
      </c>
      <c r="S121" t="s">
        <v>809</v>
      </c>
      <c r="T121">
        <v>1</v>
      </c>
      <c r="U121">
        <v>4</v>
      </c>
      <c r="V121">
        <v>4</v>
      </c>
      <c r="W121">
        <v>0.104</v>
      </c>
      <c r="X121">
        <v>9.4E-2</v>
      </c>
      <c r="Y121">
        <v>0.26900000000000002</v>
      </c>
      <c r="Z121">
        <v>1.0760000000000001</v>
      </c>
      <c r="AA121">
        <v>2.1800000000000002</v>
      </c>
      <c r="AB121">
        <v>8.7200000000000006</v>
      </c>
    </row>
    <row r="122" spans="1:28" x14ac:dyDescent="0.25">
      <c r="A122">
        <v>18832916</v>
      </c>
      <c r="B122">
        <v>795657</v>
      </c>
      <c r="C122" t="s">
        <v>444</v>
      </c>
      <c r="E122">
        <v>3664944181606</v>
      </c>
      <c r="H122" t="s">
        <v>739</v>
      </c>
      <c r="I122">
        <v>12</v>
      </c>
      <c r="J122">
        <v>1</v>
      </c>
      <c r="K122">
        <v>12</v>
      </c>
      <c r="L122">
        <v>0.81599999999999995</v>
      </c>
      <c r="M122">
        <v>0.73399999999999999</v>
      </c>
      <c r="N122">
        <v>0.27300000000000002</v>
      </c>
      <c r="O122">
        <v>3.2759999999999998</v>
      </c>
      <c r="P122">
        <v>1.37</v>
      </c>
      <c r="Q122">
        <v>16.440000000000001</v>
      </c>
      <c r="S122" t="s">
        <v>810</v>
      </c>
      <c r="T122">
        <v>1</v>
      </c>
      <c r="U122">
        <v>3</v>
      </c>
      <c r="V122">
        <v>3</v>
      </c>
      <c r="W122">
        <v>0.81</v>
      </c>
      <c r="X122">
        <v>0.72899999999999998</v>
      </c>
      <c r="Y122">
        <v>1.8</v>
      </c>
      <c r="Z122">
        <v>5.4</v>
      </c>
      <c r="AA122">
        <v>1.01</v>
      </c>
      <c r="AB122">
        <v>3.03</v>
      </c>
    </row>
    <row r="123" spans="1:28" x14ac:dyDescent="0.25">
      <c r="A123">
        <v>18832916</v>
      </c>
      <c r="B123">
        <v>682219</v>
      </c>
      <c r="C123" t="s">
        <v>445</v>
      </c>
      <c r="E123">
        <v>2090000979107</v>
      </c>
      <c r="H123" t="s">
        <v>739</v>
      </c>
      <c r="I123">
        <v>1</v>
      </c>
      <c r="J123">
        <v>2</v>
      </c>
      <c r="K123">
        <v>2</v>
      </c>
      <c r="L123">
        <v>0.34599999999999997</v>
      </c>
      <c r="M123">
        <v>0.311</v>
      </c>
      <c r="N123">
        <v>2.1</v>
      </c>
      <c r="O123">
        <v>4.2</v>
      </c>
      <c r="P123">
        <v>1.28</v>
      </c>
      <c r="Q123">
        <v>2.56</v>
      </c>
      <c r="S123" t="s">
        <v>811</v>
      </c>
      <c r="T123">
        <v>24</v>
      </c>
      <c r="U123">
        <v>1</v>
      </c>
      <c r="V123">
        <v>24</v>
      </c>
      <c r="W123">
        <v>2.04</v>
      </c>
      <c r="X123">
        <v>1.8360000000000001</v>
      </c>
      <c r="Y123">
        <v>0.59499999999999997</v>
      </c>
      <c r="Z123">
        <v>14.28</v>
      </c>
      <c r="AA123">
        <v>0.3</v>
      </c>
      <c r="AB123">
        <v>7.2</v>
      </c>
    </row>
    <row r="124" spans="1:28" x14ac:dyDescent="0.25">
      <c r="A124">
        <v>18832916</v>
      </c>
      <c r="B124">
        <v>745986</v>
      </c>
      <c r="C124" t="s">
        <v>446</v>
      </c>
      <c r="E124">
        <v>3560239229735</v>
      </c>
      <c r="H124" t="s">
        <v>741</v>
      </c>
      <c r="I124">
        <v>1</v>
      </c>
      <c r="J124">
        <v>2</v>
      </c>
      <c r="K124">
        <v>2</v>
      </c>
      <c r="L124">
        <v>1.4059999999999999</v>
      </c>
      <c r="M124">
        <v>1.2649999999999999</v>
      </c>
      <c r="N124">
        <v>4.2</v>
      </c>
      <c r="O124">
        <v>8.4</v>
      </c>
      <c r="P124">
        <v>3.75</v>
      </c>
      <c r="Q124">
        <v>7.5</v>
      </c>
      <c r="S124" t="s">
        <v>812</v>
      </c>
      <c r="T124">
        <v>1</v>
      </c>
      <c r="U124">
        <v>2</v>
      </c>
      <c r="V124">
        <v>2</v>
      </c>
      <c r="W124">
        <v>0.08</v>
      </c>
      <c r="X124">
        <v>7.1999999999999995E-2</v>
      </c>
      <c r="Y124">
        <v>0.23899999999999999</v>
      </c>
      <c r="Z124">
        <v>0.47799999999999998</v>
      </c>
      <c r="AA124">
        <v>1.4</v>
      </c>
      <c r="AB124">
        <v>2.8</v>
      </c>
    </row>
    <row r="125" spans="1:28" x14ac:dyDescent="0.25">
      <c r="A125">
        <v>18832916</v>
      </c>
      <c r="B125">
        <v>940546</v>
      </c>
      <c r="C125" t="s">
        <v>447</v>
      </c>
      <c r="E125">
        <v>3568350101244</v>
      </c>
      <c r="H125" t="s">
        <v>762</v>
      </c>
      <c r="I125">
        <v>1</v>
      </c>
      <c r="J125">
        <v>2</v>
      </c>
      <c r="K125">
        <v>2</v>
      </c>
      <c r="L125">
        <v>1.4159999999999999</v>
      </c>
      <c r="M125">
        <v>1.274</v>
      </c>
      <c r="N125">
        <v>6.8559999999999999</v>
      </c>
      <c r="O125">
        <v>13.712</v>
      </c>
      <c r="P125">
        <v>3.34</v>
      </c>
      <c r="Q125">
        <v>6.68</v>
      </c>
      <c r="S125" t="s">
        <v>813</v>
      </c>
      <c r="T125">
        <v>1</v>
      </c>
      <c r="U125">
        <v>2</v>
      </c>
      <c r="V125">
        <v>2</v>
      </c>
      <c r="W125">
        <v>0.746</v>
      </c>
      <c r="X125">
        <v>0.67100000000000004</v>
      </c>
      <c r="Y125">
        <v>3.0489999999999999</v>
      </c>
      <c r="Z125">
        <v>6.0979999999999999</v>
      </c>
      <c r="AA125">
        <v>2.02</v>
      </c>
      <c r="AB125">
        <v>4.04</v>
      </c>
    </row>
    <row r="126" spans="1:28" x14ac:dyDescent="0.25">
      <c r="A126">
        <v>18832916</v>
      </c>
      <c r="B126">
        <v>943007</v>
      </c>
      <c r="C126" t="s">
        <v>449</v>
      </c>
      <c r="E126">
        <v>8001691575008</v>
      </c>
      <c r="H126" t="s">
        <v>748</v>
      </c>
      <c r="I126">
        <v>1</v>
      </c>
      <c r="J126">
        <v>5</v>
      </c>
      <c r="K126">
        <v>5</v>
      </c>
      <c r="L126">
        <v>3.7650000000000001</v>
      </c>
      <c r="M126">
        <v>3.3889999999999998</v>
      </c>
      <c r="N126">
        <v>2.6179999999999999</v>
      </c>
      <c r="O126">
        <v>13.09</v>
      </c>
      <c r="P126">
        <v>2.74</v>
      </c>
      <c r="Q126">
        <v>13.7</v>
      </c>
      <c r="S126" t="s">
        <v>814</v>
      </c>
      <c r="T126">
        <v>3</v>
      </c>
      <c r="U126">
        <v>3</v>
      </c>
      <c r="V126">
        <v>4</v>
      </c>
      <c r="W126">
        <v>4.9429999999999996</v>
      </c>
      <c r="X126">
        <v>4.4489999999999998</v>
      </c>
      <c r="Y126">
        <v>15.219000000000001</v>
      </c>
      <c r="Z126">
        <v>30.438000000000002</v>
      </c>
      <c r="AA126">
        <v>9.41</v>
      </c>
      <c r="AB126">
        <v>18.82</v>
      </c>
    </row>
    <row r="127" spans="1:28" x14ac:dyDescent="0.25">
      <c r="A127">
        <v>18832916</v>
      </c>
      <c r="B127">
        <v>791844</v>
      </c>
      <c r="C127" t="s">
        <v>450</v>
      </c>
      <c r="E127">
        <v>3353890795066</v>
      </c>
      <c r="F127">
        <v>3491953961666</v>
      </c>
      <c r="H127" t="s">
        <v>763</v>
      </c>
      <c r="I127">
        <v>1</v>
      </c>
      <c r="J127">
        <v>5</v>
      </c>
      <c r="K127">
        <v>5</v>
      </c>
      <c r="L127">
        <v>4.9000000000000004</v>
      </c>
      <c r="M127">
        <v>4.41</v>
      </c>
      <c r="N127">
        <v>3.5710000000000002</v>
      </c>
      <c r="O127">
        <v>17.855</v>
      </c>
      <c r="P127">
        <v>2.02</v>
      </c>
      <c r="Q127">
        <v>10.1</v>
      </c>
      <c r="S127" t="s">
        <v>815</v>
      </c>
      <c r="T127">
        <v>4</v>
      </c>
      <c r="U127">
        <v>2</v>
      </c>
      <c r="V127">
        <v>4</v>
      </c>
      <c r="W127">
        <v>1.0580000000000001</v>
      </c>
      <c r="X127">
        <v>0.95200000000000007</v>
      </c>
      <c r="Y127">
        <v>5.8659999999999997</v>
      </c>
      <c r="Z127">
        <v>11.731999999999999</v>
      </c>
      <c r="AA127">
        <v>4.99</v>
      </c>
      <c r="AB127">
        <v>9.98</v>
      </c>
    </row>
    <row r="128" spans="1:28" x14ac:dyDescent="0.25">
      <c r="A128">
        <v>18832916</v>
      </c>
      <c r="B128">
        <v>949963</v>
      </c>
      <c r="C128" t="s">
        <v>451</v>
      </c>
      <c r="E128">
        <v>8412497189045</v>
      </c>
      <c r="H128" t="s">
        <v>739</v>
      </c>
      <c r="I128">
        <v>1</v>
      </c>
      <c r="J128">
        <v>2</v>
      </c>
      <c r="K128">
        <v>2</v>
      </c>
      <c r="L128">
        <v>0.15</v>
      </c>
      <c r="M128">
        <v>0.13500000000000001</v>
      </c>
      <c r="N128">
        <v>0.85499999999999998</v>
      </c>
      <c r="O128">
        <v>1.71</v>
      </c>
      <c r="P128">
        <v>1.22</v>
      </c>
      <c r="Q128">
        <v>2.44</v>
      </c>
      <c r="S128" t="s">
        <v>816</v>
      </c>
      <c r="T128">
        <v>1</v>
      </c>
      <c r="U128">
        <v>1</v>
      </c>
      <c r="V128">
        <v>1</v>
      </c>
      <c r="W128">
        <v>0.34699999999999998</v>
      </c>
      <c r="X128">
        <v>0.312</v>
      </c>
      <c r="Y128">
        <v>4.2629999999999999</v>
      </c>
      <c r="Z128">
        <v>4.2629999999999999</v>
      </c>
      <c r="AA128">
        <v>2.61</v>
      </c>
      <c r="AB128">
        <v>2.61</v>
      </c>
    </row>
    <row r="129" spans="1:28" x14ac:dyDescent="0.25">
      <c r="A129">
        <v>18832916</v>
      </c>
      <c r="B129">
        <v>983320</v>
      </c>
      <c r="C129" t="s">
        <v>452</v>
      </c>
      <c r="E129">
        <v>8412497080748</v>
      </c>
      <c r="H129" t="s">
        <v>739</v>
      </c>
      <c r="I129">
        <v>1</v>
      </c>
      <c r="J129">
        <v>2</v>
      </c>
      <c r="K129">
        <v>2</v>
      </c>
      <c r="L129">
        <v>0.22600000000000001</v>
      </c>
      <c r="M129">
        <v>0.20300000000000001</v>
      </c>
      <c r="N129">
        <v>1.8049999999999999</v>
      </c>
      <c r="O129">
        <v>3.61</v>
      </c>
      <c r="P129">
        <v>1.28</v>
      </c>
      <c r="Q129">
        <v>2.56</v>
      </c>
      <c r="S129" t="s">
        <v>817</v>
      </c>
      <c r="T129">
        <v>1</v>
      </c>
      <c r="U129">
        <v>2</v>
      </c>
      <c r="V129">
        <v>2</v>
      </c>
      <c r="W129">
        <v>1.1419999999999999</v>
      </c>
      <c r="X129">
        <v>1.028</v>
      </c>
      <c r="Y129">
        <v>7.3280000000000003</v>
      </c>
      <c r="Z129">
        <v>14.656000000000001</v>
      </c>
      <c r="AA129">
        <v>5.97</v>
      </c>
      <c r="AB129">
        <v>11.94</v>
      </c>
    </row>
    <row r="130" spans="1:28" x14ac:dyDescent="0.25">
      <c r="A130">
        <v>18832916</v>
      </c>
      <c r="B130">
        <v>1022200</v>
      </c>
      <c r="C130" t="s">
        <v>453</v>
      </c>
      <c r="E130">
        <v>3560231617745</v>
      </c>
      <c r="H130" t="s">
        <v>757</v>
      </c>
      <c r="I130">
        <v>1</v>
      </c>
      <c r="J130">
        <v>4</v>
      </c>
      <c r="K130">
        <v>4</v>
      </c>
      <c r="L130">
        <v>4.24</v>
      </c>
      <c r="M130">
        <v>3.8159999999999998</v>
      </c>
      <c r="N130">
        <v>3.5</v>
      </c>
      <c r="O130">
        <v>14</v>
      </c>
      <c r="P130">
        <v>6.09</v>
      </c>
      <c r="Q130">
        <v>24.36</v>
      </c>
      <c r="S130" t="s">
        <v>818</v>
      </c>
      <c r="T130">
        <v>1</v>
      </c>
      <c r="U130">
        <v>2</v>
      </c>
      <c r="V130">
        <v>2</v>
      </c>
      <c r="W130">
        <v>1.94</v>
      </c>
      <c r="X130">
        <v>1.746</v>
      </c>
      <c r="Y130">
        <v>4.9850000000000003</v>
      </c>
      <c r="Z130">
        <v>9.9700000000000006</v>
      </c>
      <c r="AA130">
        <v>3.07</v>
      </c>
      <c r="AB130">
        <v>6.14</v>
      </c>
    </row>
    <row r="131" spans="1:28" x14ac:dyDescent="0.25">
      <c r="A131">
        <v>18832916</v>
      </c>
      <c r="B131">
        <v>1022194</v>
      </c>
      <c r="C131" t="s">
        <v>454</v>
      </c>
      <c r="E131">
        <v>3560231617424</v>
      </c>
      <c r="H131" t="s">
        <v>764</v>
      </c>
      <c r="I131">
        <v>1</v>
      </c>
      <c r="J131">
        <v>6</v>
      </c>
      <c r="K131">
        <v>6</v>
      </c>
      <c r="L131">
        <v>1.89</v>
      </c>
      <c r="M131">
        <v>1.702</v>
      </c>
      <c r="N131">
        <v>1.75</v>
      </c>
      <c r="O131">
        <v>10.5</v>
      </c>
      <c r="P131">
        <v>3.81</v>
      </c>
      <c r="Q131">
        <v>22.86</v>
      </c>
      <c r="S131" t="s">
        <v>819</v>
      </c>
      <c r="T131">
        <v>1</v>
      </c>
      <c r="U131">
        <v>1</v>
      </c>
      <c r="V131">
        <v>1</v>
      </c>
      <c r="W131">
        <v>0.628</v>
      </c>
      <c r="X131">
        <v>0.56499999999999995</v>
      </c>
      <c r="Y131">
        <v>4.32</v>
      </c>
      <c r="Z131">
        <v>4.32</v>
      </c>
      <c r="AA131">
        <v>4.82</v>
      </c>
      <c r="AB131">
        <v>4.82</v>
      </c>
    </row>
    <row r="132" spans="1:28" x14ac:dyDescent="0.25">
      <c r="A132">
        <v>18832916</v>
      </c>
      <c r="B132">
        <v>916099</v>
      </c>
      <c r="C132" t="s">
        <v>455</v>
      </c>
      <c r="E132">
        <v>3491955496104</v>
      </c>
      <c r="H132" t="s">
        <v>765</v>
      </c>
      <c r="I132">
        <v>6</v>
      </c>
      <c r="J132">
        <v>1</v>
      </c>
      <c r="K132">
        <v>6</v>
      </c>
      <c r="L132">
        <v>4.1459999999999999</v>
      </c>
      <c r="M132">
        <v>3.7309999999999999</v>
      </c>
      <c r="N132">
        <v>1.5</v>
      </c>
      <c r="O132">
        <v>9</v>
      </c>
      <c r="P132">
        <v>1.28</v>
      </c>
      <c r="Q132">
        <v>7.68</v>
      </c>
      <c r="S132" t="s">
        <v>820</v>
      </c>
      <c r="T132">
        <v>1</v>
      </c>
      <c r="U132">
        <v>2</v>
      </c>
      <c r="V132">
        <v>2</v>
      </c>
      <c r="W132">
        <v>1.6</v>
      </c>
      <c r="X132">
        <v>1.44</v>
      </c>
      <c r="Y132">
        <v>5.3659999999999997</v>
      </c>
      <c r="Z132">
        <v>10.731999999999999</v>
      </c>
      <c r="AA132">
        <v>6.29</v>
      </c>
      <c r="AB132">
        <v>12.58</v>
      </c>
    </row>
    <row r="133" spans="1:28" x14ac:dyDescent="0.25">
      <c r="A133">
        <v>18832916</v>
      </c>
      <c r="B133">
        <v>643836</v>
      </c>
      <c r="C133" t="s">
        <v>456</v>
      </c>
      <c r="E133">
        <v>3491952740019</v>
      </c>
      <c r="H133" t="s">
        <v>766</v>
      </c>
      <c r="I133">
        <v>12</v>
      </c>
      <c r="J133">
        <v>1</v>
      </c>
      <c r="K133">
        <v>12</v>
      </c>
      <c r="L133">
        <v>10.8</v>
      </c>
      <c r="M133">
        <v>9.7200000000000006</v>
      </c>
      <c r="N133">
        <v>0.78900000000000003</v>
      </c>
      <c r="O133">
        <v>9.468</v>
      </c>
      <c r="P133">
        <v>0.78</v>
      </c>
      <c r="Q133">
        <v>9.36</v>
      </c>
      <c r="S133" t="s">
        <v>821</v>
      </c>
      <c r="T133">
        <v>1</v>
      </c>
      <c r="U133">
        <v>3</v>
      </c>
      <c r="V133">
        <v>3</v>
      </c>
      <c r="W133">
        <v>0.219</v>
      </c>
      <c r="X133">
        <v>0.19700000000000001</v>
      </c>
      <c r="Y133">
        <v>0.9</v>
      </c>
      <c r="Z133">
        <v>2.7</v>
      </c>
      <c r="AA133">
        <v>1.8</v>
      </c>
      <c r="AB133">
        <v>5.4</v>
      </c>
    </row>
    <row r="134" spans="1:28" x14ac:dyDescent="0.25">
      <c r="A134">
        <v>18832916</v>
      </c>
      <c r="B134">
        <v>1022191</v>
      </c>
      <c r="C134" t="s">
        <v>457</v>
      </c>
      <c r="E134">
        <v>3560237578507</v>
      </c>
      <c r="H134" t="s">
        <v>757</v>
      </c>
      <c r="I134">
        <v>1</v>
      </c>
      <c r="J134">
        <v>6</v>
      </c>
      <c r="K134">
        <v>6</v>
      </c>
      <c r="L134">
        <v>4.92</v>
      </c>
      <c r="M134">
        <v>4.4279999999999999</v>
      </c>
      <c r="N134">
        <v>2.8050000000000002</v>
      </c>
      <c r="O134">
        <v>16.829999999999998</v>
      </c>
      <c r="P134">
        <v>5.58</v>
      </c>
      <c r="Q134">
        <v>33.479999999999997</v>
      </c>
      <c r="S134" t="s">
        <v>822</v>
      </c>
      <c r="T134">
        <v>3</v>
      </c>
      <c r="U134">
        <v>9</v>
      </c>
      <c r="V134">
        <v>9</v>
      </c>
      <c r="W134">
        <v>3.6870000000000003</v>
      </c>
      <c r="X134">
        <v>3.3180000000000001</v>
      </c>
      <c r="Y134">
        <v>2.996</v>
      </c>
      <c r="Z134">
        <v>6.8199999999999994</v>
      </c>
      <c r="AA134">
        <v>6.26</v>
      </c>
      <c r="AB134">
        <v>20.91</v>
      </c>
    </row>
    <row r="135" spans="1:28" x14ac:dyDescent="0.25">
      <c r="A135">
        <v>18832916</v>
      </c>
      <c r="B135">
        <v>1022195</v>
      </c>
      <c r="C135" t="s">
        <v>458</v>
      </c>
      <c r="E135">
        <v>3560237544212</v>
      </c>
      <c r="H135" t="s">
        <v>757</v>
      </c>
      <c r="I135">
        <v>6</v>
      </c>
      <c r="J135">
        <v>1</v>
      </c>
      <c r="K135">
        <v>6</v>
      </c>
      <c r="L135">
        <v>3.9359999999999999</v>
      </c>
      <c r="M135">
        <v>3.5419999999999998</v>
      </c>
      <c r="N135">
        <v>2.907</v>
      </c>
      <c r="O135">
        <v>17.442</v>
      </c>
      <c r="P135">
        <v>5.08</v>
      </c>
      <c r="Q135">
        <v>30.48</v>
      </c>
      <c r="S135" t="s">
        <v>823</v>
      </c>
      <c r="T135">
        <v>2</v>
      </c>
      <c r="U135">
        <v>13</v>
      </c>
      <c r="V135">
        <v>13</v>
      </c>
      <c r="W135">
        <v>0.51400000000000001</v>
      </c>
      <c r="X135">
        <v>0.46299999999999997</v>
      </c>
      <c r="Y135">
        <v>1.149</v>
      </c>
      <c r="Z135">
        <v>7.2450000000000001</v>
      </c>
      <c r="AA135">
        <v>1.02</v>
      </c>
      <c r="AB135">
        <v>7.53</v>
      </c>
    </row>
    <row r="136" spans="1:28" x14ac:dyDescent="0.25">
      <c r="A136">
        <v>18832917</v>
      </c>
      <c r="B136">
        <v>775303</v>
      </c>
      <c r="C136" t="s">
        <v>459</v>
      </c>
      <c r="E136">
        <v>3700652901959</v>
      </c>
      <c r="H136" t="s">
        <v>767</v>
      </c>
      <c r="I136">
        <v>1</v>
      </c>
      <c r="J136">
        <v>3</v>
      </c>
      <c r="K136">
        <v>3</v>
      </c>
      <c r="L136">
        <v>6.9000000000000006E-2</v>
      </c>
      <c r="M136">
        <v>6.2E-2</v>
      </c>
      <c r="N136">
        <v>7.4999999999999997E-2</v>
      </c>
      <c r="O136">
        <v>0.22500000000000001</v>
      </c>
      <c r="P136">
        <v>2.48</v>
      </c>
      <c r="Q136">
        <v>7.44</v>
      </c>
      <c r="S136" t="s">
        <v>824</v>
      </c>
      <c r="T136">
        <v>1</v>
      </c>
      <c r="U136">
        <v>4</v>
      </c>
      <c r="V136">
        <v>4</v>
      </c>
      <c r="W136">
        <v>0.53200000000000003</v>
      </c>
      <c r="X136">
        <v>0.47899999999999998</v>
      </c>
      <c r="Y136">
        <v>0.26</v>
      </c>
      <c r="Z136">
        <v>1.04</v>
      </c>
      <c r="AA136">
        <v>0.66</v>
      </c>
      <c r="AB136">
        <v>2.64</v>
      </c>
    </row>
    <row r="137" spans="1:28" x14ac:dyDescent="0.25">
      <c r="A137">
        <v>18832917</v>
      </c>
      <c r="B137">
        <v>1000236</v>
      </c>
      <c r="C137" t="s">
        <v>460</v>
      </c>
      <c r="E137">
        <v>3663159044331</v>
      </c>
      <c r="H137" t="s">
        <v>768</v>
      </c>
      <c r="I137">
        <v>1</v>
      </c>
      <c r="J137">
        <v>2</v>
      </c>
      <c r="K137">
        <v>2</v>
      </c>
      <c r="L137">
        <v>7.3999999999999996E-2</v>
      </c>
      <c r="M137">
        <v>6.7000000000000004E-2</v>
      </c>
      <c r="N137">
        <v>9.5000000000000001E-2</v>
      </c>
      <c r="O137">
        <v>0.19</v>
      </c>
      <c r="P137">
        <v>2.95</v>
      </c>
      <c r="Q137">
        <v>5.9</v>
      </c>
      <c r="S137" t="s">
        <v>825</v>
      </c>
      <c r="T137">
        <v>1</v>
      </c>
      <c r="U137">
        <v>2</v>
      </c>
      <c r="V137">
        <v>7</v>
      </c>
      <c r="W137">
        <v>0.38500000000000001</v>
      </c>
      <c r="X137">
        <v>0.34699999999999998</v>
      </c>
      <c r="Y137">
        <v>0.14199999999999999</v>
      </c>
      <c r="Z137">
        <v>0.99399999999999999</v>
      </c>
      <c r="AA137">
        <v>2.11</v>
      </c>
      <c r="AB137">
        <v>14.77</v>
      </c>
    </row>
    <row r="138" spans="1:28" x14ac:dyDescent="0.25">
      <c r="A138">
        <v>18832917</v>
      </c>
      <c r="B138">
        <v>328206</v>
      </c>
      <c r="C138" t="s">
        <v>461</v>
      </c>
      <c r="E138">
        <v>4046871000059</v>
      </c>
      <c r="F138">
        <v>4046871003661</v>
      </c>
      <c r="H138" t="s">
        <v>769</v>
      </c>
      <c r="I138">
        <v>21</v>
      </c>
      <c r="J138">
        <v>1</v>
      </c>
      <c r="K138">
        <v>21</v>
      </c>
      <c r="L138">
        <v>0.92400000000000004</v>
      </c>
      <c r="M138">
        <v>0.83199999999999996</v>
      </c>
      <c r="N138">
        <v>0.84299999999999997</v>
      </c>
      <c r="O138">
        <v>17.702999999999999</v>
      </c>
      <c r="P138">
        <v>0.39</v>
      </c>
      <c r="Q138">
        <v>8.19</v>
      </c>
      <c r="S138" t="s">
        <v>826</v>
      </c>
      <c r="T138">
        <v>10</v>
      </c>
      <c r="U138">
        <v>1</v>
      </c>
      <c r="V138">
        <v>10</v>
      </c>
      <c r="W138">
        <v>0.36</v>
      </c>
      <c r="X138">
        <v>0.32400000000000001</v>
      </c>
      <c r="Y138">
        <v>6.4000000000000001E-2</v>
      </c>
      <c r="Z138">
        <v>0.64</v>
      </c>
      <c r="AA138">
        <v>0.43</v>
      </c>
      <c r="AB138">
        <v>4.3</v>
      </c>
    </row>
    <row r="139" spans="1:28" x14ac:dyDescent="0.25">
      <c r="A139">
        <v>18832917</v>
      </c>
      <c r="B139">
        <v>923865</v>
      </c>
      <c r="C139" t="s">
        <v>462</v>
      </c>
      <c r="E139">
        <v>4008429130359</v>
      </c>
      <c r="H139" t="s">
        <v>770</v>
      </c>
      <c r="I139">
        <v>1</v>
      </c>
      <c r="J139">
        <v>8</v>
      </c>
      <c r="K139">
        <v>8</v>
      </c>
      <c r="L139">
        <v>35.200000000000003</v>
      </c>
      <c r="M139">
        <v>31.68</v>
      </c>
      <c r="N139">
        <v>12</v>
      </c>
      <c r="O139">
        <v>96</v>
      </c>
      <c r="P139">
        <v>3.35</v>
      </c>
      <c r="Q139">
        <v>26.8</v>
      </c>
      <c r="S139" t="s">
        <v>827</v>
      </c>
      <c r="T139">
        <v>1</v>
      </c>
      <c r="U139">
        <v>2</v>
      </c>
      <c r="V139">
        <v>2</v>
      </c>
      <c r="W139">
        <v>1.1359999999999999</v>
      </c>
      <c r="X139">
        <v>1.022</v>
      </c>
      <c r="Y139">
        <v>0.96</v>
      </c>
      <c r="Z139">
        <v>1.92</v>
      </c>
      <c r="AA139">
        <v>2.3199999999999998</v>
      </c>
      <c r="AB139">
        <v>4.6399999999999997</v>
      </c>
    </row>
    <row r="140" spans="1:28" x14ac:dyDescent="0.25">
      <c r="A140">
        <v>18832917</v>
      </c>
      <c r="B140">
        <v>216677</v>
      </c>
      <c r="C140" t="s">
        <v>463</v>
      </c>
      <c r="E140">
        <v>3166780138818</v>
      </c>
      <c r="H140" t="s">
        <v>771</v>
      </c>
      <c r="I140">
        <v>1</v>
      </c>
      <c r="J140">
        <v>4</v>
      </c>
      <c r="K140">
        <v>4</v>
      </c>
      <c r="L140">
        <v>6.4</v>
      </c>
      <c r="M140">
        <v>5.76</v>
      </c>
      <c r="N140">
        <v>5.6</v>
      </c>
      <c r="O140">
        <v>22.4</v>
      </c>
      <c r="P140">
        <v>2.69</v>
      </c>
      <c r="Q140">
        <v>10.76</v>
      </c>
      <c r="S140" t="s">
        <v>828</v>
      </c>
      <c r="T140">
        <v>5</v>
      </c>
      <c r="U140">
        <v>1</v>
      </c>
      <c r="V140">
        <v>5</v>
      </c>
      <c r="W140">
        <v>0.11</v>
      </c>
      <c r="X140">
        <v>9.9000000000000005E-2</v>
      </c>
      <c r="Y140">
        <v>0.24</v>
      </c>
      <c r="Z140">
        <v>1.2</v>
      </c>
      <c r="AA140">
        <v>1.22</v>
      </c>
      <c r="AB140">
        <v>6.1</v>
      </c>
    </row>
    <row r="141" spans="1:28" x14ac:dyDescent="0.25">
      <c r="A141">
        <v>18832917</v>
      </c>
      <c r="B141">
        <v>773828</v>
      </c>
      <c r="C141" t="s">
        <v>465</v>
      </c>
      <c r="E141">
        <v>3166780054316</v>
      </c>
      <c r="H141" t="s">
        <v>772</v>
      </c>
      <c r="I141">
        <v>1</v>
      </c>
      <c r="J141">
        <v>2</v>
      </c>
      <c r="K141">
        <v>2</v>
      </c>
      <c r="L141">
        <v>1.968</v>
      </c>
      <c r="M141">
        <v>1.7709999999999999</v>
      </c>
      <c r="N141">
        <v>2.2400000000000002</v>
      </c>
      <c r="O141">
        <v>4.4800000000000004</v>
      </c>
      <c r="P141">
        <v>1.78</v>
      </c>
      <c r="Q141">
        <v>3.56</v>
      </c>
      <c r="S141" t="s">
        <v>829</v>
      </c>
      <c r="T141">
        <v>2</v>
      </c>
      <c r="U141">
        <v>4</v>
      </c>
      <c r="V141">
        <v>4</v>
      </c>
      <c r="W141">
        <v>4.6579999999999995</v>
      </c>
      <c r="X141">
        <v>4.1920000000000002</v>
      </c>
      <c r="Y141">
        <v>4.3550000000000004</v>
      </c>
      <c r="Z141">
        <v>8.7100000000000009</v>
      </c>
      <c r="AA141">
        <v>3.95</v>
      </c>
      <c r="AB141">
        <v>7.9</v>
      </c>
    </row>
    <row r="142" spans="1:28" x14ac:dyDescent="0.25">
      <c r="A142">
        <v>18832917</v>
      </c>
      <c r="B142">
        <v>980440</v>
      </c>
      <c r="C142" t="s">
        <v>466</v>
      </c>
      <c r="E142">
        <v>3491955295745</v>
      </c>
      <c r="H142" t="s">
        <v>773</v>
      </c>
      <c r="I142">
        <v>1</v>
      </c>
      <c r="J142">
        <v>1</v>
      </c>
      <c r="K142">
        <v>1</v>
      </c>
      <c r="L142">
        <v>0.83699999999999997</v>
      </c>
      <c r="M142">
        <v>0.753</v>
      </c>
      <c r="N142">
        <v>12.09</v>
      </c>
      <c r="O142">
        <v>12.09</v>
      </c>
      <c r="P142">
        <v>7.57</v>
      </c>
      <c r="Q142">
        <v>7.57</v>
      </c>
      <c r="S142" t="s">
        <v>830</v>
      </c>
      <c r="T142">
        <v>1</v>
      </c>
      <c r="U142">
        <v>2</v>
      </c>
      <c r="V142">
        <v>2</v>
      </c>
      <c r="W142">
        <v>1.732</v>
      </c>
      <c r="X142">
        <v>1.5589999999999999</v>
      </c>
      <c r="Y142">
        <v>1.41</v>
      </c>
      <c r="Z142">
        <v>2.82</v>
      </c>
      <c r="AA142">
        <v>2.4</v>
      </c>
      <c r="AB142">
        <v>4.8</v>
      </c>
    </row>
    <row r="143" spans="1:28" x14ac:dyDescent="0.25">
      <c r="A143">
        <v>18832917</v>
      </c>
      <c r="B143">
        <v>980441</v>
      </c>
      <c r="C143" t="s">
        <v>467</v>
      </c>
      <c r="E143">
        <v>3491954852796</v>
      </c>
      <c r="H143" t="s">
        <v>774</v>
      </c>
      <c r="I143">
        <v>1</v>
      </c>
      <c r="J143">
        <v>2</v>
      </c>
      <c r="K143">
        <v>2</v>
      </c>
      <c r="L143">
        <v>0.27600000000000002</v>
      </c>
      <c r="M143">
        <v>0.248</v>
      </c>
      <c r="N143">
        <v>0.83</v>
      </c>
      <c r="O143">
        <v>1.66</v>
      </c>
      <c r="P143">
        <v>1.87</v>
      </c>
      <c r="Q143">
        <v>3.74</v>
      </c>
      <c r="S143" t="s">
        <v>831</v>
      </c>
      <c r="T143">
        <v>7</v>
      </c>
      <c r="U143">
        <v>15</v>
      </c>
      <c r="V143">
        <v>15</v>
      </c>
      <c r="W143">
        <v>9.3279999999999994</v>
      </c>
      <c r="X143">
        <v>8.3960000000000008</v>
      </c>
      <c r="Y143">
        <v>42.763999999999996</v>
      </c>
      <c r="Z143">
        <v>80.988</v>
      </c>
      <c r="AA143">
        <v>28.189999999999998</v>
      </c>
      <c r="AB143">
        <v>57</v>
      </c>
    </row>
    <row r="144" spans="1:28" x14ac:dyDescent="0.25">
      <c r="A144">
        <v>18832917</v>
      </c>
      <c r="B144">
        <v>942473</v>
      </c>
      <c r="C144" t="s">
        <v>468</v>
      </c>
      <c r="E144">
        <v>3166780060010</v>
      </c>
      <c r="H144" t="s">
        <v>775</v>
      </c>
      <c r="I144">
        <v>1</v>
      </c>
      <c r="J144">
        <v>5</v>
      </c>
      <c r="K144">
        <v>5</v>
      </c>
      <c r="L144">
        <v>0.57999999999999996</v>
      </c>
      <c r="M144">
        <v>0.52200000000000002</v>
      </c>
      <c r="N144">
        <v>0.75600000000000001</v>
      </c>
      <c r="O144">
        <v>3.78</v>
      </c>
      <c r="P144">
        <v>1.69</v>
      </c>
      <c r="Q144">
        <v>8.4499999999999993</v>
      </c>
      <c r="S144" t="s">
        <v>832</v>
      </c>
      <c r="T144">
        <v>10</v>
      </c>
      <c r="U144">
        <v>1</v>
      </c>
      <c r="V144">
        <v>10</v>
      </c>
      <c r="W144">
        <v>0.59</v>
      </c>
      <c r="X144">
        <v>0.53100000000000003</v>
      </c>
      <c r="Y144">
        <v>0.66</v>
      </c>
      <c r="Z144">
        <v>6.6</v>
      </c>
      <c r="AA144">
        <v>1.34</v>
      </c>
      <c r="AB144">
        <v>13.4</v>
      </c>
    </row>
    <row r="145" spans="1:28" x14ac:dyDescent="0.25">
      <c r="A145">
        <v>18832917</v>
      </c>
      <c r="B145">
        <v>1015786</v>
      </c>
      <c r="C145" t="s">
        <v>469</v>
      </c>
      <c r="E145">
        <v>3332590912942</v>
      </c>
      <c r="H145" t="s">
        <v>776</v>
      </c>
      <c r="I145">
        <v>1</v>
      </c>
      <c r="J145">
        <v>2</v>
      </c>
      <c r="K145">
        <v>2</v>
      </c>
      <c r="L145">
        <v>0.376</v>
      </c>
      <c r="M145">
        <v>0.33800000000000002</v>
      </c>
      <c r="N145">
        <v>0.41499999999999998</v>
      </c>
      <c r="O145">
        <v>0.83</v>
      </c>
      <c r="P145">
        <v>2.2799999999999998</v>
      </c>
      <c r="Q145">
        <v>4.5599999999999996</v>
      </c>
      <c r="S145" t="s">
        <v>833</v>
      </c>
      <c r="T145">
        <v>12</v>
      </c>
      <c r="U145">
        <v>15</v>
      </c>
      <c r="V145">
        <v>42</v>
      </c>
      <c r="W145">
        <v>2.452</v>
      </c>
      <c r="X145">
        <v>2.2069999999999999</v>
      </c>
      <c r="Y145">
        <v>2.0379999999999998</v>
      </c>
      <c r="Z145">
        <v>28.984000000000002</v>
      </c>
      <c r="AA145">
        <v>4.0200000000000005</v>
      </c>
      <c r="AB145">
        <v>56.28</v>
      </c>
    </row>
    <row r="146" spans="1:28" x14ac:dyDescent="0.25">
      <c r="A146">
        <v>18832917</v>
      </c>
      <c r="B146">
        <v>372819</v>
      </c>
      <c r="C146" t="s">
        <v>470</v>
      </c>
      <c r="E146">
        <v>5996413181908</v>
      </c>
      <c r="H146" t="s">
        <v>771</v>
      </c>
      <c r="I146">
        <v>10</v>
      </c>
      <c r="J146">
        <v>1</v>
      </c>
      <c r="K146">
        <v>10</v>
      </c>
      <c r="L146">
        <v>1.18</v>
      </c>
      <c r="M146">
        <v>1.0620000000000001</v>
      </c>
      <c r="N146">
        <v>0.378</v>
      </c>
      <c r="O146">
        <v>3.78</v>
      </c>
      <c r="P146">
        <v>0.74</v>
      </c>
      <c r="Q146">
        <v>7.4</v>
      </c>
      <c r="S146" t="s">
        <v>834</v>
      </c>
      <c r="T146">
        <v>7</v>
      </c>
      <c r="U146">
        <v>207</v>
      </c>
      <c r="V146">
        <v>207</v>
      </c>
      <c r="W146">
        <v>21.200999999999997</v>
      </c>
      <c r="X146">
        <v>19.080999999999996</v>
      </c>
      <c r="Y146">
        <v>68.210999999999999</v>
      </c>
      <c r="Z146">
        <v>150.88800000000001</v>
      </c>
      <c r="AA146">
        <v>37.460000000000008</v>
      </c>
      <c r="AB146">
        <v>280.11000000000007</v>
      </c>
    </row>
    <row r="147" spans="1:28" x14ac:dyDescent="0.25">
      <c r="A147">
        <v>18832917</v>
      </c>
      <c r="B147">
        <v>947058</v>
      </c>
      <c r="C147" t="s">
        <v>471</v>
      </c>
      <c r="E147">
        <v>3491955620424</v>
      </c>
      <c r="H147" t="s">
        <v>758</v>
      </c>
      <c r="I147">
        <v>1</v>
      </c>
      <c r="J147">
        <v>1</v>
      </c>
      <c r="K147">
        <v>1</v>
      </c>
      <c r="L147">
        <v>1.1100000000000001</v>
      </c>
      <c r="M147">
        <v>0.999</v>
      </c>
      <c r="N147">
        <v>5.88</v>
      </c>
      <c r="O147">
        <v>5.88</v>
      </c>
      <c r="P147">
        <v>5.16</v>
      </c>
      <c r="Q147">
        <v>5.16</v>
      </c>
      <c r="S147" t="s">
        <v>835</v>
      </c>
      <c r="T147">
        <v>92</v>
      </c>
      <c r="U147">
        <v>55</v>
      </c>
      <c r="V147">
        <v>118</v>
      </c>
      <c r="W147">
        <v>93.309999999999974</v>
      </c>
      <c r="X147">
        <v>83.976000000000013</v>
      </c>
      <c r="Y147">
        <v>353.38</v>
      </c>
      <c r="Z147">
        <v>1518.444</v>
      </c>
      <c r="AA147">
        <v>425.23</v>
      </c>
      <c r="AB147">
        <v>1229.1200000000001</v>
      </c>
    </row>
    <row r="148" spans="1:28" x14ac:dyDescent="0.25">
      <c r="A148">
        <v>18832917</v>
      </c>
      <c r="B148">
        <v>727020</v>
      </c>
      <c r="C148" t="s">
        <v>472</v>
      </c>
      <c r="E148">
        <v>3760115718241</v>
      </c>
      <c r="H148" t="s">
        <v>777</v>
      </c>
      <c r="I148">
        <v>1</v>
      </c>
      <c r="J148">
        <v>1</v>
      </c>
      <c r="K148">
        <v>1</v>
      </c>
      <c r="L148">
        <v>1.3160000000000001</v>
      </c>
      <c r="M148">
        <v>1.1839999999999999</v>
      </c>
      <c r="N148">
        <v>8.58</v>
      </c>
      <c r="O148">
        <v>8.58</v>
      </c>
      <c r="P148">
        <v>9.5299999999999994</v>
      </c>
      <c r="Q148">
        <v>9.5299999999999994</v>
      </c>
      <c r="S148" t="s">
        <v>836</v>
      </c>
      <c r="T148">
        <v>70</v>
      </c>
      <c r="U148">
        <v>62</v>
      </c>
      <c r="V148">
        <v>104</v>
      </c>
      <c r="W148">
        <v>43.747999999999998</v>
      </c>
      <c r="X148">
        <v>39.371999999999993</v>
      </c>
      <c r="Y148">
        <v>187.58800000000002</v>
      </c>
      <c r="Z148">
        <v>644.89800000000002</v>
      </c>
      <c r="AA148">
        <v>215.38</v>
      </c>
      <c r="AB148">
        <v>662.07999999999993</v>
      </c>
    </row>
    <row r="149" spans="1:28" x14ac:dyDescent="0.25">
      <c r="A149">
        <v>18832917</v>
      </c>
      <c r="B149">
        <v>759039</v>
      </c>
      <c r="C149" t="s">
        <v>473</v>
      </c>
      <c r="E149">
        <v>3491955537135</v>
      </c>
      <c r="F149">
        <v>3491954109012</v>
      </c>
      <c r="G149">
        <v>3491955524845</v>
      </c>
      <c r="H149" t="s">
        <v>758</v>
      </c>
      <c r="I149">
        <v>1</v>
      </c>
      <c r="J149">
        <v>1</v>
      </c>
      <c r="K149">
        <v>1</v>
      </c>
      <c r="L149">
        <v>1.7829999999999999</v>
      </c>
      <c r="M149">
        <v>1.605</v>
      </c>
      <c r="N149">
        <v>15.2</v>
      </c>
      <c r="O149">
        <v>15.2</v>
      </c>
      <c r="P149">
        <v>10.63</v>
      </c>
      <c r="Q149">
        <v>10.63</v>
      </c>
      <c r="S149" t="s">
        <v>837</v>
      </c>
      <c r="T149">
        <v>272</v>
      </c>
      <c r="U149">
        <v>85</v>
      </c>
      <c r="V149">
        <v>312</v>
      </c>
      <c r="W149">
        <v>247.03599999999997</v>
      </c>
      <c r="X149">
        <v>222.32799999999995</v>
      </c>
      <c r="Y149">
        <v>925.60299999999972</v>
      </c>
      <c r="Z149">
        <v>3636.4760000000001</v>
      </c>
      <c r="AA149">
        <v>568.93000000000018</v>
      </c>
      <c r="AB149">
        <v>1949.1000000000004</v>
      </c>
    </row>
    <row r="150" spans="1:28" x14ac:dyDescent="0.25">
      <c r="A150">
        <v>18832917</v>
      </c>
      <c r="B150">
        <v>991787</v>
      </c>
      <c r="C150" t="s">
        <v>474</v>
      </c>
      <c r="E150">
        <v>3700342431131</v>
      </c>
      <c r="H150" t="s">
        <v>778</v>
      </c>
      <c r="I150">
        <v>1</v>
      </c>
      <c r="J150">
        <v>1</v>
      </c>
      <c r="K150">
        <v>1</v>
      </c>
      <c r="L150">
        <v>5.77</v>
      </c>
      <c r="M150">
        <v>5.1929999999999996</v>
      </c>
      <c r="N150">
        <v>39.479999999999997</v>
      </c>
      <c r="O150">
        <v>39.479999999999997</v>
      </c>
      <c r="P150">
        <v>112.42</v>
      </c>
      <c r="Q150">
        <v>112.42</v>
      </c>
      <c r="S150" t="s">
        <v>838</v>
      </c>
      <c r="T150">
        <v>247</v>
      </c>
      <c r="U150">
        <v>163</v>
      </c>
      <c r="V150">
        <v>527</v>
      </c>
      <c r="W150">
        <v>106.78399999999999</v>
      </c>
      <c r="X150">
        <v>96.106999999999999</v>
      </c>
      <c r="Y150">
        <v>266.48099999999999</v>
      </c>
      <c r="Z150">
        <v>1453.7030000000002</v>
      </c>
      <c r="AA150">
        <v>250.48000000000002</v>
      </c>
      <c r="AB150">
        <v>1395.73</v>
      </c>
    </row>
    <row r="151" spans="1:28" x14ac:dyDescent="0.25">
      <c r="A151">
        <v>18832917</v>
      </c>
      <c r="B151">
        <v>679607</v>
      </c>
      <c r="C151" t="s">
        <v>475</v>
      </c>
      <c r="E151">
        <v>3760196097594</v>
      </c>
      <c r="H151" t="s">
        <v>777</v>
      </c>
      <c r="I151">
        <v>1</v>
      </c>
      <c r="J151">
        <v>1</v>
      </c>
      <c r="K151">
        <v>1</v>
      </c>
      <c r="L151">
        <v>2.536</v>
      </c>
      <c r="M151">
        <v>2.282</v>
      </c>
      <c r="N151">
        <v>12.654</v>
      </c>
      <c r="O151">
        <v>12.654</v>
      </c>
      <c r="P151">
        <v>14.77</v>
      </c>
      <c r="Q151">
        <v>14.77</v>
      </c>
      <c r="S151" t="s">
        <v>839</v>
      </c>
      <c r="T151">
        <v>110</v>
      </c>
      <c r="U151">
        <v>84</v>
      </c>
      <c r="V151">
        <v>152</v>
      </c>
      <c r="W151">
        <v>84.134</v>
      </c>
      <c r="X151">
        <v>75.724000000000004</v>
      </c>
      <c r="Y151">
        <v>411.58599999999996</v>
      </c>
      <c r="Z151">
        <v>1112.2439999999999</v>
      </c>
      <c r="AA151">
        <v>410.31999999999994</v>
      </c>
      <c r="AB151">
        <v>1071.3400000000001</v>
      </c>
    </row>
    <row r="152" spans="1:28" x14ac:dyDescent="0.25">
      <c r="A152">
        <v>18832917</v>
      </c>
      <c r="B152">
        <v>372257</v>
      </c>
      <c r="C152" t="s">
        <v>476</v>
      </c>
      <c r="E152">
        <v>5412556121248</v>
      </c>
      <c r="H152" t="s">
        <v>779</v>
      </c>
      <c r="I152">
        <v>10</v>
      </c>
      <c r="J152">
        <v>1</v>
      </c>
      <c r="K152">
        <v>10</v>
      </c>
      <c r="L152">
        <v>2.08</v>
      </c>
      <c r="M152">
        <v>1.8720000000000001</v>
      </c>
      <c r="N152">
        <v>0.63700000000000001</v>
      </c>
      <c r="O152">
        <v>6.37</v>
      </c>
      <c r="P152">
        <v>0.9</v>
      </c>
      <c r="Q152">
        <v>9</v>
      </c>
      <c r="S152" t="s">
        <v>840</v>
      </c>
      <c r="T152">
        <v>14</v>
      </c>
      <c r="U152">
        <v>8</v>
      </c>
      <c r="V152">
        <v>28</v>
      </c>
      <c r="W152">
        <v>6.8719999999999999</v>
      </c>
      <c r="X152">
        <v>6.1859999999999999</v>
      </c>
      <c r="Y152">
        <v>13.792</v>
      </c>
      <c r="Z152">
        <v>99.26400000000001</v>
      </c>
      <c r="AA152">
        <v>78.36</v>
      </c>
      <c r="AB152">
        <v>417.91999999999996</v>
      </c>
    </row>
    <row r="153" spans="1:28" x14ac:dyDescent="0.25">
      <c r="A153">
        <v>18832917</v>
      </c>
      <c r="B153">
        <v>995692</v>
      </c>
      <c r="C153" t="s">
        <v>477</v>
      </c>
      <c r="E153">
        <v>5900495919281</v>
      </c>
      <c r="H153" t="s">
        <v>780</v>
      </c>
      <c r="I153">
        <v>1</v>
      </c>
      <c r="J153">
        <v>2</v>
      </c>
      <c r="K153">
        <v>2</v>
      </c>
      <c r="L153">
        <v>0.216</v>
      </c>
      <c r="M153">
        <v>0.19400000000000001</v>
      </c>
      <c r="N153">
        <v>0.93600000000000005</v>
      </c>
      <c r="O153">
        <v>1.8720000000000001</v>
      </c>
      <c r="P153">
        <v>2.94</v>
      </c>
      <c r="Q153">
        <v>5.88</v>
      </c>
      <c r="S153" t="s">
        <v>841</v>
      </c>
      <c r="T153">
        <v>8</v>
      </c>
      <c r="U153">
        <v>30</v>
      </c>
      <c r="V153">
        <v>30</v>
      </c>
      <c r="W153">
        <v>12.47</v>
      </c>
      <c r="X153">
        <v>11.224000000000002</v>
      </c>
      <c r="Y153">
        <v>41.566000000000003</v>
      </c>
      <c r="Z153">
        <v>156.66400000000002</v>
      </c>
      <c r="AA153">
        <v>99.76</v>
      </c>
      <c r="AB153">
        <v>374.1</v>
      </c>
    </row>
    <row r="154" spans="1:28" x14ac:dyDescent="0.25">
      <c r="A154">
        <v>18832917</v>
      </c>
      <c r="B154">
        <v>780262</v>
      </c>
      <c r="C154" t="s">
        <v>478</v>
      </c>
      <c r="E154">
        <v>8711332258954</v>
      </c>
      <c r="H154" t="s">
        <v>781</v>
      </c>
      <c r="I154">
        <v>1</v>
      </c>
      <c r="J154">
        <v>3</v>
      </c>
      <c r="K154">
        <v>3</v>
      </c>
      <c r="L154">
        <v>0.19800000000000001</v>
      </c>
      <c r="M154">
        <v>0.17799999999999999</v>
      </c>
      <c r="N154">
        <v>0.44</v>
      </c>
      <c r="O154">
        <v>1.32</v>
      </c>
      <c r="P154">
        <v>1.3</v>
      </c>
      <c r="Q154">
        <v>3.9</v>
      </c>
      <c r="S154" t="s">
        <v>842</v>
      </c>
      <c r="T154">
        <v>72</v>
      </c>
      <c r="U154">
        <v>2</v>
      </c>
      <c r="V154">
        <v>72</v>
      </c>
      <c r="W154">
        <v>7.992</v>
      </c>
      <c r="X154">
        <v>7.1920000000000002</v>
      </c>
      <c r="Y154">
        <v>2.64</v>
      </c>
      <c r="Z154">
        <v>95.04</v>
      </c>
      <c r="AA154">
        <v>1.52</v>
      </c>
      <c r="AB154">
        <v>54.72</v>
      </c>
    </row>
    <row r="155" spans="1:28" x14ac:dyDescent="0.25">
      <c r="A155">
        <v>18832917</v>
      </c>
      <c r="B155">
        <v>948576</v>
      </c>
      <c r="C155" t="s">
        <v>479</v>
      </c>
      <c r="E155">
        <v>4894367014109</v>
      </c>
      <c r="F155">
        <v>4894367019616</v>
      </c>
      <c r="H155" t="s">
        <v>782</v>
      </c>
      <c r="I155">
        <v>1</v>
      </c>
      <c r="J155">
        <v>1</v>
      </c>
      <c r="K155">
        <v>1</v>
      </c>
      <c r="L155">
        <v>0.6</v>
      </c>
      <c r="M155">
        <v>0.54</v>
      </c>
      <c r="N155">
        <v>5.3159999999999998</v>
      </c>
      <c r="O155">
        <v>5.3159999999999998</v>
      </c>
      <c r="P155">
        <v>5.9</v>
      </c>
      <c r="Q155">
        <v>5.9</v>
      </c>
      <c r="S155" t="s">
        <v>843</v>
      </c>
      <c r="T155">
        <v>410</v>
      </c>
      <c r="U155">
        <v>8</v>
      </c>
      <c r="V155">
        <v>410</v>
      </c>
      <c r="W155">
        <v>47.8</v>
      </c>
      <c r="X155">
        <v>43.02</v>
      </c>
      <c r="Y155">
        <v>10.394</v>
      </c>
      <c r="Z155">
        <v>483.98999999999995</v>
      </c>
      <c r="AA155">
        <v>5.72</v>
      </c>
      <c r="AB155">
        <v>209.5</v>
      </c>
    </row>
    <row r="156" spans="1:28" x14ac:dyDescent="0.25">
      <c r="A156">
        <v>18832917</v>
      </c>
      <c r="B156">
        <v>904753</v>
      </c>
      <c r="C156" t="s">
        <v>480</v>
      </c>
      <c r="E156">
        <v>3491955442217</v>
      </c>
      <c r="H156" t="s">
        <v>783</v>
      </c>
      <c r="I156">
        <v>1</v>
      </c>
      <c r="J156">
        <v>1</v>
      </c>
      <c r="K156">
        <v>1</v>
      </c>
      <c r="L156">
        <v>0.45800000000000002</v>
      </c>
      <c r="M156">
        <v>0.41199999999999998</v>
      </c>
      <c r="N156">
        <v>3.375</v>
      </c>
      <c r="O156">
        <v>3.375</v>
      </c>
      <c r="P156">
        <v>1.3</v>
      </c>
      <c r="Q156">
        <v>1.3</v>
      </c>
      <c r="S156" t="s">
        <v>844</v>
      </c>
      <c r="T156">
        <v>20</v>
      </c>
      <c r="U156">
        <v>2</v>
      </c>
      <c r="V156">
        <v>20</v>
      </c>
      <c r="W156">
        <v>3.32</v>
      </c>
      <c r="X156">
        <v>2.988</v>
      </c>
      <c r="Y156">
        <v>1.2</v>
      </c>
      <c r="Z156">
        <v>12</v>
      </c>
      <c r="AA156">
        <v>0.6</v>
      </c>
      <c r="AB156">
        <v>6</v>
      </c>
    </row>
    <row r="157" spans="1:28" x14ac:dyDescent="0.25">
      <c r="A157">
        <v>18832917</v>
      </c>
      <c r="B157">
        <v>998213</v>
      </c>
      <c r="C157" t="s">
        <v>481</v>
      </c>
      <c r="E157">
        <v>4006942841509</v>
      </c>
      <c r="H157" t="s">
        <v>784</v>
      </c>
      <c r="I157">
        <v>1</v>
      </c>
      <c r="J157">
        <v>2</v>
      </c>
      <c r="K157">
        <v>2</v>
      </c>
      <c r="L157">
        <v>0.63200000000000001</v>
      </c>
      <c r="M157">
        <v>0.56799999999999995</v>
      </c>
      <c r="N157">
        <v>4.84</v>
      </c>
      <c r="O157">
        <v>9.68</v>
      </c>
      <c r="P157">
        <v>3.8</v>
      </c>
      <c r="Q157">
        <v>7.6</v>
      </c>
      <c r="S157" t="s">
        <v>845</v>
      </c>
      <c r="T157">
        <v>122</v>
      </c>
      <c r="U157">
        <v>4</v>
      </c>
      <c r="V157">
        <v>122</v>
      </c>
      <c r="W157">
        <v>33.514000000000003</v>
      </c>
      <c r="X157">
        <v>30.164000000000001</v>
      </c>
      <c r="Y157">
        <v>8.6739999999999995</v>
      </c>
      <c r="Z157">
        <v>200.03200000000001</v>
      </c>
      <c r="AA157">
        <v>3.58</v>
      </c>
      <c r="AB157">
        <v>96.720000000000013</v>
      </c>
    </row>
    <row r="158" spans="1:28" x14ac:dyDescent="0.25">
      <c r="A158">
        <v>18832917</v>
      </c>
      <c r="B158">
        <v>997536</v>
      </c>
      <c r="C158" t="s">
        <v>483</v>
      </c>
      <c r="E158">
        <v>887961993806</v>
      </c>
      <c r="F158">
        <v>887961977776</v>
      </c>
      <c r="H158" t="s">
        <v>785</v>
      </c>
      <c r="I158">
        <v>1</v>
      </c>
      <c r="J158">
        <v>1</v>
      </c>
      <c r="K158">
        <v>1</v>
      </c>
      <c r="L158">
        <v>0.17499999999999999</v>
      </c>
      <c r="M158">
        <v>0.158</v>
      </c>
      <c r="N158">
        <v>0.86199999999999999</v>
      </c>
      <c r="O158">
        <v>0.86199999999999999</v>
      </c>
      <c r="P158">
        <v>10.51</v>
      </c>
      <c r="Q158">
        <v>10.51</v>
      </c>
      <c r="S158" t="s">
        <v>846</v>
      </c>
      <c r="T158">
        <v>20</v>
      </c>
      <c r="U158">
        <v>4</v>
      </c>
      <c r="V158">
        <v>20</v>
      </c>
      <c r="W158">
        <v>3.516</v>
      </c>
      <c r="X158">
        <v>3.1640000000000001</v>
      </c>
      <c r="Y158">
        <v>5.0579999999999998</v>
      </c>
      <c r="Z158">
        <v>23.7</v>
      </c>
      <c r="AA158">
        <v>28.32</v>
      </c>
      <c r="AB158">
        <v>136.4</v>
      </c>
    </row>
    <row r="159" spans="1:28" x14ac:dyDescent="0.25">
      <c r="A159">
        <v>18832917</v>
      </c>
      <c r="B159">
        <v>654443</v>
      </c>
      <c r="C159" t="s">
        <v>485</v>
      </c>
      <c r="E159">
        <v>3417765021053</v>
      </c>
      <c r="H159" t="s">
        <v>786</v>
      </c>
      <c r="I159">
        <v>1</v>
      </c>
      <c r="J159">
        <v>1</v>
      </c>
      <c r="K159">
        <v>1</v>
      </c>
      <c r="L159">
        <v>0.61599999999999999</v>
      </c>
      <c r="M159">
        <v>0.55400000000000005</v>
      </c>
      <c r="N159">
        <v>8.0289999999999999</v>
      </c>
      <c r="O159">
        <v>8.0289999999999999</v>
      </c>
      <c r="P159">
        <v>11.69</v>
      </c>
      <c r="Q159">
        <v>11.69</v>
      </c>
      <c r="S159" t="s">
        <v>847</v>
      </c>
      <c r="T159">
        <v>24</v>
      </c>
      <c r="U159">
        <v>2</v>
      </c>
      <c r="V159">
        <v>24</v>
      </c>
      <c r="W159">
        <v>3.8879999999999999</v>
      </c>
      <c r="X159">
        <v>3.5</v>
      </c>
      <c r="Y159">
        <v>1.3080000000000001</v>
      </c>
      <c r="Z159">
        <v>15.696</v>
      </c>
      <c r="AA159">
        <v>2.7</v>
      </c>
      <c r="AB159">
        <v>32.4</v>
      </c>
    </row>
    <row r="160" spans="1:28" x14ac:dyDescent="0.25">
      <c r="A160">
        <v>18832917</v>
      </c>
      <c r="B160">
        <v>239171</v>
      </c>
      <c r="C160" t="s">
        <v>486</v>
      </c>
      <c r="E160">
        <v>4006592515393</v>
      </c>
      <c r="H160" t="s">
        <v>787</v>
      </c>
      <c r="I160">
        <v>1</v>
      </c>
      <c r="J160">
        <v>1</v>
      </c>
      <c r="K160">
        <v>1</v>
      </c>
      <c r="L160">
        <v>0.46200000000000002</v>
      </c>
      <c r="M160">
        <v>0.41599999999999998</v>
      </c>
      <c r="N160">
        <v>6.3869999999999996</v>
      </c>
      <c r="O160">
        <v>6.3869999999999996</v>
      </c>
      <c r="P160">
        <v>6.01</v>
      </c>
      <c r="Q160">
        <v>6.01</v>
      </c>
      <c r="S160" t="s">
        <v>848</v>
      </c>
      <c r="T160">
        <v>8</v>
      </c>
      <c r="U160">
        <v>2</v>
      </c>
      <c r="V160">
        <v>8</v>
      </c>
      <c r="W160">
        <v>4.96</v>
      </c>
      <c r="X160">
        <v>4.4640000000000004</v>
      </c>
      <c r="Y160">
        <v>3.8719999999999999</v>
      </c>
      <c r="Z160">
        <v>15.488</v>
      </c>
      <c r="AA160">
        <v>22.34</v>
      </c>
      <c r="AB160">
        <v>89.36</v>
      </c>
    </row>
    <row r="161" spans="1:28" x14ac:dyDescent="0.25">
      <c r="A161">
        <v>18832917</v>
      </c>
      <c r="B161">
        <v>975377</v>
      </c>
      <c r="C161" t="s">
        <v>487</v>
      </c>
      <c r="E161">
        <v>5702017161037</v>
      </c>
      <c r="H161" t="s">
        <v>788</v>
      </c>
      <c r="I161">
        <v>1</v>
      </c>
      <c r="J161">
        <v>1</v>
      </c>
      <c r="K161">
        <v>1</v>
      </c>
      <c r="L161">
        <v>0.65</v>
      </c>
      <c r="M161">
        <v>0.58499999999999996</v>
      </c>
      <c r="N161">
        <v>4.8929999999999998</v>
      </c>
      <c r="O161">
        <v>4.8929999999999998</v>
      </c>
      <c r="P161">
        <v>16.059999999999999</v>
      </c>
      <c r="Q161">
        <v>16.059999999999999</v>
      </c>
      <c r="S161" t="s">
        <v>849</v>
      </c>
      <c r="T161">
        <v>12</v>
      </c>
      <c r="U161">
        <v>2</v>
      </c>
      <c r="V161">
        <v>12</v>
      </c>
      <c r="W161">
        <v>2.2200000000000002</v>
      </c>
      <c r="X161">
        <v>1.998</v>
      </c>
      <c r="Y161">
        <v>3.3319999999999999</v>
      </c>
      <c r="Z161">
        <v>19.992000000000001</v>
      </c>
      <c r="AA161">
        <v>10.26</v>
      </c>
      <c r="AB161">
        <v>61.56</v>
      </c>
    </row>
    <row r="162" spans="1:28" x14ac:dyDescent="0.25">
      <c r="A162">
        <v>18832917</v>
      </c>
      <c r="B162">
        <v>953795</v>
      </c>
      <c r="C162" t="s">
        <v>488</v>
      </c>
      <c r="E162">
        <v>4006592007430</v>
      </c>
      <c r="H162" t="s">
        <v>787</v>
      </c>
      <c r="I162">
        <v>1</v>
      </c>
      <c r="J162">
        <v>1</v>
      </c>
      <c r="K162">
        <v>1</v>
      </c>
      <c r="L162">
        <v>0.51700000000000002</v>
      </c>
      <c r="M162">
        <v>0.46500000000000002</v>
      </c>
      <c r="N162">
        <v>6.5</v>
      </c>
      <c r="O162">
        <v>6.5</v>
      </c>
      <c r="P162">
        <v>7.47</v>
      </c>
      <c r="Q162">
        <v>7.47</v>
      </c>
      <c r="S162" t="s">
        <v>850</v>
      </c>
      <c r="T162">
        <v>14</v>
      </c>
      <c r="U162">
        <v>14</v>
      </c>
      <c r="V162">
        <v>24</v>
      </c>
      <c r="W162">
        <v>6.4560000000000004</v>
      </c>
      <c r="X162">
        <v>5.8100000000000005</v>
      </c>
      <c r="Y162">
        <v>4.5519999999999996</v>
      </c>
      <c r="Z162">
        <v>27.312000000000001</v>
      </c>
      <c r="AA162">
        <v>16.88</v>
      </c>
      <c r="AB162">
        <v>101.28</v>
      </c>
    </row>
    <row r="163" spans="1:28" x14ac:dyDescent="0.25">
      <c r="A163">
        <v>18832917</v>
      </c>
      <c r="B163">
        <v>912740</v>
      </c>
      <c r="C163" t="s">
        <v>489</v>
      </c>
      <c r="E163">
        <v>4008789704535</v>
      </c>
      <c r="H163" t="s">
        <v>789</v>
      </c>
      <c r="I163">
        <v>1</v>
      </c>
      <c r="J163">
        <v>2</v>
      </c>
      <c r="K163">
        <v>2</v>
      </c>
      <c r="L163">
        <v>0.6</v>
      </c>
      <c r="M163">
        <v>0.54</v>
      </c>
      <c r="N163">
        <v>3.952</v>
      </c>
      <c r="O163">
        <v>7.9039999999999999</v>
      </c>
      <c r="P163">
        <v>13.27</v>
      </c>
      <c r="Q163">
        <v>26.54</v>
      </c>
      <c r="S163" t="s">
        <v>851</v>
      </c>
      <c r="T163">
        <v>16</v>
      </c>
      <c r="U163">
        <v>26</v>
      </c>
      <c r="V163">
        <v>36</v>
      </c>
      <c r="W163">
        <v>7.8840000000000003</v>
      </c>
      <c r="X163">
        <v>7.0960000000000001</v>
      </c>
      <c r="Y163">
        <v>8.02</v>
      </c>
      <c r="Z163">
        <v>48.120000000000005</v>
      </c>
      <c r="AA163">
        <v>47.58</v>
      </c>
      <c r="AB163">
        <v>285.48</v>
      </c>
    </row>
    <row r="164" spans="1:28" x14ac:dyDescent="0.25">
      <c r="A164">
        <v>18832917</v>
      </c>
      <c r="B164">
        <v>660478</v>
      </c>
      <c r="C164" t="s">
        <v>490</v>
      </c>
      <c r="E164">
        <v>5010993785940</v>
      </c>
      <c r="F164">
        <v>5010994950125</v>
      </c>
      <c r="G164">
        <v>5010994950118</v>
      </c>
      <c r="H164" t="s">
        <v>790</v>
      </c>
      <c r="I164">
        <v>1</v>
      </c>
      <c r="J164">
        <v>1</v>
      </c>
      <c r="K164">
        <v>1</v>
      </c>
      <c r="L164">
        <v>0.20499999999999999</v>
      </c>
      <c r="M164">
        <v>0.185</v>
      </c>
      <c r="N164">
        <v>2.64</v>
      </c>
      <c r="O164">
        <v>2.64</v>
      </c>
      <c r="P164">
        <v>9.42</v>
      </c>
      <c r="Q164">
        <v>9.42</v>
      </c>
      <c r="S164" t="s">
        <v>852</v>
      </c>
      <c r="T164">
        <v>16</v>
      </c>
      <c r="U164">
        <v>26</v>
      </c>
      <c r="V164">
        <v>36</v>
      </c>
      <c r="W164">
        <v>9.4440000000000008</v>
      </c>
      <c r="X164">
        <v>8.5</v>
      </c>
      <c r="Y164">
        <v>10.666</v>
      </c>
      <c r="Z164">
        <v>63.996000000000002</v>
      </c>
      <c r="AA164">
        <v>44.88000000000001</v>
      </c>
      <c r="AB164">
        <v>269.28000000000003</v>
      </c>
    </row>
    <row r="165" spans="1:28" x14ac:dyDescent="0.25">
      <c r="A165">
        <v>18832917</v>
      </c>
      <c r="B165">
        <v>975400</v>
      </c>
      <c r="C165" t="s">
        <v>491</v>
      </c>
      <c r="E165">
        <v>5702017154190</v>
      </c>
      <c r="H165" t="s">
        <v>788</v>
      </c>
      <c r="I165">
        <v>1</v>
      </c>
      <c r="J165">
        <v>2</v>
      </c>
      <c r="K165">
        <v>2</v>
      </c>
      <c r="L165">
        <v>0.3</v>
      </c>
      <c r="M165">
        <v>0.27</v>
      </c>
      <c r="N165">
        <v>1.44</v>
      </c>
      <c r="O165">
        <v>2.88</v>
      </c>
      <c r="P165">
        <v>5.54</v>
      </c>
      <c r="Q165">
        <v>11.08</v>
      </c>
      <c r="S165" t="s">
        <v>853</v>
      </c>
      <c r="T165">
        <v>12</v>
      </c>
      <c r="U165">
        <v>2</v>
      </c>
      <c r="V165">
        <v>12</v>
      </c>
      <c r="W165">
        <v>2.532</v>
      </c>
      <c r="X165">
        <v>2.278</v>
      </c>
      <c r="Y165">
        <v>4</v>
      </c>
      <c r="Z165">
        <v>24</v>
      </c>
      <c r="AA165">
        <v>12.68</v>
      </c>
      <c r="AB165">
        <v>76.08</v>
      </c>
    </row>
    <row r="166" spans="1:28" x14ac:dyDescent="0.25">
      <c r="A166">
        <v>18832917</v>
      </c>
      <c r="B166">
        <v>975402</v>
      </c>
      <c r="C166" t="s">
        <v>492</v>
      </c>
      <c r="E166">
        <v>5702016911664</v>
      </c>
      <c r="H166" t="s">
        <v>788</v>
      </c>
      <c r="I166">
        <v>1</v>
      </c>
      <c r="J166">
        <v>1</v>
      </c>
      <c r="K166">
        <v>1</v>
      </c>
      <c r="L166">
        <v>0.215</v>
      </c>
      <c r="M166">
        <v>0.19400000000000001</v>
      </c>
      <c r="N166">
        <v>2.08</v>
      </c>
      <c r="O166">
        <v>2.08</v>
      </c>
      <c r="P166">
        <v>8.3000000000000007</v>
      </c>
      <c r="Q166">
        <v>8.3000000000000007</v>
      </c>
      <c r="S166" t="s">
        <v>854</v>
      </c>
      <c r="T166">
        <v>24</v>
      </c>
      <c r="U166">
        <v>4</v>
      </c>
      <c r="V166">
        <v>24</v>
      </c>
      <c r="W166">
        <v>8.5920000000000005</v>
      </c>
      <c r="X166">
        <v>7.7320000000000002</v>
      </c>
      <c r="Y166">
        <v>11.808</v>
      </c>
      <c r="Z166">
        <v>70.847999999999999</v>
      </c>
      <c r="AA166">
        <v>21.56</v>
      </c>
      <c r="AB166">
        <v>129.36000000000001</v>
      </c>
    </row>
    <row r="167" spans="1:28" x14ac:dyDescent="0.25">
      <c r="A167">
        <v>18832917</v>
      </c>
      <c r="B167">
        <v>975380</v>
      </c>
      <c r="C167" t="s">
        <v>493</v>
      </c>
      <c r="E167">
        <v>5702017161884</v>
      </c>
      <c r="H167" t="s">
        <v>788</v>
      </c>
      <c r="I167">
        <v>1</v>
      </c>
      <c r="J167">
        <v>1</v>
      </c>
      <c r="K167">
        <v>1</v>
      </c>
      <c r="L167">
        <v>0.16</v>
      </c>
      <c r="M167">
        <v>0.14399999999999999</v>
      </c>
      <c r="N167">
        <v>1.2110000000000001</v>
      </c>
      <c r="O167">
        <v>1.2110000000000001</v>
      </c>
      <c r="P167">
        <v>5.43</v>
      </c>
      <c r="Q167">
        <v>5.43</v>
      </c>
      <c r="S167" t="s">
        <v>855</v>
      </c>
      <c r="T167">
        <v>19</v>
      </c>
      <c r="U167">
        <v>9</v>
      </c>
      <c r="V167">
        <v>24</v>
      </c>
      <c r="W167">
        <v>9.24</v>
      </c>
      <c r="X167">
        <v>8.3159999999999989</v>
      </c>
      <c r="Y167">
        <v>5.41</v>
      </c>
      <c r="Z167">
        <v>32.46</v>
      </c>
      <c r="AA167">
        <v>22.759999999999998</v>
      </c>
      <c r="AB167">
        <v>136.56</v>
      </c>
    </row>
    <row r="168" spans="1:28" x14ac:dyDescent="0.25">
      <c r="A168">
        <v>18832917</v>
      </c>
      <c r="B168">
        <v>638803</v>
      </c>
      <c r="C168" t="s">
        <v>494</v>
      </c>
      <c r="E168">
        <v>5413128348346</v>
      </c>
      <c r="F168">
        <v>5413128342696</v>
      </c>
      <c r="H168" t="s">
        <v>791</v>
      </c>
      <c r="I168">
        <v>6</v>
      </c>
      <c r="J168">
        <v>1</v>
      </c>
      <c r="K168">
        <v>6</v>
      </c>
      <c r="L168">
        <v>1.476</v>
      </c>
      <c r="M168">
        <v>1.3280000000000001</v>
      </c>
      <c r="N168">
        <v>0.88400000000000001</v>
      </c>
      <c r="O168">
        <v>5.3040000000000003</v>
      </c>
      <c r="P168">
        <v>1.34</v>
      </c>
      <c r="Q168">
        <v>8.0399999999999991</v>
      </c>
      <c r="S168" t="s">
        <v>856</v>
      </c>
      <c r="T168">
        <v>2</v>
      </c>
      <c r="U168">
        <v>12</v>
      </c>
      <c r="V168">
        <v>12</v>
      </c>
      <c r="W168">
        <v>10.8</v>
      </c>
      <c r="X168">
        <v>9.7200000000000006</v>
      </c>
      <c r="Y168">
        <v>3.1760000000000002</v>
      </c>
      <c r="Z168">
        <v>19.056000000000001</v>
      </c>
      <c r="AA168">
        <v>17.579999999999998</v>
      </c>
      <c r="AB168">
        <v>105.48</v>
      </c>
    </row>
    <row r="169" spans="1:28" x14ac:dyDescent="0.25">
      <c r="A169">
        <v>18832917</v>
      </c>
      <c r="B169">
        <v>618729</v>
      </c>
      <c r="C169" t="s">
        <v>495</v>
      </c>
      <c r="E169">
        <v>7622210124357</v>
      </c>
      <c r="H169" t="s">
        <v>792</v>
      </c>
      <c r="I169">
        <v>20</v>
      </c>
      <c r="J169">
        <v>1</v>
      </c>
      <c r="K169">
        <v>20</v>
      </c>
      <c r="L169">
        <v>1.34</v>
      </c>
      <c r="M169">
        <v>1.206</v>
      </c>
      <c r="N169">
        <v>0.22800000000000001</v>
      </c>
      <c r="O169">
        <v>4.5599999999999996</v>
      </c>
      <c r="P169">
        <v>0.44</v>
      </c>
      <c r="Q169">
        <v>8.8000000000000007</v>
      </c>
      <c r="S169" t="s">
        <v>857</v>
      </c>
      <c r="T169">
        <v>24</v>
      </c>
      <c r="U169">
        <v>4</v>
      </c>
      <c r="V169">
        <v>24</v>
      </c>
      <c r="W169">
        <v>7.7880000000000003</v>
      </c>
      <c r="X169">
        <v>7.01</v>
      </c>
      <c r="Y169">
        <v>7.8620000000000001</v>
      </c>
      <c r="Z169">
        <v>47.172000000000004</v>
      </c>
      <c r="AA169">
        <v>22.879999999999995</v>
      </c>
      <c r="AB169">
        <v>137.28</v>
      </c>
    </row>
    <row r="170" spans="1:28" x14ac:dyDescent="0.25">
      <c r="A170">
        <v>18832917</v>
      </c>
      <c r="B170">
        <v>338931</v>
      </c>
      <c r="C170" t="s">
        <v>496</v>
      </c>
      <c r="E170">
        <v>5413128342580</v>
      </c>
      <c r="H170" t="s">
        <v>793</v>
      </c>
      <c r="I170">
        <v>6</v>
      </c>
      <c r="J170">
        <v>1</v>
      </c>
      <c r="K170">
        <v>6</v>
      </c>
      <c r="L170">
        <v>1.536</v>
      </c>
      <c r="M170">
        <v>1.3819999999999999</v>
      </c>
      <c r="N170">
        <v>0.97199999999999998</v>
      </c>
      <c r="O170">
        <v>5.8319999999999999</v>
      </c>
      <c r="P170">
        <v>0.99</v>
      </c>
      <c r="Q170">
        <v>5.94</v>
      </c>
      <c r="S170" t="s">
        <v>858</v>
      </c>
      <c r="T170">
        <v>12</v>
      </c>
      <c r="U170">
        <v>2</v>
      </c>
      <c r="V170">
        <v>12</v>
      </c>
      <c r="W170">
        <v>2.9039999999999999</v>
      </c>
      <c r="X170">
        <v>2.6139999999999999</v>
      </c>
      <c r="Y170">
        <v>4</v>
      </c>
      <c r="Z170">
        <v>24</v>
      </c>
      <c r="AA170">
        <v>9.2799999999999994</v>
      </c>
      <c r="AB170">
        <v>55.68</v>
      </c>
    </row>
    <row r="171" spans="1:28" x14ac:dyDescent="0.25">
      <c r="A171">
        <v>18832917</v>
      </c>
      <c r="B171">
        <v>602862</v>
      </c>
      <c r="C171" t="s">
        <v>497</v>
      </c>
      <c r="E171">
        <v>8000500184219</v>
      </c>
      <c r="F171">
        <v>8000500355237</v>
      </c>
      <c r="H171" t="s">
        <v>794</v>
      </c>
      <c r="I171">
        <v>16</v>
      </c>
      <c r="J171">
        <v>1</v>
      </c>
      <c r="K171">
        <v>16</v>
      </c>
      <c r="L171">
        <v>1.04</v>
      </c>
      <c r="M171">
        <v>0.93600000000000005</v>
      </c>
      <c r="N171">
        <v>0.111</v>
      </c>
      <c r="O171">
        <v>1.776</v>
      </c>
      <c r="P171">
        <v>1.21</v>
      </c>
      <c r="Q171">
        <v>19.36</v>
      </c>
      <c r="S171" t="s">
        <v>859</v>
      </c>
      <c r="T171">
        <v>12</v>
      </c>
      <c r="U171">
        <v>2</v>
      </c>
      <c r="V171">
        <v>12</v>
      </c>
      <c r="W171">
        <v>2.6280000000000001</v>
      </c>
      <c r="X171">
        <v>2.3660000000000001</v>
      </c>
      <c r="Y171">
        <v>3.2759999999999998</v>
      </c>
      <c r="Z171">
        <v>19.655999999999999</v>
      </c>
      <c r="AA171">
        <v>13.9</v>
      </c>
      <c r="AB171">
        <v>83.4</v>
      </c>
    </row>
    <row r="172" spans="1:28" x14ac:dyDescent="0.25">
      <c r="A172">
        <v>18832917</v>
      </c>
      <c r="B172">
        <v>999221</v>
      </c>
      <c r="C172" t="s">
        <v>499</v>
      </c>
      <c r="E172">
        <v>5400787047376</v>
      </c>
      <c r="H172" t="s">
        <v>793</v>
      </c>
      <c r="I172">
        <v>1</v>
      </c>
      <c r="J172">
        <v>5</v>
      </c>
      <c r="K172">
        <v>5</v>
      </c>
      <c r="L172">
        <v>0.5</v>
      </c>
      <c r="M172">
        <v>0.45</v>
      </c>
      <c r="N172">
        <v>0.48299999999999998</v>
      </c>
      <c r="O172">
        <v>2.415</v>
      </c>
      <c r="P172">
        <v>0.78</v>
      </c>
      <c r="Q172">
        <v>3.9</v>
      </c>
      <c r="S172" t="s">
        <v>860</v>
      </c>
      <c r="T172">
        <v>12</v>
      </c>
      <c r="U172">
        <v>2</v>
      </c>
      <c r="V172">
        <v>12</v>
      </c>
      <c r="W172">
        <v>3.1920000000000002</v>
      </c>
      <c r="X172">
        <v>2.8719999999999999</v>
      </c>
      <c r="Y172">
        <v>3.524</v>
      </c>
      <c r="Z172">
        <v>21.143999999999998</v>
      </c>
      <c r="AA172">
        <v>9.36</v>
      </c>
      <c r="AB172">
        <v>56.16</v>
      </c>
    </row>
    <row r="173" spans="1:28" x14ac:dyDescent="0.25">
      <c r="A173">
        <v>18832917</v>
      </c>
      <c r="B173">
        <v>250216</v>
      </c>
      <c r="C173" t="s">
        <v>500</v>
      </c>
      <c r="E173">
        <v>70330100749</v>
      </c>
      <c r="H173" t="s">
        <v>795</v>
      </c>
      <c r="I173">
        <v>1</v>
      </c>
      <c r="J173">
        <v>10</v>
      </c>
      <c r="K173">
        <v>10</v>
      </c>
      <c r="L173">
        <v>0.33</v>
      </c>
      <c r="M173">
        <v>0.29699999999999999</v>
      </c>
      <c r="N173">
        <v>0.16800000000000001</v>
      </c>
      <c r="O173">
        <v>1.68</v>
      </c>
      <c r="P173">
        <v>1.4</v>
      </c>
      <c r="Q173">
        <v>14</v>
      </c>
      <c r="S173" t="s">
        <v>861</v>
      </c>
      <c r="T173">
        <v>24</v>
      </c>
      <c r="U173">
        <v>4</v>
      </c>
      <c r="V173">
        <v>24</v>
      </c>
      <c r="W173">
        <v>6.7080000000000002</v>
      </c>
      <c r="X173">
        <v>6.0380000000000003</v>
      </c>
      <c r="Y173">
        <v>9.8420000000000005</v>
      </c>
      <c r="Z173">
        <v>59.052</v>
      </c>
      <c r="AA173">
        <v>28.64</v>
      </c>
      <c r="AB173">
        <v>171.84</v>
      </c>
    </row>
    <row r="174" spans="1:28" x14ac:dyDescent="0.25">
      <c r="A174">
        <v>18832917</v>
      </c>
      <c r="B174">
        <v>252188</v>
      </c>
      <c r="C174" t="s">
        <v>501</v>
      </c>
      <c r="E174">
        <v>8006919002144</v>
      </c>
      <c r="H174" t="s">
        <v>796</v>
      </c>
      <c r="I174">
        <v>1</v>
      </c>
      <c r="J174">
        <v>3</v>
      </c>
      <c r="K174">
        <v>3</v>
      </c>
      <c r="L174">
        <v>0.27300000000000002</v>
      </c>
      <c r="M174">
        <v>0.246</v>
      </c>
      <c r="N174">
        <v>1</v>
      </c>
      <c r="O174">
        <v>3</v>
      </c>
      <c r="P174">
        <v>0.89</v>
      </c>
      <c r="Q174">
        <v>2.67</v>
      </c>
      <c r="S174" t="s">
        <v>862</v>
      </c>
      <c r="T174">
        <v>24</v>
      </c>
      <c r="U174">
        <v>4</v>
      </c>
      <c r="V174">
        <v>24</v>
      </c>
      <c r="W174">
        <v>7.8839999999999995</v>
      </c>
      <c r="X174">
        <v>7.0960000000000001</v>
      </c>
      <c r="Y174">
        <v>11.332000000000001</v>
      </c>
      <c r="Z174">
        <v>67.992000000000004</v>
      </c>
      <c r="AA174">
        <v>17.32</v>
      </c>
      <c r="AB174">
        <v>103.92</v>
      </c>
    </row>
    <row r="175" spans="1:28" x14ac:dyDescent="0.25">
      <c r="A175">
        <v>18832917</v>
      </c>
      <c r="B175">
        <v>1000238</v>
      </c>
      <c r="C175" t="s">
        <v>502</v>
      </c>
      <c r="E175">
        <v>3663159044218</v>
      </c>
      <c r="H175" t="s">
        <v>768</v>
      </c>
      <c r="I175">
        <v>1</v>
      </c>
      <c r="J175">
        <v>4</v>
      </c>
      <c r="K175">
        <v>4</v>
      </c>
      <c r="L175">
        <v>0.14799999999999999</v>
      </c>
      <c r="M175">
        <v>0.13300000000000001</v>
      </c>
      <c r="N175">
        <v>9.5000000000000001E-2</v>
      </c>
      <c r="O175">
        <v>0.38</v>
      </c>
      <c r="P175">
        <v>2.95</v>
      </c>
      <c r="Q175">
        <v>11.8</v>
      </c>
      <c r="S175" t="s">
        <v>863</v>
      </c>
      <c r="T175">
        <v>33</v>
      </c>
      <c r="U175">
        <v>4</v>
      </c>
      <c r="V175">
        <v>44</v>
      </c>
      <c r="W175">
        <v>4.6310000000000002</v>
      </c>
      <c r="X175">
        <v>4.1679999999999993</v>
      </c>
      <c r="Y175">
        <v>1.512</v>
      </c>
      <c r="Z175">
        <v>22.043999999999997</v>
      </c>
      <c r="AA175">
        <v>2.16</v>
      </c>
      <c r="AB175">
        <v>31.68</v>
      </c>
    </row>
    <row r="176" spans="1:28" x14ac:dyDescent="0.25">
      <c r="A176">
        <v>18832917</v>
      </c>
      <c r="B176">
        <v>1000239</v>
      </c>
      <c r="C176" t="s">
        <v>503</v>
      </c>
      <c r="E176">
        <v>3663159044393</v>
      </c>
      <c r="H176" t="s">
        <v>768</v>
      </c>
      <c r="I176">
        <v>1</v>
      </c>
      <c r="J176">
        <v>3</v>
      </c>
      <c r="K176">
        <v>3</v>
      </c>
      <c r="L176">
        <v>0.111</v>
      </c>
      <c r="M176">
        <v>0.1</v>
      </c>
      <c r="N176">
        <v>9.5000000000000001E-2</v>
      </c>
      <c r="O176">
        <v>0.28499999999999998</v>
      </c>
      <c r="P176">
        <v>2.99</v>
      </c>
      <c r="Q176">
        <v>8.9700000000000006</v>
      </c>
      <c r="S176" t="s">
        <v>864</v>
      </c>
      <c r="T176">
        <v>24</v>
      </c>
      <c r="U176">
        <v>2</v>
      </c>
      <c r="V176">
        <v>24</v>
      </c>
      <c r="W176">
        <v>0.49199999999999999</v>
      </c>
      <c r="X176">
        <v>0.442</v>
      </c>
      <c r="Y176">
        <v>0.22699999999999998</v>
      </c>
      <c r="Z176">
        <v>2.7240000000000002</v>
      </c>
      <c r="AA176">
        <v>1.25</v>
      </c>
      <c r="AB176">
        <v>15</v>
      </c>
    </row>
    <row r="177" spans="1:28" x14ac:dyDescent="0.25">
      <c r="A177">
        <v>18832917</v>
      </c>
      <c r="B177">
        <v>1000260</v>
      </c>
      <c r="C177" t="s">
        <v>504</v>
      </c>
      <c r="E177">
        <v>3663159044416</v>
      </c>
      <c r="H177" t="s">
        <v>768</v>
      </c>
      <c r="I177">
        <v>1</v>
      </c>
      <c r="J177">
        <v>4</v>
      </c>
      <c r="K177">
        <v>4</v>
      </c>
      <c r="L177">
        <v>0.14799999999999999</v>
      </c>
      <c r="M177">
        <v>0.13300000000000001</v>
      </c>
      <c r="N177">
        <v>9.5000000000000001E-2</v>
      </c>
      <c r="O177">
        <v>0.38</v>
      </c>
      <c r="P177">
        <v>2.95</v>
      </c>
      <c r="Q177">
        <v>11.8</v>
      </c>
      <c r="S177" t="s">
        <v>865</v>
      </c>
      <c r="T177">
        <v>25</v>
      </c>
      <c r="U177">
        <v>15</v>
      </c>
      <c r="V177">
        <v>39</v>
      </c>
      <c r="W177">
        <v>49.94</v>
      </c>
      <c r="X177">
        <v>44.945999999999998</v>
      </c>
      <c r="Y177">
        <v>123.39100000000002</v>
      </c>
      <c r="Z177">
        <v>413.06200000000001</v>
      </c>
      <c r="AA177">
        <v>117.71000000000002</v>
      </c>
      <c r="AB177">
        <v>397.61</v>
      </c>
    </row>
    <row r="178" spans="1:28" x14ac:dyDescent="0.25">
      <c r="A178">
        <v>18832917</v>
      </c>
      <c r="B178">
        <v>636148</v>
      </c>
      <c r="C178" t="s">
        <v>505</v>
      </c>
      <c r="E178">
        <v>3331840871732</v>
      </c>
      <c r="H178" t="s">
        <v>797</v>
      </c>
      <c r="I178">
        <v>6</v>
      </c>
      <c r="J178">
        <v>1</v>
      </c>
      <c r="K178">
        <v>6</v>
      </c>
      <c r="L178">
        <v>1.278</v>
      </c>
      <c r="M178">
        <v>1.1499999999999999</v>
      </c>
      <c r="N178">
        <v>0.504</v>
      </c>
      <c r="O178">
        <v>3.024</v>
      </c>
      <c r="P178">
        <v>2.96</v>
      </c>
      <c r="Q178">
        <v>17.760000000000002</v>
      </c>
      <c r="S178" t="s">
        <v>866</v>
      </c>
      <c r="T178">
        <v>48</v>
      </c>
      <c r="U178">
        <v>2</v>
      </c>
      <c r="V178">
        <v>48</v>
      </c>
      <c r="W178">
        <v>6.1680000000000001</v>
      </c>
      <c r="X178">
        <v>5.5510000000000002</v>
      </c>
      <c r="Y178">
        <v>0.76500000000000001</v>
      </c>
      <c r="Z178">
        <v>18.36</v>
      </c>
      <c r="AA178">
        <v>3.24</v>
      </c>
      <c r="AB178">
        <v>77.759999999999991</v>
      </c>
    </row>
    <row r="179" spans="1:28" x14ac:dyDescent="0.25">
      <c r="A179">
        <v>18832917</v>
      </c>
      <c r="B179">
        <v>588781</v>
      </c>
      <c r="C179" t="s">
        <v>506</v>
      </c>
      <c r="E179">
        <v>3700652901034</v>
      </c>
      <c r="H179" t="s">
        <v>767</v>
      </c>
      <c r="I179">
        <v>1</v>
      </c>
      <c r="J179">
        <v>4</v>
      </c>
      <c r="K179">
        <v>4</v>
      </c>
      <c r="L179">
        <v>4.3999999999999997E-2</v>
      </c>
      <c r="M179">
        <v>0.04</v>
      </c>
      <c r="N179">
        <v>6.5000000000000002E-2</v>
      </c>
      <c r="O179">
        <v>0.26</v>
      </c>
      <c r="P179">
        <v>2.4500000000000002</v>
      </c>
      <c r="Q179">
        <v>9.8000000000000007</v>
      </c>
      <c r="S179" t="s">
        <v>867</v>
      </c>
      <c r="T179">
        <v>32</v>
      </c>
      <c r="U179">
        <v>4</v>
      </c>
      <c r="V179">
        <v>32</v>
      </c>
      <c r="W179">
        <v>52.992000000000004</v>
      </c>
      <c r="X179">
        <v>47.692</v>
      </c>
      <c r="Y179">
        <v>52.838000000000001</v>
      </c>
      <c r="Z179">
        <v>422.70400000000001</v>
      </c>
      <c r="AA179">
        <v>88.02</v>
      </c>
      <c r="AB179">
        <v>704.16</v>
      </c>
    </row>
    <row r="180" spans="1:28" x14ac:dyDescent="0.25">
      <c r="A180">
        <v>18832917</v>
      </c>
      <c r="B180">
        <v>1000231</v>
      </c>
      <c r="C180" t="s">
        <v>507</v>
      </c>
      <c r="E180">
        <v>3663159044119</v>
      </c>
      <c r="H180" t="s">
        <v>768</v>
      </c>
      <c r="I180">
        <v>1</v>
      </c>
      <c r="J180">
        <v>2</v>
      </c>
      <c r="K180">
        <v>2</v>
      </c>
      <c r="L180">
        <v>7.3999999999999996E-2</v>
      </c>
      <c r="M180">
        <v>6.7000000000000004E-2</v>
      </c>
      <c r="N180">
        <v>9.5000000000000001E-2</v>
      </c>
      <c r="O180">
        <v>0.19</v>
      </c>
      <c r="P180">
        <v>2.98</v>
      </c>
      <c r="Q180">
        <v>5.96</v>
      </c>
      <c r="S180" t="s">
        <v>868</v>
      </c>
      <c r="T180">
        <v>16</v>
      </c>
      <c r="U180">
        <v>2</v>
      </c>
      <c r="V180">
        <v>16</v>
      </c>
      <c r="W180">
        <v>18.079999999999998</v>
      </c>
      <c r="X180">
        <v>16.271999999999998</v>
      </c>
      <c r="Y180">
        <v>20.283999999999999</v>
      </c>
      <c r="Z180">
        <v>162.27199999999999</v>
      </c>
      <c r="AA180">
        <v>39.22</v>
      </c>
      <c r="AB180">
        <v>313.76</v>
      </c>
    </row>
    <row r="181" spans="1:28" x14ac:dyDescent="0.25">
      <c r="A181">
        <v>18832917</v>
      </c>
      <c r="B181">
        <v>1000235</v>
      </c>
      <c r="C181" t="s">
        <v>508</v>
      </c>
      <c r="E181">
        <v>3663159044256</v>
      </c>
      <c r="H181" t="s">
        <v>768</v>
      </c>
      <c r="I181">
        <v>1</v>
      </c>
      <c r="J181">
        <v>2</v>
      </c>
      <c r="K181">
        <v>2</v>
      </c>
      <c r="L181">
        <v>7.3999999999999996E-2</v>
      </c>
      <c r="M181">
        <v>6.7000000000000004E-2</v>
      </c>
      <c r="N181">
        <v>9.5000000000000001E-2</v>
      </c>
      <c r="O181">
        <v>0.19</v>
      </c>
      <c r="P181">
        <v>2.95</v>
      </c>
      <c r="Q181">
        <v>5.9</v>
      </c>
      <c r="S181" t="s">
        <v>869</v>
      </c>
      <c r="T181">
        <v>16</v>
      </c>
      <c r="U181">
        <v>2</v>
      </c>
      <c r="V181">
        <v>16</v>
      </c>
      <c r="W181">
        <v>22.48</v>
      </c>
      <c r="X181">
        <v>20.231999999999999</v>
      </c>
      <c r="Y181">
        <v>25.908000000000001</v>
      </c>
      <c r="Z181">
        <v>207.26400000000001</v>
      </c>
      <c r="AA181">
        <v>50.22</v>
      </c>
      <c r="AB181">
        <v>401.76</v>
      </c>
    </row>
    <row r="182" spans="1:28" x14ac:dyDescent="0.25">
      <c r="A182">
        <v>18832917</v>
      </c>
      <c r="B182">
        <v>1006624</v>
      </c>
      <c r="C182" t="s">
        <v>509</v>
      </c>
      <c r="E182">
        <v>3663159048551</v>
      </c>
      <c r="F182">
        <v>3663159048544</v>
      </c>
      <c r="G182">
        <v>3663159023572</v>
      </c>
      <c r="H182" t="s">
        <v>768</v>
      </c>
      <c r="I182">
        <v>1</v>
      </c>
      <c r="J182">
        <v>5</v>
      </c>
      <c r="K182">
        <v>5</v>
      </c>
      <c r="L182">
        <v>0.18</v>
      </c>
      <c r="M182">
        <v>0.16200000000000001</v>
      </c>
      <c r="N182">
        <v>8.4000000000000005E-2</v>
      </c>
      <c r="O182">
        <v>0.42</v>
      </c>
      <c r="P182">
        <v>2.95</v>
      </c>
      <c r="Q182">
        <v>14.75</v>
      </c>
      <c r="S182" t="s">
        <v>870</v>
      </c>
      <c r="T182">
        <v>46</v>
      </c>
      <c r="U182">
        <v>24</v>
      </c>
      <c r="V182">
        <v>58</v>
      </c>
      <c r="W182">
        <v>36.963999999999999</v>
      </c>
      <c r="X182">
        <v>33.265999999999998</v>
      </c>
      <c r="Y182">
        <v>59.251999999999995</v>
      </c>
      <c r="Z182">
        <v>256.77800000000002</v>
      </c>
      <c r="AA182">
        <v>91.200000000000017</v>
      </c>
      <c r="AB182">
        <v>330.36</v>
      </c>
    </row>
    <row r="183" spans="1:28" x14ac:dyDescent="0.25">
      <c r="A183">
        <v>18832917</v>
      </c>
      <c r="B183">
        <v>1000234</v>
      </c>
      <c r="C183" t="s">
        <v>510</v>
      </c>
      <c r="E183">
        <v>3663159044638</v>
      </c>
      <c r="H183" t="s">
        <v>768</v>
      </c>
      <c r="I183">
        <v>1</v>
      </c>
      <c r="J183">
        <v>2</v>
      </c>
      <c r="K183">
        <v>2</v>
      </c>
      <c r="L183">
        <v>7.3999999999999996E-2</v>
      </c>
      <c r="M183">
        <v>6.7000000000000004E-2</v>
      </c>
      <c r="N183">
        <v>9.5000000000000001E-2</v>
      </c>
      <c r="O183">
        <v>0.19</v>
      </c>
      <c r="P183">
        <v>2.95</v>
      </c>
      <c r="Q183">
        <v>5.9</v>
      </c>
      <c r="S183" t="s">
        <v>871</v>
      </c>
      <c r="T183">
        <v>10</v>
      </c>
      <c r="U183">
        <v>6</v>
      </c>
      <c r="V183">
        <v>12</v>
      </c>
      <c r="W183">
        <v>5.12</v>
      </c>
      <c r="X183">
        <v>4.6080000000000005</v>
      </c>
      <c r="Y183">
        <v>9.99</v>
      </c>
      <c r="Z183">
        <v>27.48</v>
      </c>
      <c r="AA183">
        <v>52.5</v>
      </c>
      <c r="AB183">
        <v>138.44</v>
      </c>
    </row>
    <row r="184" spans="1:28" x14ac:dyDescent="0.25">
      <c r="A184">
        <v>18832917</v>
      </c>
      <c r="B184">
        <v>982253</v>
      </c>
      <c r="C184" t="s">
        <v>511</v>
      </c>
      <c r="E184">
        <v>8414775015787</v>
      </c>
      <c r="H184" t="s">
        <v>798</v>
      </c>
      <c r="I184">
        <v>1</v>
      </c>
      <c r="J184">
        <v>8</v>
      </c>
      <c r="K184">
        <v>8</v>
      </c>
      <c r="L184">
        <v>0.496</v>
      </c>
      <c r="M184">
        <v>0.44600000000000001</v>
      </c>
      <c r="N184">
        <v>0.36199999999999999</v>
      </c>
      <c r="O184">
        <v>2.8959999999999999</v>
      </c>
      <c r="P184">
        <v>0.7</v>
      </c>
      <c r="Q184">
        <v>5.6</v>
      </c>
      <c r="S184" t="s">
        <v>872</v>
      </c>
      <c r="T184">
        <v>54</v>
      </c>
      <c r="U184">
        <v>12</v>
      </c>
      <c r="V184">
        <v>56</v>
      </c>
      <c r="W184">
        <v>57.424000000000007</v>
      </c>
      <c r="X184">
        <v>51.68</v>
      </c>
      <c r="Y184">
        <v>132.17000000000002</v>
      </c>
      <c r="Z184">
        <v>759.62400000000002</v>
      </c>
      <c r="AA184">
        <v>63.519999999999996</v>
      </c>
      <c r="AB184">
        <v>325.32000000000005</v>
      </c>
    </row>
    <row r="185" spans="1:28" x14ac:dyDescent="0.25">
      <c r="A185">
        <v>18832917</v>
      </c>
      <c r="B185">
        <v>360203</v>
      </c>
      <c r="C185" t="s">
        <v>512</v>
      </c>
      <c r="E185">
        <v>2090000631791</v>
      </c>
      <c r="H185" t="s">
        <v>799</v>
      </c>
      <c r="I185">
        <v>10</v>
      </c>
      <c r="J185">
        <v>1</v>
      </c>
      <c r="K185">
        <v>10</v>
      </c>
      <c r="L185">
        <v>4.2</v>
      </c>
      <c r="M185">
        <v>3.78</v>
      </c>
      <c r="N185">
        <v>0.66</v>
      </c>
      <c r="O185">
        <v>6.6</v>
      </c>
      <c r="P185">
        <v>0.77</v>
      </c>
      <c r="Q185">
        <v>7.7</v>
      </c>
      <c r="S185" t="s">
        <v>873</v>
      </c>
      <c r="T185">
        <v>12</v>
      </c>
      <c r="U185">
        <v>2</v>
      </c>
      <c r="V185">
        <v>12</v>
      </c>
      <c r="W185">
        <v>4.548</v>
      </c>
      <c r="X185">
        <v>4.0940000000000003</v>
      </c>
      <c r="Y185">
        <v>2.4180000000000001</v>
      </c>
      <c r="Z185">
        <v>14.507999999999999</v>
      </c>
      <c r="AA185">
        <v>8.6999999999999993</v>
      </c>
      <c r="AB185">
        <v>52.2</v>
      </c>
    </row>
    <row r="186" spans="1:28" x14ac:dyDescent="0.25">
      <c r="A186">
        <v>18832917</v>
      </c>
      <c r="B186">
        <v>708193</v>
      </c>
      <c r="C186" t="s">
        <v>513</v>
      </c>
      <c r="E186">
        <v>8711252861982</v>
      </c>
      <c r="H186" t="s">
        <v>800</v>
      </c>
      <c r="I186">
        <v>1</v>
      </c>
      <c r="J186">
        <v>3</v>
      </c>
      <c r="K186">
        <v>3</v>
      </c>
      <c r="L186">
        <v>0.51</v>
      </c>
      <c r="M186">
        <v>0.45900000000000002</v>
      </c>
      <c r="N186">
        <v>1.127</v>
      </c>
      <c r="O186">
        <v>3.3809999999999998</v>
      </c>
      <c r="P186">
        <v>1.47</v>
      </c>
      <c r="Q186">
        <v>4.41</v>
      </c>
      <c r="S186" t="s">
        <v>874</v>
      </c>
      <c r="T186">
        <v>4</v>
      </c>
      <c r="U186">
        <v>200</v>
      </c>
      <c r="V186">
        <v>200</v>
      </c>
      <c r="W186">
        <v>27.84</v>
      </c>
      <c r="X186">
        <v>25.055999999999997</v>
      </c>
      <c r="Y186">
        <v>0.69199999999999995</v>
      </c>
      <c r="Z186">
        <v>34.76</v>
      </c>
      <c r="AA186">
        <v>3.84</v>
      </c>
      <c r="AB186">
        <v>192</v>
      </c>
    </row>
    <row r="187" spans="1:28" x14ac:dyDescent="0.25">
      <c r="A187">
        <v>18832918</v>
      </c>
      <c r="B187">
        <v>959360</v>
      </c>
      <c r="C187" t="s">
        <v>514</v>
      </c>
      <c r="E187">
        <v>5411708178048</v>
      </c>
      <c r="H187" t="s">
        <v>801</v>
      </c>
      <c r="I187">
        <v>1</v>
      </c>
      <c r="J187">
        <v>4</v>
      </c>
      <c r="K187">
        <v>4</v>
      </c>
      <c r="L187">
        <v>4.7039999999999997</v>
      </c>
      <c r="M187">
        <v>4.234</v>
      </c>
      <c r="N187">
        <v>3.6280000000000001</v>
      </c>
      <c r="O187">
        <v>14.512</v>
      </c>
      <c r="P187">
        <v>3.59</v>
      </c>
      <c r="Q187">
        <v>14.36</v>
      </c>
      <c r="S187" t="s">
        <v>875</v>
      </c>
      <c r="T187">
        <v>56</v>
      </c>
      <c r="U187">
        <v>2</v>
      </c>
      <c r="V187">
        <v>56</v>
      </c>
      <c r="W187">
        <v>34.776000000000003</v>
      </c>
      <c r="X187">
        <v>31.297999999999998</v>
      </c>
      <c r="Y187">
        <v>9.3000000000000007</v>
      </c>
      <c r="Z187">
        <v>260.39999999999998</v>
      </c>
      <c r="AA187">
        <v>14.82</v>
      </c>
      <c r="AB187">
        <v>414.96</v>
      </c>
    </row>
    <row r="188" spans="1:28" x14ac:dyDescent="0.25">
      <c r="A188">
        <v>18832918</v>
      </c>
      <c r="B188">
        <v>925992</v>
      </c>
      <c r="C188" t="s">
        <v>515</v>
      </c>
      <c r="E188">
        <v>3560238665701</v>
      </c>
      <c r="H188" t="s">
        <v>802</v>
      </c>
      <c r="I188">
        <v>1</v>
      </c>
      <c r="J188">
        <v>1</v>
      </c>
      <c r="K188">
        <v>1</v>
      </c>
      <c r="L188">
        <v>0.70799999999999996</v>
      </c>
      <c r="M188">
        <v>0.63700000000000001</v>
      </c>
      <c r="N188">
        <v>4.032</v>
      </c>
      <c r="O188">
        <v>4.032</v>
      </c>
      <c r="P188">
        <v>3.55</v>
      </c>
      <c r="Q188">
        <v>3.55</v>
      </c>
      <c r="S188" t="s">
        <v>876</v>
      </c>
      <c r="T188">
        <v>12</v>
      </c>
      <c r="U188">
        <v>2</v>
      </c>
      <c r="V188">
        <v>12</v>
      </c>
      <c r="W188">
        <v>0.24</v>
      </c>
      <c r="X188">
        <v>0.216</v>
      </c>
      <c r="Y188">
        <v>3.5</v>
      </c>
      <c r="Z188">
        <v>21</v>
      </c>
      <c r="AA188">
        <v>13.3</v>
      </c>
      <c r="AB188">
        <v>79.8</v>
      </c>
    </row>
    <row r="189" spans="1:28" x14ac:dyDescent="0.25">
      <c r="A189">
        <v>18832918</v>
      </c>
      <c r="B189">
        <v>960003</v>
      </c>
      <c r="C189" t="s">
        <v>516</v>
      </c>
      <c r="E189">
        <v>3560238679838</v>
      </c>
      <c r="H189" t="s">
        <v>803</v>
      </c>
      <c r="I189">
        <v>1</v>
      </c>
      <c r="J189">
        <v>1</v>
      </c>
      <c r="K189">
        <v>1</v>
      </c>
      <c r="L189">
        <v>1.073</v>
      </c>
      <c r="M189">
        <v>0.96599999999999997</v>
      </c>
      <c r="N189">
        <v>2.3660000000000001</v>
      </c>
      <c r="O189">
        <v>2.3660000000000001</v>
      </c>
      <c r="P189">
        <v>5</v>
      </c>
      <c r="Q189">
        <v>5</v>
      </c>
      <c r="S189" t="s">
        <v>877</v>
      </c>
      <c r="T189">
        <v>2</v>
      </c>
      <c r="U189">
        <v>12</v>
      </c>
      <c r="V189">
        <v>12</v>
      </c>
      <c r="W189">
        <v>3</v>
      </c>
      <c r="X189">
        <v>2.7</v>
      </c>
      <c r="Y189">
        <v>1.87</v>
      </c>
      <c r="Z189">
        <v>11.22</v>
      </c>
      <c r="AA189">
        <v>9.76</v>
      </c>
      <c r="AB189">
        <v>58.56</v>
      </c>
    </row>
    <row r="190" spans="1:28" x14ac:dyDescent="0.25">
      <c r="A190">
        <v>18832918</v>
      </c>
      <c r="B190">
        <v>960004</v>
      </c>
      <c r="C190" t="s">
        <v>517</v>
      </c>
      <c r="E190">
        <v>3560238679876</v>
      </c>
      <c r="H190" t="s">
        <v>803</v>
      </c>
      <c r="I190">
        <v>1</v>
      </c>
      <c r="J190">
        <v>2</v>
      </c>
      <c r="K190">
        <v>5</v>
      </c>
      <c r="L190">
        <v>5.35</v>
      </c>
      <c r="M190">
        <v>4.8150000000000004</v>
      </c>
      <c r="N190">
        <v>2.3660000000000001</v>
      </c>
      <c r="O190">
        <v>11.83</v>
      </c>
      <c r="P190">
        <v>5.05</v>
      </c>
      <c r="Q190">
        <v>25.25</v>
      </c>
      <c r="S190" t="s">
        <v>878</v>
      </c>
      <c r="T190">
        <v>8</v>
      </c>
      <c r="U190">
        <v>4</v>
      </c>
      <c r="V190">
        <v>16</v>
      </c>
      <c r="W190">
        <v>22</v>
      </c>
      <c r="X190">
        <v>19.8</v>
      </c>
      <c r="Y190">
        <v>19.353999999999999</v>
      </c>
      <c r="Z190">
        <v>154.83199999999999</v>
      </c>
      <c r="AA190">
        <v>24.88</v>
      </c>
      <c r="AB190">
        <v>199.04</v>
      </c>
    </row>
    <row r="191" spans="1:28" x14ac:dyDescent="0.25">
      <c r="A191">
        <v>18832918</v>
      </c>
      <c r="B191">
        <v>990838</v>
      </c>
      <c r="C191" t="s">
        <v>518</v>
      </c>
      <c r="E191">
        <v>3560233820167</v>
      </c>
      <c r="H191" t="s">
        <v>804</v>
      </c>
      <c r="I191">
        <v>1</v>
      </c>
      <c r="J191">
        <v>3</v>
      </c>
      <c r="K191">
        <v>3</v>
      </c>
      <c r="L191">
        <v>2.3340000000000001</v>
      </c>
      <c r="M191">
        <v>2.101</v>
      </c>
      <c r="N191">
        <v>2.004</v>
      </c>
      <c r="O191">
        <v>6.0119999999999996</v>
      </c>
      <c r="P191">
        <v>3.55</v>
      </c>
      <c r="Q191">
        <v>10.65</v>
      </c>
      <c r="S191" t="s">
        <v>879</v>
      </c>
      <c r="T191">
        <v>19</v>
      </c>
      <c r="U191">
        <v>9</v>
      </c>
      <c r="V191">
        <v>36</v>
      </c>
      <c r="W191">
        <v>11.988</v>
      </c>
      <c r="X191">
        <v>10.790000000000001</v>
      </c>
      <c r="Y191">
        <v>28.538000000000004</v>
      </c>
      <c r="Z191">
        <v>186.97800000000001</v>
      </c>
      <c r="AA191">
        <v>15.48</v>
      </c>
      <c r="AB191">
        <v>129.95999999999998</v>
      </c>
    </row>
    <row r="192" spans="1:28" x14ac:dyDescent="0.25">
      <c r="A192">
        <v>18832918</v>
      </c>
      <c r="B192">
        <v>959338</v>
      </c>
      <c r="C192" t="s">
        <v>519</v>
      </c>
      <c r="E192">
        <v>5411708155575</v>
      </c>
      <c r="H192" t="s">
        <v>801</v>
      </c>
      <c r="I192">
        <v>1</v>
      </c>
      <c r="J192">
        <v>2</v>
      </c>
      <c r="K192">
        <v>2</v>
      </c>
      <c r="L192">
        <v>0.41199999999999998</v>
      </c>
      <c r="M192">
        <v>0.371</v>
      </c>
      <c r="N192">
        <v>0.54100000000000004</v>
      </c>
      <c r="O192">
        <v>1.0820000000000001</v>
      </c>
      <c r="P192">
        <v>0.95</v>
      </c>
      <c r="Q192">
        <v>1.9</v>
      </c>
      <c r="S192" t="s">
        <v>880</v>
      </c>
      <c r="T192">
        <v>1</v>
      </c>
      <c r="U192">
        <v>2</v>
      </c>
      <c r="V192">
        <v>2</v>
      </c>
      <c r="W192">
        <v>1.796</v>
      </c>
      <c r="X192">
        <v>1.6160000000000001</v>
      </c>
      <c r="Y192">
        <v>3.64</v>
      </c>
      <c r="Z192">
        <v>7.28</v>
      </c>
      <c r="AA192">
        <v>2.5499999999999998</v>
      </c>
      <c r="AB192">
        <v>5.0999999999999996</v>
      </c>
    </row>
    <row r="193" spans="1:28" x14ac:dyDescent="0.25">
      <c r="A193">
        <v>18832918</v>
      </c>
      <c r="B193">
        <v>951043</v>
      </c>
      <c r="C193" t="s">
        <v>520</v>
      </c>
      <c r="E193">
        <v>5411708182106</v>
      </c>
      <c r="H193" t="s">
        <v>801</v>
      </c>
      <c r="I193">
        <v>1</v>
      </c>
      <c r="J193">
        <v>4</v>
      </c>
      <c r="K193">
        <v>4</v>
      </c>
      <c r="L193">
        <v>1.0640000000000001</v>
      </c>
      <c r="M193">
        <v>0.95799999999999996</v>
      </c>
      <c r="N193">
        <v>0.66</v>
      </c>
      <c r="O193">
        <v>2.64</v>
      </c>
      <c r="P193">
        <v>1.18</v>
      </c>
      <c r="Q193">
        <v>4.72</v>
      </c>
      <c r="S193" t="s">
        <v>881</v>
      </c>
      <c r="T193">
        <v>1</v>
      </c>
      <c r="U193">
        <v>2</v>
      </c>
      <c r="V193">
        <v>2</v>
      </c>
      <c r="W193">
        <v>3.6659999999999999</v>
      </c>
      <c r="X193">
        <v>3.2989999999999999</v>
      </c>
      <c r="Y193">
        <v>20</v>
      </c>
      <c r="Z193">
        <v>40</v>
      </c>
      <c r="AA193">
        <v>4.04</v>
      </c>
      <c r="AB193">
        <v>8.08</v>
      </c>
    </row>
    <row r="194" spans="1:28" x14ac:dyDescent="0.25">
      <c r="A194">
        <v>18832918</v>
      </c>
      <c r="B194">
        <v>960023</v>
      </c>
      <c r="C194" t="s">
        <v>521</v>
      </c>
      <c r="E194">
        <v>3560238700075</v>
      </c>
      <c r="H194" t="s">
        <v>802</v>
      </c>
      <c r="I194">
        <v>1</v>
      </c>
      <c r="J194">
        <v>4</v>
      </c>
      <c r="K194">
        <v>4</v>
      </c>
      <c r="L194">
        <v>0.53200000000000003</v>
      </c>
      <c r="M194">
        <v>0.47899999999999998</v>
      </c>
      <c r="N194">
        <v>0.94499999999999995</v>
      </c>
      <c r="O194">
        <v>3.78</v>
      </c>
      <c r="P194">
        <v>1.52</v>
      </c>
      <c r="Q194">
        <v>6.08</v>
      </c>
      <c r="S194" t="s">
        <v>882</v>
      </c>
      <c r="T194">
        <v>3</v>
      </c>
      <c r="U194">
        <v>9</v>
      </c>
      <c r="V194">
        <v>9</v>
      </c>
      <c r="W194">
        <v>5.0969999999999995</v>
      </c>
      <c r="X194">
        <v>4.5880000000000001</v>
      </c>
      <c r="Y194">
        <v>20.56</v>
      </c>
      <c r="Z194">
        <v>61.68</v>
      </c>
      <c r="AA194">
        <v>9.4400000000000013</v>
      </c>
      <c r="AB194">
        <v>28.32</v>
      </c>
    </row>
    <row r="195" spans="1:28" x14ac:dyDescent="0.25">
      <c r="A195">
        <v>18832918</v>
      </c>
      <c r="B195">
        <v>793322</v>
      </c>
      <c r="C195" t="s">
        <v>522</v>
      </c>
      <c r="E195">
        <v>3491955513054</v>
      </c>
      <c r="H195" t="s">
        <v>805</v>
      </c>
      <c r="I195">
        <v>1</v>
      </c>
      <c r="J195">
        <v>3</v>
      </c>
      <c r="K195">
        <v>3</v>
      </c>
      <c r="L195">
        <v>0.45</v>
      </c>
      <c r="M195">
        <v>0.40500000000000003</v>
      </c>
      <c r="N195">
        <v>0.8</v>
      </c>
      <c r="O195">
        <v>2.4</v>
      </c>
      <c r="P195">
        <v>0.82</v>
      </c>
      <c r="Q195">
        <v>2.46</v>
      </c>
      <c r="S195" t="s">
        <v>883</v>
      </c>
      <c r="T195">
        <v>1</v>
      </c>
      <c r="U195">
        <v>1</v>
      </c>
      <c r="V195">
        <v>1</v>
      </c>
      <c r="W195">
        <v>2.86</v>
      </c>
      <c r="X195">
        <v>2.5739999999999998</v>
      </c>
      <c r="Y195">
        <v>79.92</v>
      </c>
      <c r="Z195">
        <v>79.92</v>
      </c>
      <c r="AA195">
        <v>12.03</v>
      </c>
      <c r="AB195">
        <v>12.03</v>
      </c>
    </row>
    <row r="196" spans="1:28" x14ac:dyDescent="0.25">
      <c r="A196">
        <v>18832918</v>
      </c>
      <c r="B196">
        <v>785634</v>
      </c>
      <c r="C196" t="s">
        <v>523</v>
      </c>
      <c r="E196">
        <v>3760100193718</v>
      </c>
      <c r="H196" t="s">
        <v>806</v>
      </c>
      <c r="I196">
        <v>1</v>
      </c>
      <c r="J196">
        <v>2</v>
      </c>
      <c r="K196">
        <v>2</v>
      </c>
      <c r="L196">
        <v>2.36</v>
      </c>
      <c r="M196">
        <v>2.1240000000000001</v>
      </c>
      <c r="N196">
        <v>2.08</v>
      </c>
      <c r="O196">
        <v>4.16</v>
      </c>
      <c r="P196">
        <v>1.98</v>
      </c>
      <c r="Q196">
        <v>3.96</v>
      </c>
      <c r="S196" t="s">
        <v>884</v>
      </c>
      <c r="T196">
        <v>1</v>
      </c>
      <c r="U196">
        <v>2</v>
      </c>
      <c r="V196">
        <v>2</v>
      </c>
      <c r="W196">
        <v>5.32</v>
      </c>
      <c r="X196">
        <v>4.7880000000000003</v>
      </c>
      <c r="Y196">
        <v>71.424000000000007</v>
      </c>
      <c r="Z196">
        <v>142.84800000000001</v>
      </c>
      <c r="AA196">
        <v>9.85</v>
      </c>
      <c r="AB196">
        <v>19.7</v>
      </c>
    </row>
    <row r="197" spans="1:28" x14ac:dyDescent="0.25">
      <c r="A197">
        <v>18832918</v>
      </c>
      <c r="B197">
        <v>948442</v>
      </c>
      <c r="C197" t="s">
        <v>524</v>
      </c>
      <c r="E197">
        <v>3031443126955</v>
      </c>
      <c r="H197" t="s">
        <v>807</v>
      </c>
      <c r="I197">
        <v>1</v>
      </c>
      <c r="J197">
        <v>3</v>
      </c>
      <c r="K197">
        <v>3</v>
      </c>
      <c r="L197">
        <v>6.3E-2</v>
      </c>
      <c r="M197">
        <v>5.7000000000000002E-2</v>
      </c>
      <c r="N197">
        <v>5.7000000000000002E-2</v>
      </c>
      <c r="O197">
        <v>0.17100000000000001</v>
      </c>
      <c r="P197">
        <v>2.1</v>
      </c>
      <c r="Q197">
        <v>6.3</v>
      </c>
      <c r="S197" t="s">
        <v>885</v>
      </c>
      <c r="T197">
        <v>2</v>
      </c>
      <c r="U197">
        <v>6</v>
      </c>
      <c r="V197">
        <v>6</v>
      </c>
      <c r="W197">
        <v>18.45</v>
      </c>
      <c r="X197">
        <v>16.605</v>
      </c>
      <c r="Y197">
        <v>120</v>
      </c>
      <c r="Z197">
        <v>360</v>
      </c>
      <c r="AA197">
        <v>33.82</v>
      </c>
      <c r="AB197">
        <v>101.46000000000001</v>
      </c>
    </row>
    <row r="198" spans="1:28" x14ac:dyDescent="0.25">
      <c r="A198">
        <v>18832918</v>
      </c>
      <c r="B198">
        <v>288329</v>
      </c>
      <c r="C198" t="s">
        <v>526</v>
      </c>
      <c r="E198">
        <v>8436097092307</v>
      </c>
      <c r="F198">
        <v>8436097091171</v>
      </c>
      <c r="G198">
        <v>8436097093595</v>
      </c>
      <c r="H198" t="s">
        <v>808</v>
      </c>
      <c r="I198">
        <v>1</v>
      </c>
      <c r="J198">
        <v>3</v>
      </c>
      <c r="K198">
        <v>3</v>
      </c>
      <c r="L198">
        <v>1.764</v>
      </c>
      <c r="M198">
        <v>1.587</v>
      </c>
      <c r="N198">
        <v>1.155</v>
      </c>
      <c r="O198">
        <v>3.4649999999999999</v>
      </c>
      <c r="P198">
        <v>0.85</v>
      </c>
      <c r="Q198">
        <v>2.5499999999999998</v>
      </c>
      <c r="S198" t="s">
        <v>886</v>
      </c>
      <c r="T198">
        <v>1</v>
      </c>
      <c r="U198">
        <v>2</v>
      </c>
      <c r="V198">
        <v>2</v>
      </c>
      <c r="W198">
        <v>0.90600000000000003</v>
      </c>
      <c r="X198">
        <v>0.81499999999999995</v>
      </c>
      <c r="Y198">
        <v>9.0660000000000007</v>
      </c>
      <c r="Z198">
        <v>18.132000000000001</v>
      </c>
      <c r="AA198">
        <v>4.5</v>
      </c>
      <c r="AB198">
        <v>9</v>
      </c>
    </row>
    <row r="199" spans="1:28" x14ac:dyDescent="0.25">
      <c r="A199">
        <v>18832918</v>
      </c>
      <c r="B199">
        <v>285893</v>
      </c>
      <c r="C199" t="s">
        <v>527</v>
      </c>
      <c r="E199">
        <v>4005800431258</v>
      </c>
      <c r="H199" t="s">
        <v>809</v>
      </c>
      <c r="I199">
        <v>1</v>
      </c>
      <c r="J199">
        <v>4</v>
      </c>
      <c r="K199">
        <v>4</v>
      </c>
      <c r="L199">
        <v>0.104</v>
      </c>
      <c r="M199">
        <v>9.4E-2</v>
      </c>
      <c r="N199">
        <v>0.26900000000000002</v>
      </c>
      <c r="O199">
        <v>1.0760000000000001</v>
      </c>
      <c r="P199">
        <v>2.1800000000000002</v>
      </c>
      <c r="Q199">
        <v>8.7200000000000006</v>
      </c>
      <c r="S199" t="s">
        <v>887</v>
      </c>
      <c r="T199">
        <v>2</v>
      </c>
      <c r="U199">
        <v>3</v>
      </c>
      <c r="V199">
        <v>3</v>
      </c>
      <c r="W199">
        <v>2.5139999999999998</v>
      </c>
      <c r="X199">
        <v>2.262</v>
      </c>
      <c r="Y199">
        <v>10.752000000000001</v>
      </c>
      <c r="Z199">
        <v>16.128</v>
      </c>
      <c r="AA199">
        <v>9.64</v>
      </c>
      <c r="AB199">
        <v>14.46</v>
      </c>
    </row>
    <row r="200" spans="1:28" x14ac:dyDescent="0.25">
      <c r="A200">
        <v>18832918</v>
      </c>
      <c r="B200">
        <v>777049</v>
      </c>
      <c r="C200" t="s">
        <v>528</v>
      </c>
      <c r="E200">
        <v>8053853182609</v>
      </c>
      <c r="H200" t="s">
        <v>810</v>
      </c>
      <c r="I200">
        <v>1</v>
      </c>
      <c r="J200">
        <v>3</v>
      </c>
      <c r="K200">
        <v>3</v>
      </c>
      <c r="L200">
        <v>0.81</v>
      </c>
      <c r="M200">
        <v>0.72899999999999998</v>
      </c>
      <c r="N200">
        <v>1.8</v>
      </c>
      <c r="O200">
        <v>5.4</v>
      </c>
      <c r="P200">
        <v>1.01</v>
      </c>
      <c r="Q200">
        <v>3.03</v>
      </c>
      <c r="S200" t="s">
        <v>888</v>
      </c>
      <c r="T200">
        <v>1</v>
      </c>
      <c r="U200">
        <v>2</v>
      </c>
      <c r="V200">
        <v>2</v>
      </c>
      <c r="W200">
        <v>30</v>
      </c>
      <c r="X200">
        <v>27</v>
      </c>
      <c r="Y200">
        <v>60</v>
      </c>
      <c r="Z200">
        <v>120</v>
      </c>
      <c r="AA200">
        <v>53.3</v>
      </c>
      <c r="AB200">
        <v>106.6</v>
      </c>
    </row>
    <row r="201" spans="1:28" x14ac:dyDescent="0.25">
      <c r="A201">
        <v>18832918</v>
      </c>
      <c r="B201">
        <v>793634</v>
      </c>
      <c r="C201" t="s">
        <v>529</v>
      </c>
      <c r="E201">
        <v>4046871009625</v>
      </c>
      <c r="F201">
        <v>4046871003029</v>
      </c>
      <c r="H201" t="s">
        <v>811</v>
      </c>
      <c r="I201">
        <v>24</v>
      </c>
      <c r="J201">
        <v>1</v>
      </c>
      <c r="K201">
        <v>24</v>
      </c>
      <c r="L201">
        <v>2.04</v>
      </c>
      <c r="M201">
        <v>1.8360000000000001</v>
      </c>
      <c r="N201">
        <v>0.59499999999999997</v>
      </c>
      <c r="O201">
        <v>14.28</v>
      </c>
      <c r="P201">
        <v>0.3</v>
      </c>
      <c r="Q201">
        <v>7.2</v>
      </c>
      <c r="S201" t="s">
        <v>889</v>
      </c>
      <c r="T201">
        <v>1</v>
      </c>
      <c r="U201">
        <v>3</v>
      </c>
      <c r="V201">
        <v>3</v>
      </c>
      <c r="W201">
        <v>9</v>
      </c>
      <c r="X201">
        <v>8.1</v>
      </c>
      <c r="Y201">
        <v>29.61</v>
      </c>
      <c r="Z201">
        <v>88.83</v>
      </c>
      <c r="AA201">
        <v>38.26</v>
      </c>
      <c r="AB201">
        <v>114.78</v>
      </c>
    </row>
    <row r="202" spans="1:28" x14ac:dyDescent="0.25">
      <c r="A202">
        <v>18832918</v>
      </c>
      <c r="B202">
        <v>348023</v>
      </c>
      <c r="C202" t="s">
        <v>530</v>
      </c>
      <c r="E202">
        <v>3031443127129</v>
      </c>
      <c r="H202" t="s">
        <v>812</v>
      </c>
      <c r="I202">
        <v>1</v>
      </c>
      <c r="J202">
        <v>2</v>
      </c>
      <c r="K202">
        <v>2</v>
      </c>
      <c r="L202">
        <v>0.08</v>
      </c>
      <c r="M202">
        <v>7.1999999999999995E-2</v>
      </c>
      <c r="N202">
        <v>0.23899999999999999</v>
      </c>
      <c r="O202">
        <v>0.47799999999999998</v>
      </c>
      <c r="P202">
        <v>1.4</v>
      </c>
      <c r="Q202">
        <v>2.8</v>
      </c>
      <c r="S202" t="s">
        <v>890</v>
      </c>
      <c r="T202">
        <v>14</v>
      </c>
      <c r="U202">
        <v>4</v>
      </c>
      <c r="V202">
        <v>18</v>
      </c>
      <c r="W202">
        <v>2.9059999999999997</v>
      </c>
      <c r="X202">
        <v>2.6150000000000002</v>
      </c>
      <c r="Y202">
        <v>8.3629999999999995</v>
      </c>
      <c r="Z202">
        <v>46.403999999999996</v>
      </c>
      <c r="AA202">
        <v>4.3</v>
      </c>
      <c r="AB202">
        <v>23.68</v>
      </c>
    </row>
    <row r="203" spans="1:28" x14ac:dyDescent="0.25">
      <c r="A203">
        <v>18832918</v>
      </c>
      <c r="B203">
        <v>643659</v>
      </c>
      <c r="C203" t="s">
        <v>531</v>
      </c>
      <c r="E203">
        <v>3491955034733</v>
      </c>
      <c r="F203">
        <v>3491953809494</v>
      </c>
      <c r="G203">
        <v>3491955546090</v>
      </c>
      <c r="H203" t="s">
        <v>813</v>
      </c>
      <c r="I203">
        <v>1</v>
      </c>
      <c r="J203">
        <v>2</v>
      </c>
      <c r="K203">
        <v>2</v>
      </c>
      <c r="L203">
        <v>0.746</v>
      </c>
      <c r="M203">
        <v>0.67100000000000004</v>
      </c>
      <c r="N203">
        <v>3.0489999999999999</v>
      </c>
      <c r="O203">
        <v>6.0979999999999999</v>
      </c>
      <c r="P203">
        <v>2.02</v>
      </c>
      <c r="Q203">
        <v>4.04</v>
      </c>
      <c r="S203" t="s">
        <v>891</v>
      </c>
      <c r="T203">
        <v>1</v>
      </c>
      <c r="U203">
        <v>1</v>
      </c>
      <c r="V203">
        <v>1</v>
      </c>
      <c r="W203">
        <v>2.0329999999999999</v>
      </c>
      <c r="X203">
        <v>1.83</v>
      </c>
      <c r="Y203">
        <v>15.551</v>
      </c>
      <c r="Z203">
        <v>15.551</v>
      </c>
      <c r="AA203">
        <v>11.88</v>
      </c>
      <c r="AB203">
        <v>11.88</v>
      </c>
    </row>
    <row r="204" spans="1:28" x14ac:dyDescent="0.25">
      <c r="A204">
        <v>18832918</v>
      </c>
      <c r="B204">
        <v>986843</v>
      </c>
      <c r="C204" t="s">
        <v>532</v>
      </c>
      <c r="E204">
        <v>3560231533977</v>
      </c>
      <c r="H204" t="s">
        <v>738</v>
      </c>
      <c r="I204">
        <v>1</v>
      </c>
      <c r="J204">
        <v>1</v>
      </c>
      <c r="K204">
        <v>1</v>
      </c>
      <c r="L204">
        <v>0.35499999999999998</v>
      </c>
      <c r="M204">
        <v>0.32</v>
      </c>
      <c r="N204">
        <v>3.12</v>
      </c>
      <c r="O204">
        <v>3.12</v>
      </c>
      <c r="P204">
        <v>2.78</v>
      </c>
      <c r="Q204">
        <v>2.78</v>
      </c>
      <c r="S204" t="s">
        <v>892</v>
      </c>
      <c r="T204">
        <v>12</v>
      </c>
      <c r="U204">
        <v>4</v>
      </c>
      <c r="V204">
        <v>12</v>
      </c>
      <c r="W204">
        <v>4.3380000000000001</v>
      </c>
      <c r="X204">
        <v>3.9039999999999999</v>
      </c>
      <c r="Y204">
        <v>8.58</v>
      </c>
      <c r="Z204">
        <v>25.740000000000002</v>
      </c>
      <c r="AA204">
        <v>12.719999999999999</v>
      </c>
      <c r="AB204">
        <v>38.159999999999997</v>
      </c>
    </row>
    <row r="205" spans="1:28" x14ac:dyDescent="0.25">
      <c r="A205">
        <v>18832918</v>
      </c>
      <c r="B205">
        <v>683169</v>
      </c>
      <c r="C205" t="s">
        <v>533</v>
      </c>
      <c r="H205" t="s">
        <v>814</v>
      </c>
      <c r="I205">
        <v>2</v>
      </c>
      <c r="J205">
        <v>1</v>
      </c>
      <c r="K205">
        <v>2</v>
      </c>
      <c r="L205">
        <v>1.9039999999999999</v>
      </c>
      <c r="M205">
        <v>1.714</v>
      </c>
      <c r="N205">
        <v>6.2190000000000003</v>
      </c>
      <c r="O205">
        <v>12.438000000000001</v>
      </c>
      <c r="P205">
        <v>4.32</v>
      </c>
      <c r="Q205">
        <v>8.64</v>
      </c>
      <c r="S205" t="s">
        <v>893</v>
      </c>
      <c r="T205">
        <v>6</v>
      </c>
      <c r="U205">
        <v>2</v>
      </c>
      <c r="V205">
        <v>6</v>
      </c>
      <c r="W205">
        <v>1.5960000000000001</v>
      </c>
      <c r="X205">
        <v>1.4359999999999999</v>
      </c>
      <c r="Y205">
        <v>3.57</v>
      </c>
      <c r="Z205">
        <v>10.71</v>
      </c>
      <c r="AA205">
        <v>9.7799999999999994</v>
      </c>
      <c r="AB205">
        <v>29.34</v>
      </c>
    </row>
    <row r="206" spans="1:28" x14ac:dyDescent="0.25">
      <c r="A206">
        <v>18832918</v>
      </c>
      <c r="B206">
        <v>293149</v>
      </c>
      <c r="C206" t="s">
        <v>534</v>
      </c>
      <c r="H206" t="s">
        <v>814</v>
      </c>
      <c r="I206">
        <v>1</v>
      </c>
      <c r="J206">
        <v>2</v>
      </c>
      <c r="K206">
        <v>2</v>
      </c>
      <c r="L206">
        <v>3.0390000000000001</v>
      </c>
      <c r="M206">
        <v>2.7349999999999999</v>
      </c>
      <c r="N206">
        <v>9</v>
      </c>
      <c r="O206">
        <v>18</v>
      </c>
      <c r="P206">
        <v>5.09</v>
      </c>
      <c r="Q206">
        <v>10.18</v>
      </c>
      <c r="S206" t="s">
        <v>894</v>
      </c>
      <c r="T206">
        <v>12</v>
      </c>
      <c r="U206">
        <v>2</v>
      </c>
      <c r="V206">
        <v>12</v>
      </c>
      <c r="W206">
        <v>3.2280000000000002</v>
      </c>
      <c r="X206">
        <v>2.9060000000000001</v>
      </c>
      <c r="Y206">
        <v>5.8419999999999996</v>
      </c>
      <c r="Z206">
        <v>35.052</v>
      </c>
      <c r="AA206">
        <v>3.6</v>
      </c>
      <c r="AB206">
        <v>21.6</v>
      </c>
    </row>
    <row r="207" spans="1:28" x14ac:dyDescent="0.25">
      <c r="A207">
        <v>18832918</v>
      </c>
      <c r="B207">
        <v>303318</v>
      </c>
      <c r="C207" t="s">
        <v>535</v>
      </c>
      <c r="H207" t="s">
        <v>698</v>
      </c>
      <c r="I207">
        <v>1</v>
      </c>
      <c r="J207">
        <v>1</v>
      </c>
      <c r="K207">
        <v>1</v>
      </c>
      <c r="L207">
        <v>0.59499999999999997</v>
      </c>
      <c r="M207">
        <v>0.53600000000000003</v>
      </c>
      <c r="N207">
        <v>4.3410000000000002</v>
      </c>
      <c r="O207">
        <v>4.3410000000000002</v>
      </c>
      <c r="P207">
        <v>3.2</v>
      </c>
      <c r="Q207">
        <v>3.2</v>
      </c>
      <c r="S207" t="s">
        <v>895</v>
      </c>
      <c r="T207">
        <v>12</v>
      </c>
      <c r="U207">
        <v>1</v>
      </c>
      <c r="V207">
        <v>12</v>
      </c>
      <c r="W207">
        <v>0.54</v>
      </c>
      <c r="X207">
        <v>0.48599999999999999</v>
      </c>
      <c r="Y207">
        <v>0.73499999999999999</v>
      </c>
      <c r="Z207">
        <v>8.82</v>
      </c>
      <c r="AA207">
        <v>0.93</v>
      </c>
      <c r="AB207">
        <v>11.16</v>
      </c>
    </row>
    <row r="208" spans="1:28" x14ac:dyDescent="0.25">
      <c r="A208">
        <v>18832918</v>
      </c>
      <c r="B208">
        <v>679169</v>
      </c>
      <c r="C208" t="s">
        <v>536</v>
      </c>
      <c r="H208" t="s">
        <v>815</v>
      </c>
      <c r="I208">
        <v>2</v>
      </c>
      <c r="J208">
        <v>1</v>
      </c>
      <c r="K208">
        <v>2</v>
      </c>
      <c r="L208">
        <v>0.61799999999999999</v>
      </c>
      <c r="M208">
        <v>0.55600000000000005</v>
      </c>
      <c r="N208">
        <v>3.0249999999999999</v>
      </c>
      <c r="O208">
        <v>6.05</v>
      </c>
      <c r="P208">
        <v>2.78</v>
      </c>
      <c r="Q208">
        <v>5.56</v>
      </c>
      <c r="S208" t="s">
        <v>896</v>
      </c>
      <c r="T208">
        <v>24</v>
      </c>
      <c r="U208">
        <v>2</v>
      </c>
      <c r="V208">
        <v>24</v>
      </c>
      <c r="W208">
        <v>6.6</v>
      </c>
      <c r="X208">
        <v>5.94</v>
      </c>
      <c r="Y208">
        <v>5.4</v>
      </c>
      <c r="Z208">
        <v>64.8</v>
      </c>
      <c r="AA208">
        <v>5.0999999999999996</v>
      </c>
      <c r="AB208">
        <v>61.2</v>
      </c>
    </row>
    <row r="209" spans="1:28" x14ac:dyDescent="0.25">
      <c r="A209">
        <v>18832918</v>
      </c>
      <c r="B209">
        <v>318753</v>
      </c>
      <c r="C209" t="s">
        <v>537</v>
      </c>
      <c r="H209" t="s">
        <v>816</v>
      </c>
      <c r="I209">
        <v>1</v>
      </c>
      <c r="J209">
        <v>1</v>
      </c>
      <c r="K209">
        <v>1</v>
      </c>
      <c r="L209">
        <v>0.34699999999999998</v>
      </c>
      <c r="M209">
        <v>0.312</v>
      </c>
      <c r="N209">
        <v>4.2629999999999999</v>
      </c>
      <c r="O209">
        <v>4.2629999999999999</v>
      </c>
      <c r="P209">
        <v>2.61</v>
      </c>
      <c r="Q209">
        <v>2.61</v>
      </c>
      <c r="S209" t="s">
        <v>897</v>
      </c>
      <c r="T209">
        <v>8</v>
      </c>
      <c r="U209">
        <v>2</v>
      </c>
      <c r="V209">
        <v>8</v>
      </c>
      <c r="W209">
        <v>5</v>
      </c>
      <c r="X209">
        <v>4.5</v>
      </c>
      <c r="Y209">
        <v>7.0860000000000003</v>
      </c>
      <c r="Z209">
        <v>28.344000000000001</v>
      </c>
      <c r="AA209">
        <v>6.5</v>
      </c>
      <c r="AB209">
        <v>26</v>
      </c>
    </row>
    <row r="210" spans="1:28" x14ac:dyDescent="0.25">
      <c r="A210">
        <v>18832918</v>
      </c>
      <c r="B210">
        <v>962957</v>
      </c>
      <c r="C210" t="s">
        <v>538</v>
      </c>
      <c r="E210">
        <v>3491955149178</v>
      </c>
      <c r="H210" t="s">
        <v>817</v>
      </c>
      <c r="I210">
        <v>1</v>
      </c>
      <c r="J210">
        <v>2</v>
      </c>
      <c r="K210">
        <v>2</v>
      </c>
      <c r="L210">
        <v>1.1419999999999999</v>
      </c>
      <c r="M210">
        <v>1.028</v>
      </c>
      <c r="N210">
        <v>7.3280000000000003</v>
      </c>
      <c r="O210">
        <v>14.656000000000001</v>
      </c>
      <c r="P210">
        <v>5.97</v>
      </c>
      <c r="Q210">
        <v>11.94</v>
      </c>
      <c r="S210" t="s">
        <v>898</v>
      </c>
      <c r="T210">
        <v>24</v>
      </c>
      <c r="U210">
        <v>3</v>
      </c>
      <c r="V210">
        <v>24</v>
      </c>
      <c r="W210">
        <v>0.77400000000000002</v>
      </c>
      <c r="X210">
        <v>0.69700000000000006</v>
      </c>
      <c r="Y210">
        <v>7.5329999999999995</v>
      </c>
      <c r="Z210">
        <v>60.197999999999993</v>
      </c>
      <c r="AA210">
        <v>6.43</v>
      </c>
      <c r="AB210">
        <v>54.42</v>
      </c>
    </row>
    <row r="211" spans="1:28" x14ac:dyDescent="0.25">
      <c r="A211">
        <v>18832918</v>
      </c>
      <c r="B211">
        <v>354301</v>
      </c>
      <c r="C211" t="s">
        <v>539</v>
      </c>
      <c r="H211" t="s">
        <v>815</v>
      </c>
      <c r="I211">
        <v>2</v>
      </c>
      <c r="J211">
        <v>1</v>
      </c>
      <c r="K211">
        <v>2</v>
      </c>
      <c r="L211">
        <v>0.44</v>
      </c>
      <c r="M211">
        <v>0.39600000000000002</v>
      </c>
      <c r="N211">
        <v>2.8410000000000002</v>
      </c>
      <c r="O211">
        <v>5.6820000000000004</v>
      </c>
      <c r="P211">
        <v>2.21</v>
      </c>
      <c r="Q211">
        <v>4.42</v>
      </c>
      <c r="S211" t="s">
        <v>899</v>
      </c>
      <c r="T211">
        <v>16</v>
      </c>
      <c r="U211">
        <v>12</v>
      </c>
      <c r="V211">
        <v>22</v>
      </c>
      <c r="W211">
        <v>51.400000000000006</v>
      </c>
      <c r="X211">
        <v>46.260000000000005</v>
      </c>
      <c r="Y211">
        <v>102.104</v>
      </c>
      <c r="Z211">
        <v>314.03200000000004</v>
      </c>
      <c r="AA211">
        <v>85.899999999999991</v>
      </c>
      <c r="AB211">
        <v>257.45999999999998</v>
      </c>
    </row>
    <row r="212" spans="1:28" x14ac:dyDescent="0.25">
      <c r="A212">
        <v>18832918</v>
      </c>
      <c r="B212">
        <v>1019071</v>
      </c>
      <c r="C212" t="s">
        <v>540</v>
      </c>
      <c r="E212">
        <v>5407007987467</v>
      </c>
      <c r="H212" t="s">
        <v>818</v>
      </c>
      <c r="I212">
        <v>1</v>
      </c>
      <c r="J212">
        <v>2</v>
      </c>
      <c r="K212">
        <v>2</v>
      </c>
      <c r="L212">
        <v>1.94</v>
      </c>
      <c r="M212">
        <v>1.746</v>
      </c>
      <c r="N212">
        <v>4.9850000000000003</v>
      </c>
      <c r="O212">
        <v>9.9700000000000006</v>
      </c>
      <c r="P212">
        <v>3.07</v>
      </c>
      <c r="Q212">
        <v>6.14</v>
      </c>
      <c r="S212" t="s">
        <v>900</v>
      </c>
      <c r="T212">
        <v>4</v>
      </c>
      <c r="U212">
        <v>16</v>
      </c>
      <c r="V212">
        <v>16</v>
      </c>
      <c r="W212">
        <v>6.5279999999999987</v>
      </c>
      <c r="X212">
        <v>5.8759999999999994</v>
      </c>
      <c r="Y212">
        <v>18.72</v>
      </c>
      <c r="Z212">
        <v>74.88</v>
      </c>
      <c r="AA212">
        <v>44.32</v>
      </c>
      <c r="AB212">
        <v>177.28</v>
      </c>
    </row>
    <row r="213" spans="1:28" x14ac:dyDescent="0.25">
      <c r="A213">
        <v>18832918</v>
      </c>
      <c r="B213">
        <v>393357</v>
      </c>
      <c r="C213" t="s">
        <v>541</v>
      </c>
      <c r="E213">
        <v>2090000725346</v>
      </c>
      <c r="H213" t="s">
        <v>819</v>
      </c>
      <c r="I213">
        <v>1</v>
      </c>
      <c r="J213">
        <v>1</v>
      </c>
      <c r="K213">
        <v>1</v>
      </c>
      <c r="L213">
        <v>0.628</v>
      </c>
      <c r="M213">
        <v>0.56499999999999995</v>
      </c>
      <c r="N213">
        <v>4.32</v>
      </c>
      <c r="O213">
        <v>4.32</v>
      </c>
      <c r="P213">
        <v>4.82</v>
      </c>
      <c r="Q213">
        <v>4.82</v>
      </c>
      <c r="S213" t="s">
        <v>901</v>
      </c>
      <c r="T213">
        <v>12</v>
      </c>
      <c r="U213">
        <v>2</v>
      </c>
      <c r="V213">
        <v>12</v>
      </c>
      <c r="W213">
        <v>4.08</v>
      </c>
      <c r="X213">
        <v>3.6720000000000002</v>
      </c>
      <c r="Y213">
        <v>1.548</v>
      </c>
      <c r="Z213">
        <v>9.2880000000000003</v>
      </c>
      <c r="AA213">
        <v>15.52</v>
      </c>
      <c r="AB213">
        <v>93.12</v>
      </c>
    </row>
    <row r="214" spans="1:28" x14ac:dyDescent="0.25">
      <c r="A214">
        <v>18832918</v>
      </c>
      <c r="B214">
        <v>981811</v>
      </c>
      <c r="C214" t="s">
        <v>542</v>
      </c>
      <c r="E214">
        <v>5414987432511</v>
      </c>
      <c r="H214" t="s">
        <v>820</v>
      </c>
      <c r="I214">
        <v>1</v>
      </c>
      <c r="J214">
        <v>2</v>
      </c>
      <c r="K214">
        <v>2</v>
      </c>
      <c r="L214">
        <v>1.6</v>
      </c>
      <c r="M214">
        <v>1.44</v>
      </c>
      <c r="N214">
        <v>5.3659999999999997</v>
      </c>
      <c r="O214">
        <v>10.731999999999999</v>
      </c>
      <c r="P214">
        <v>6.29</v>
      </c>
      <c r="Q214">
        <v>12.58</v>
      </c>
      <c r="S214" t="s">
        <v>902</v>
      </c>
      <c r="T214">
        <v>24</v>
      </c>
      <c r="U214">
        <v>6</v>
      </c>
      <c r="V214">
        <v>24</v>
      </c>
      <c r="W214">
        <v>10.8</v>
      </c>
      <c r="X214">
        <v>9.7200000000000024</v>
      </c>
      <c r="Y214">
        <v>23.231999999999999</v>
      </c>
      <c r="Z214">
        <v>92.927999999999997</v>
      </c>
      <c r="AA214">
        <v>95.88000000000001</v>
      </c>
      <c r="AB214">
        <v>383.52000000000004</v>
      </c>
    </row>
    <row r="215" spans="1:28" x14ac:dyDescent="0.25">
      <c r="A215">
        <v>18832918</v>
      </c>
      <c r="B215">
        <v>929133</v>
      </c>
      <c r="C215" t="s">
        <v>543</v>
      </c>
      <c r="E215">
        <v>3700003575778</v>
      </c>
      <c r="H215" t="s">
        <v>821</v>
      </c>
      <c r="I215">
        <v>1</v>
      </c>
      <c r="J215">
        <v>3</v>
      </c>
      <c r="K215">
        <v>3</v>
      </c>
      <c r="L215">
        <v>0.219</v>
      </c>
      <c r="M215">
        <v>0.19700000000000001</v>
      </c>
      <c r="N215">
        <v>0.9</v>
      </c>
      <c r="O215">
        <v>2.7</v>
      </c>
      <c r="P215">
        <v>1.8</v>
      </c>
      <c r="Q215">
        <v>5.4</v>
      </c>
      <c r="S215" t="s">
        <v>903</v>
      </c>
      <c r="T215">
        <v>6</v>
      </c>
      <c r="U215">
        <v>12</v>
      </c>
      <c r="V215">
        <v>12</v>
      </c>
      <c r="W215">
        <v>8.7319999999999993</v>
      </c>
      <c r="X215">
        <v>7.8579999999999997</v>
      </c>
      <c r="Y215">
        <v>14.235999999999999</v>
      </c>
      <c r="Z215">
        <v>28.471999999999998</v>
      </c>
      <c r="AA215">
        <v>34.04</v>
      </c>
      <c r="AB215">
        <v>68.08</v>
      </c>
    </row>
    <row r="216" spans="1:28" x14ac:dyDescent="0.25">
      <c r="A216">
        <v>18832918</v>
      </c>
      <c r="B216">
        <v>1016557</v>
      </c>
      <c r="C216" t="s">
        <v>544</v>
      </c>
      <c r="E216">
        <v>3331849020483</v>
      </c>
      <c r="H216" t="s">
        <v>822</v>
      </c>
      <c r="I216">
        <v>1</v>
      </c>
      <c r="J216">
        <v>4</v>
      </c>
      <c r="K216">
        <v>4</v>
      </c>
      <c r="L216">
        <v>0.13200000000000001</v>
      </c>
      <c r="M216">
        <v>0.11899999999999999</v>
      </c>
      <c r="N216">
        <v>0.14799999999999999</v>
      </c>
      <c r="O216">
        <v>0.59199999999999997</v>
      </c>
      <c r="P216">
        <v>3.69</v>
      </c>
      <c r="Q216">
        <v>14.76</v>
      </c>
      <c r="S216" t="s">
        <v>904</v>
      </c>
      <c r="T216">
        <v>16</v>
      </c>
      <c r="U216">
        <v>10</v>
      </c>
      <c r="V216">
        <v>20</v>
      </c>
      <c r="W216">
        <v>28.488</v>
      </c>
      <c r="X216">
        <v>25.64</v>
      </c>
      <c r="Y216">
        <v>36.372</v>
      </c>
      <c r="Z216">
        <v>192.208</v>
      </c>
      <c r="AA216">
        <v>25.36</v>
      </c>
      <c r="AB216">
        <v>88.8</v>
      </c>
    </row>
    <row r="217" spans="1:28" x14ac:dyDescent="0.25">
      <c r="A217">
        <v>18832918</v>
      </c>
      <c r="B217">
        <v>707053</v>
      </c>
      <c r="C217" t="s">
        <v>545</v>
      </c>
      <c r="E217">
        <v>3491953710691</v>
      </c>
      <c r="H217" t="s">
        <v>823</v>
      </c>
      <c r="I217">
        <v>1</v>
      </c>
      <c r="J217">
        <v>5</v>
      </c>
      <c r="K217">
        <v>5</v>
      </c>
      <c r="L217">
        <v>0.25</v>
      </c>
      <c r="M217">
        <v>0.22500000000000001</v>
      </c>
      <c r="N217">
        <v>0.64900000000000002</v>
      </c>
      <c r="O217">
        <v>3.2450000000000001</v>
      </c>
      <c r="P217">
        <v>0.21</v>
      </c>
      <c r="Q217">
        <v>1.05</v>
      </c>
      <c r="S217" t="s">
        <v>905</v>
      </c>
      <c r="T217">
        <v>12</v>
      </c>
      <c r="U217">
        <v>2</v>
      </c>
      <c r="V217">
        <v>12</v>
      </c>
      <c r="W217">
        <v>37.991999999999997</v>
      </c>
      <c r="X217">
        <v>34.192</v>
      </c>
      <c r="Y217">
        <v>47.48</v>
      </c>
      <c r="Z217">
        <v>284.88</v>
      </c>
      <c r="AA217">
        <v>41.18</v>
      </c>
      <c r="AB217">
        <v>247.08</v>
      </c>
    </row>
    <row r="218" spans="1:28" x14ac:dyDescent="0.25">
      <c r="A218">
        <v>18832918</v>
      </c>
      <c r="B218">
        <v>348194</v>
      </c>
      <c r="C218" t="s">
        <v>546</v>
      </c>
      <c r="E218">
        <v>3700003512063</v>
      </c>
      <c r="H218" t="s">
        <v>823</v>
      </c>
      <c r="I218">
        <v>1</v>
      </c>
      <c r="J218">
        <v>8</v>
      </c>
      <c r="K218">
        <v>8</v>
      </c>
      <c r="L218">
        <v>0.26400000000000001</v>
      </c>
      <c r="M218">
        <v>0.23799999999999999</v>
      </c>
      <c r="N218">
        <v>0.5</v>
      </c>
      <c r="O218">
        <v>4</v>
      </c>
      <c r="P218">
        <v>0.81</v>
      </c>
      <c r="Q218">
        <v>6.48</v>
      </c>
      <c r="S218" t="s">
        <v>906</v>
      </c>
      <c r="T218">
        <v>2</v>
      </c>
      <c r="U218">
        <v>4</v>
      </c>
      <c r="V218">
        <v>4</v>
      </c>
      <c r="W218">
        <v>3.3319999999999999</v>
      </c>
      <c r="X218">
        <v>2.9980000000000002</v>
      </c>
      <c r="Y218">
        <v>7</v>
      </c>
      <c r="Z218">
        <v>14</v>
      </c>
      <c r="AA218">
        <v>29.44</v>
      </c>
      <c r="AB218">
        <v>58.88</v>
      </c>
    </row>
    <row r="219" spans="1:28" x14ac:dyDescent="0.25">
      <c r="A219">
        <v>18832918</v>
      </c>
      <c r="B219">
        <v>682645</v>
      </c>
      <c r="C219" t="s">
        <v>547</v>
      </c>
      <c r="E219">
        <v>8436097093656</v>
      </c>
      <c r="H219" t="s">
        <v>824</v>
      </c>
      <c r="I219">
        <v>1</v>
      </c>
      <c r="J219">
        <v>4</v>
      </c>
      <c r="K219">
        <v>4</v>
      </c>
      <c r="L219">
        <v>0.53200000000000003</v>
      </c>
      <c r="M219">
        <v>0.47899999999999998</v>
      </c>
      <c r="N219">
        <v>0.26</v>
      </c>
      <c r="O219">
        <v>1.04</v>
      </c>
      <c r="P219">
        <v>0.66</v>
      </c>
      <c r="Q219">
        <v>2.64</v>
      </c>
      <c r="S219" t="s">
        <v>907</v>
      </c>
      <c r="T219">
        <v>12</v>
      </c>
      <c r="U219">
        <v>2</v>
      </c>
      <c r="V219">
        <v>12</v>
      </c>
      <c r="W219">
        <v>5.9160000000000004</v>
      </c>
      <c r="X219">
        <v>5.3239999999999998</v>
      </c>
      <c r="Y219">
        <v>23.52</v>
      </c>
      <c r="Z219">
        <v>141.12</v>
      </c>
      <c r="AA219">
        <v>13.2</v>
      </c>
      <c r="AB219">
        <v>79.2</v>
      </c>
    </row>
    <row r="220" spans="1:28" x14ac:dyDescent="0.25">
      <c r="A220">
        <v>18832918</v>
      </c>
      <c r="B220">
        <v>1020052</v>
      </c>
      <c r="C220" t="s">
        <v>548</v>
      </c>
      <c r="E220">
        <v>3563210035233</v>
      </c>
      <c r="F220">
        <v>3563210032188</v>
      </c>
      <c r="H220" t="s">
        <v>825</v>
      </c>
      <c r="I220">
        <v>1</v>
      </c>
      <c r="J220">
        <v>2</v>
      </c>
      <c r="K220">
        <v>7</v>
      </c>
      <c r="L220">
        <v>0.38500000000000001</v>
      </c>
      <c r="M220">
        <v>0.34699999999999998</v>
      </c>
      <c r="N220">
        <v>0.14199999999999999</v>
      </c>
      <c r="O220">
        <v>0.99399999999999999</v>
      </c>
      <c r="P220">
        <v>2.11</v>
      </c>
      <c r="Q220">
        <v>14.77</v>
      </c>
      <c r="S220" t="s">
        <v>908</v>
      </c>
      <c r="T220">
        <v>2</v>
      </c>
      <c r="U220">
        <v>28</v>
      </c>
      <c r="V220">
        <v>28</v>
      </c>
      <c r="W220">
        <v>56</v>
      </c>
      <c r="X220">
        <v>50.4</v>
      </c>
      <c r="Y220">
        <v>20.202000000000002</v>
      </c>
      <c r="Z220">
        <v>282.82799999999997</v>
      </c>
      <c r="AA220">
        <v>1.42</v>
      </c>
      <c r="AB220">
        <v>19.88</v>
      </c>
    </row>
    <row r="221" spans="1:28" x14ac:dyDescent="0.25">
      <c r="A221">
        <v>18832918</v>
      </c>
      <c r="B221">
        <v>625318</v>
      </c>
      <c r="C221" t="s">
        <v>549</v>
      </c>
      <c r="E221">
        <v>3563210013743</v>
      </c>
      <c r="H221" t="s">
        <v>776</v>
      </c>
      <c r="I221">
        <v>1</v>
      </c>
      <c r="J221">
        <v>4</v>
      </c>
      <c r="K221">
        <v>4</v>
      </c>
      <c r="L221">
        <v>1.0840000000000001</v>
      </c>
      <c r="M221">
        <v>0.97599999999999998</v>
      </c>
      <c r="N221">
        <v>0.46100000000000002</v>
      </c>
      <c r="O221">
        <v>1.8440000000000001</v>
      </c>
      <c r="P221">
        <v>4.63</v>
      </c>
      <c r="Q221">
        <v>18.52</v>
      </c>
      <c r="S221" t="s">
        <v>909</v>
      </c>
      <c r="T221">
        <v>2</v>
      </c>
      <c r="U221">
        <v>2</v>
      </c>
      <c r="V221">
        <v>54</v>
      </c>
      <c r="W221">
        <v>12.042</v>
      </c>
      <c r="X221">
        <v>10.837999999999999</v>
      </c>
      <c r="Y221">
        <v>2.6659999999999999</v>
      </c>
      <c r="Z221">
        <v>71.981999999999999</v>
      </c>
      <c r="AA221">
        <v>5.0199999999999996</v>
      </c>
      <c r="AB221">
        <v>135.54</v>
      </c>
    </row>
    <row r="222" spans="1:28" x14ac:dyDescent="0.25">
      <c r="A222">
        <v>18832918</v>
      </c>
      <c r="B222">
        <v>661610</v>
      </c>
      <c r="C222" t="s">
        <v>550</v>
      </c>
      <c r="E222">
        <v>40058153</v>
      </c>
      <c r="F222">
        <v>42429449</v>
      </c>
      <c r="H222" t="s">
        <v>826</v>
      </c>
      <c r="I222">
        <v>10</v>
      </c>
      <c r="J222">
        <v>1</v>
      </c>
      <c r="K222">
        <v>10</v>
      </c>
      <c r="L222">
        <v>0.36</v>
      </c>
      <c r="M222">
        <v>0.32400000000000001</v>
      </c>
      <c r="N222">
        <v>6.4000000000000001E-2</v>
      </c>
      <c r="O222">
        <v>0.64</v>
      </c>
      <c r="P222">
        <v>0.43</v>
      </c>
      <c r="Q222">
        <v>4.3</v>
      </c>
      <c r="S222" t="s">
        <v>910</v>
      </c>
      <c r="T222">
        <v>2</v>
      </c>
      <c r="U222">
        <v>2</v>
      </c>
      <c r="V222">
        <v>60</v>
      </c>
      <c r="W222">
        <v>3.6</v>
      </c>
      <c r="X222">
        <v>3.24</v>
      </c>
      <c r="Y222">
        <v>0.19800000000000001</v>
      </c>
      <c r="Z222">
        <v>5.94</v>
      </c>
      <c r="AA222">
        <v>0.9</v>
      </c>
      <c r="AB222">
        <v>27</v>
      </c>
    </row>
    <row r="223" spans="1:28" x14ac:dyDescent="0.25">
      <c r="A223">
        <v>18832918</v>
      </c>
      <c r="B223">
        <v>617280</v>
      </c>
      <c r="C223" t="s">
        <v>551</v>
      </c>
      <c r="E223">
        <v>3549620007039</v>
      </c>
      <c r="H223" t="s">
        <v>827</v>
      </c>
      <c r="I223">
        <v>1</v>
      </c>
      <c r="J223">
        <v>2</v>
      </c>
      <c r="K223">
        <v>2</v>
      </c>
      <c r="L223">
        <v>1.1359999999999999</v>
      </c>
      <c r="M223">
        <v>1.022</v>
      </c>
      <c r="N223">
        <v>0.96</v>
      </c>
      <c r="O223">
        <v>1.92</v>
      </c>
      <c r="P223">
        <v>2.3199999999999998</v>
      </c>
      <c r="Q223">
        <v>4.6399999999999997</v>
      </c>
      <c r="S223" t="s">
        <v>911</v>
      </c>
      <c r="T223">
        <v>4</v>
      </c>
      <c r="U223">
        <v>4</v>
      </c>
      <c r="V223">
        <v>176</v>
      </c>
      <c r="W223">
        <v>15.952</v>
      </c>
      <c r="X223">
        <v>14.356</v>
      </c>
      <c r="Y223">
        <v>1.514</v>
      </c>
      <c r="Z223">
        <v>72.176000000000002</v>
      </c>
      <c r="AA223">
        <v>7.08</v>
      </c>
      <c r="AB223">
        <v>334.72</v>
      </c>
    </row>
    <row r="224" spans="1:28" x14ac:dyDescent="0.25">
      <c r="A224">
        <v>18832918</v>
      </c>
      <c r="B224">
        <v>789198</v>
      </c>
      <c r="C224" t="s">
        <v>552</v>
      </c>
      <c r="E224">
        <v>3031440002368</v>
      </c>
      <c r="H224" t="s">
        <v>828</v>
      </c>
      <c r="I224">
        <v>5</v>
      </c>
      <c r="J224">
        <v>1</v>
      </c>
      <c r="K224">
        <v>5</v>
      </c>
      <c r="L224">
        <v>0.11</v>
      </c>
      <c r="M224">
        <v>9.9000000000000005E-2</v>
      </c>
      <c r="N224">
        <v>0.24</v>
      </c>
      <c r="O224">
        <v>1.2</v>
      </c>
      <c r="P224">
        <v>1.22</v>
      </c>
      <c r="Q224">
        <v>6.1</v>
      </c>
      <c r="S224" t="s">
        <v>912</v>
      </c>
      <c r="T224">
        <v>10</v>
      </c>
      <c r="U224">
        <v>10</v>
      </c>
      <c r="V224">
        <v>208</v>
      </c>
      <c r="W224">
        <v>38.075999999999993</v>
      </c>
      <c r="X224">
        <v>34.268000000000001</v>
      </c>
      <c r="Y224">
        <v>14.212000000000002</v>
      </c>
      <c r="Z224">
        <v>314.76800000000003</v>
      </c>
      <c r="AA224">
        <v>47.739999999999995</v>
      </c>
      <c r="AB224">
        <v>804.56</v>
      </c>
    </row>
    <row r="225" spans="1:28" x14ac:dyDescent="0.25">
      <c r="A225">
        <v>18832918</v>
      </c>
      <c r="B225">
        <v>785625</v>
      </c>
      <c r="C225" t="s">
        <v>553</v>
      </c>
      <c r="E225">
        <v>3760100183450</v>
      </c>
      <c r="H225" t="s">
        <v>829</v>
      </c>
      <c r="I225">
        <v>1</v>
      </c>
      <c r="J225">
        <v>2</v>
      </c>
      <c r="K225">
        <v>2</v>
      </c>
      <c r="L225">
        <v>2.3319999999999999</v>
      </c>
      <c r="M225">
        <v>2.0990000000000002</v>
      </c>
      <c r="N225">
        <v>2.08</v>
      </c>
      <c r="O225">
        <v>4.16</v>
      </c>
      <c r="P225">
        <v>1.98</v>
      </c>
      <c r="Q225">
        <v>3.96</v>
      </c>
      <c r="S225" t="s">
        <v>913</v>
      </c>
      <c r="T225">
        <v>4</v>
      </c>
      <c r="U225">
        <v>4</v>
      </c>
      <c r="V225">
        <v>176</v>
      </c>
      <c r="W225">
        <v>7.6559999999999997</v>
      </c>
      <c r="X225">
        <v>6.8900000000000006</v>
      </c>
      <c r="Y225">
        <v>1.6059999999999999</v>
      </c>
      <c r="Z225">
        <v>73.111999999999995</v>
      </c>
      <c r="AA225">
        <v>4.4000000000000004</v>
      </c>
      <c r="AB225">
        <v>201.28000000000003</v>
      </c>
    </row>
    <row r="226" spans="1:28" x14ac:dyDescent="0.25">
      <c r="A226">
        <v>18832918</v>
      </c>
      <c r="B226">
        <v>953554</v>
      </c>
      <c r="C226" t="s">
        <v>554</v>
      </c>
      <c r="E226">
        <v>3760100203783</v>
      </c>
      <c r="H226" t="s">
        <v>829</v>
      </c>
      <c r="I226">
        <v>1</v>
      </c>
      <c r="J226">
        <v>2</v>
      </c>
      <c r="K226">
        <v>2</v>
      </c>
      <c r="L226">
        <v>2.3260000000000001</v>
      </c>
      <c r="M226">
        <v>2.093</v>
      </c>
      <c r="N226">
        <v>2.2749999999999999</v>
      </c>
      <c r="O226">
        <v>4.55</v>
      </c>
      <c r="P226">
        <v>1.97</v>
      </c>
      <c r="Q226">
        <v>3.94</v>
      </c>
      <c r="S226" t="s">
        <v>914</v>
      </c>
      <c r="T226">
        <v>128</v>
      </c>
      <c r="U226">
        <v>2</v>
      </c>
      <c r="V226">
        <v>128</v>
      </c>
      <c r="W226">
        <v>9.0879999999999992</v>
      </c>
      <c r="X226">
        <v>8.18</v>
      </c>
      <c r="Y226">
        <v>0.25</v>
      </c>
      <c r="Z226">
        <v>16</v>
      </c>
      <c r="AA226">
        <v>1.08</v>
      </c>
      <c r="AB226">
        <v>69.12</v>
      </c>
    </row>
    <row r="227" spans="1:28" x14ac:dyDescent="0.25">
      <c r="A227">
        <v>18832918</v>
      </c>
      <c r="B227">
        <v>592995</v>
      </c>
      <c r="C227" t="s">
        <v>555</v>
      </c>
      <c r="E227">
        <v>3760100682625</v>
      </c>
      <c r="H227" t="s">
        <v>822</v>
      </c>
      <c r="I227">
        <v>1</v>
      </c>
      <c r="J227">
        <v>2</v>
      </c>
      <c r="K227">
        <v>2</v>
      </c>
      <c r="L227">
        <v>2.6760000000000002</v>
      </c>
      <c r="M227">
        <v>2.4079999999999999</v>
      </c>
      <c r="N227">
        <v>2.3159999999999998</v>
      </c>
      <c r="O227">
        <v>4.6319999999999997</v>
      </c>
      <c r="P227">
        <v>1.56</v>
      </c>
      <c r="Q227">
        <v>3.12</v>
      </c>
      <c r="S227" t="s">
        <v>915</v>
      </c>
      <c r="T227">
        <v>64</v>
      </c>
      <c r="U227">
        <v>2</v>
      </c>
      <c r="V227">
        <v>64</v>
      </c>
      <c r="W227">
        <v>9.984</v>
      </c>
      <c r="X227">
        <v>8.9860000000000007</v>
      </c>
      <c r="Y227">
        <v>1.8740000000000001</v>
      </c>
      <c r="Z227">
        <v>59.968000000000004</v>
      </c>
      <c r="AA227">
        <v>1.44</v>
      </c>
      <c r="AB227">
        <v>46.08</v>
      </c>
    </row>
    <row r="228" spans="1:28" x14ac:dyDescent="0.25">
      <c r="A228">
        <v>18832918</v>
      </c>
      <c r="B228">
        <v>317447</v>
      </c>
      <c r="C228" t="s">
        <v>556</v>
      </c>
      <c r="E228">
        <v>3760100680577</v>
      </c>
      <c r="H228" t="s">
        <v>822</v>
      </c>
      <c r="I228">
        <v>1</v>
      </c>
      <c r="J228">
        <v>3</v>
      </c>
      <c r="K228">
        <v>3</v>
      </c>
      <c r="L228">
        <v>0.879</v>
      </c>
      <c r="M228">
        <v>0.79100000000000004</v>
      </c>
      <c r="N228">
        <v>0.53200000000000003</v>
      </c>
      <c r="O228">
        <v>1.5960000000000001</v>
      </c>
      <c r="P228">
        <v>1.01</v>
      </c>
      <c r="Q228">
        <v>3.03</v>
      </c>
      <c r="S228" t="s">
        <v>916</v>
      </c>
      <c r="T228">
        <v>6</v>
      </c>
      <c r="U228">
        <v>6</v>
      </c>
      <c r="V228">
        <v>104</v>
      </c>
      <c r="W228">
        <v>46.384</v>
      </c>
      <c r="X228">
        <v>41.746000000000002</v>
      </c>
      <c r="Y228">
        <v>14.744</v>
      </c>
      <c r="Z228">
        <v>247.392</v>
      </c>
      <c r="AA228">
        <v>27.08</v>
      </c>
      <c r="AB228">
        <v>463.04</v>
      </c>
    </row>
    <row r="229" spans="1:28" x14ac:dyDescent="0.25">
      <c r="A229">
        <v>18832918</v>
      </c>
      <c r="B229">
        <v>639741</v>
      </c>
      <c r="C229" t="s">
        <v>557</v>
      </c>
      <c r="E229">
        <v>5411708156572</v>
      </c>
      <c r="H229" t="s">
        <v>830</v>
      </c>
      <c r="I229">
        <v>1</v>
      </c>
      <c r="J229">
        <v>2</v>
      </c>
      <c r="K229">
        <v>2</v>
      </c>
      <c r="L229">
        <v>1.732</v>
      </c>
      <c r="M229">
        <v>1.5589999999999999</v>
      </c>
      <c r="N229">
        <v>1.41</v>
      </c>
      <c r="O229">
        <v>2.82</v>
      </c>
      <c r="P229">
        <v>2.4</v>
      </c>
      <c r="Q229">
        <v>4.8</v>
      </c>
      <c r="S229" t="s">
        <v>917</v>
      </c>
      <c r="T229">
        <v>28</v>
      </c>
      <c r="U229">
        <v>2</v>
      </c>
      <c r="V229">
        <v>28</v>
      </c>
      <c r="W229">
        <v>5.3760000000000003</v>
      </c>
      <c r="X229">
        <v>4.8380000000000001</v>
      </c>
      <c r="Y229">
        <v>3.7</v>
      </c>
      <c r="Z229">
        <v>51.8</v>
      </c>
      <c r="AA229">
        <v>4.2</v>
      </c>
      <c r="AB229">
        <v>58.8</v>
      </c>
    </row>
    <row r="230" spans="1:28" x14ac:dyDescent="0.25">
      <c r="A230">
        <v>18832918</v>
      </c>
      <c r="B230">
        <v>771017</v>
      </c>
      <c r="C230" t="s">
        <v>558</v>
      </c>
      <c r="E230">
        <v>2000006856531</v>
      </c>
      <c r="F230">
        <v>3491955444884</v>
      </c>
      <c r="H230" t="s">
        <v>831</v>
      </c>
      <c r="I230">
        <v>1</v>
      </c>
      <c r="J230">
        <v>2</v>
      </c>
      <c r="K230">
        <v>2</v>
      </c>
      <c r="L230">
        <v>2.2799999999999998</v>
      </c>
      <c r="M230">
        <v>2.052</v>
      </c>
      <c r="N230">
        <v>8.3640000000000008</v>
      </c>
      <c r="O230">
        <v>16.728000000000002</v>
      </c>
      <c r="P230">
        <v>6.83</v>
      </c>
      <c r="Q230">
        <v>13.66</v>
      </c>
      <c r="S230" t="s">
        <v>918</v>
      </c>
      <c r="T230">
        <v>8</v>
      </c>
      <c r="U230">
        <v>2</v>
      </c>
      <c r="V230">
        <v>8</v>
      </c>
      <c r="W230">
        <v>26</v>
      </c>
      <c r="X230">
        <v>23.4</v>
      </c>
      <c r="Y230">
        <v>43.055999999999997</v>
      </c>
      <c r="Z230">
        <v>172.22399999999999</v>
      </c>
      <c r="AA230">
        <v>20.04</v>
      </c>
      <c r="AB230">
        <v>80.16</v>
      </c>
    </row>
    <row r="231" spans="1:28" x14ac:dyDescent="0.25">
      <c r="A231">
        <v>18832918</v>
      </c>
      <c r="B231">
        <v>771054</v>
      </c>
      <c r="C231" t="s">
        <v>559</v>
      </c>
      <c r="E231">
        <v>2000006856524</v>
      </c>
      <c r="H231" t="s">
        <v>831</v>
      </c>
      <c r="I231">
        <v>1</v>
      </c>
      <c r="J231">
        <v>1</v>
      </c>
      <c r="K231">
        <v>1</v>
      </c>
      <c r="L231">
        <v>1.276</v>
      </c>
      <c r="M231">
        <v>1.1479999999999999</v>
      </c>
      <c r="N231">
        <v>12.1</v>
      </c>
      <c r="O231">
        <v>12.1</v>
      </c>
      <c r="P231">
        <v>6.04</v>
      </c>
      <c r="Q231">
        <v>6.04</v>
      </c>
      <c r="S231" t="s">
        <v>919</v>
      </c>
      <c r="T231">
        <v>6</v>
      </c>
      <c r="U231">
        <v>4</v>
      </c>
      <c r="V231">
        <v>12</v>
      </c>
      <c r="W231">
        <v>4.08</v>
      </c>
      <c r="X231">
        <v>3.6720000000000002</v>
      </c>
      <c r="Y231">
        <v>4.9000000000000004</v>
      </c>
      <c r="Z231">
        <v>29.4</v>
      </c>
      <c r="AA231">
        <v>23.6</v>
      </c>
      <c r="AB231">
        <v>141.6</v>
      </c>
    </row>
    <row r="232" spans="1:28" x14ac:dyDescent="0.25">
      <c r="A232">
        <v>18832918</v>
      </c>
      <c r="B232">
        <v>776705</v>
      </c>
      <c r="C232" t="s">
        <v>560</v>
      </c>
      <c r="E232">
        <v>3399611800701</v>
      </c>
      <c r="H232" t="s">
        <v>832</v>
      </c>
      <c r="I232">
        <v>10</v>
      </c>
      <c r="J232">
        <v>1</v>
      </c>
      <c r="K232">
        <v>10</v>
      </c>
      <c r="L232">
        <v>0.59</v>
      </c>
      <c r="M232">
        <v>0.53100000000000003</v>
      </c>
      <c r="N232">
        <v>0.66</v>
      </c>
      <c r="O232">
        <v>6.6</v>
      </c>
      <c r="P232">
        <v>1.34</v>
      </c>
      <c r="Q232">
        <v>13.4</v>
      </c>
      <c r="S232" t="s">
        <v>920</v>
      </c>
      <c r="T232">
        <v>48</v>
      </c>
      <c r="U232">
        <v>2</v>
      </c>
      <c r="V232">
        <v>48</v>
      </c>
      <c r="W232">
        <v>6</v>
      </c>
      <c r="X232">
        <v>5.4</v>
      </c>
      <c r="Y232">
        <v>5.4180000000000001</v>
      </c>
      <c r="Z232">
        <v>130.03200000000001</v>
      </c>
      <c r="AA232">
        <v>4.2</v>
      </c>
      <c r="AB232">
        <v>100.8</v>
      </c>
    </row>
    <row r="233" spans="1:28" x14ac:dyDescent="0.25">
      <c r="A233">
        <v>18832918</v>
      </c>
      <c r="B233">
        <v>963650</v>
      </c>
      <c r="C233" t="s">
        <v>561</v>
      </c>
      <c r="E233">
        <v>3399611800183</v>
      </c>
      <c r="H233" t="s">
        <v>833</v>
      </c>
      <c r="I233">
        <v>10</v>
      </c>
      <c r="J233">
        <v>1</v>
      </c>
      <c r="K233">
        <v>10</v>
      </c>
      <c r="L233">
        <v>0.57999999999999996</v>
      </c>
      <c r="M233">
        <v>0.52200000000000002</v>
      </c>
      <c r="N233">
        <v>0.60399999999999998</v>
      </c>
      <c r="O233">
        <v>6.04</v>
      </c>
      <c r="P233">
        <v>1.34</v>
      </c>
      <c r="Q233">
        <v>13.4</v>
      </c>
      <c r="S233" t="s">
        <v>921</v>
      </c>
      <c r="T233">
        <v>48</v>
      </c>
      <c r="U233">
        <v>2</v>
      </c>
      <c r="V233">
        <v>48</v>
      </c>
      <c r="W233">
        <v>19.920000000000002</v>
      </c>
      <c r="X233">
        <v>17.928000000000001</v>
      </c>
      <c r="Y233">
        <v>3.1539999999999999</v>
      </c>
      <c r="Z233">
        <v>75.695999999999998</v>
      </c>
      <c r="AA233">
        <v>2.46</v>
      </c>
      <c r="AB233">
        <v>59.04</v>
      </c>
    </row>
    <row r="234" spans="1:28" x14ac:dyDescent="0.25">
      <c r="A234">
        <v>18832918</v>
      </c>
      <c r="B234">
        <v>999674</v>
      </c>
      <c r="C234" t="s">
        <v>562</v>
      </c>
      <c r="E234">
        <v>3399611800367</v>
      </c>
      <c r="H234" t="s">
        <v>833</v>
      </c>
      <c r="I234">
        <v>1</v>
      </c>
      <c r="J234">
        <v>7</v>
      </c>
      <c r="K234">
        <v>16</v>
      </c>
      <c r="L234">
        <v>0.96</v>
      </c>
      <c r="M234">
        <v>0.86399999999999999</v>
      </c>
      <c r="N234">
        <v>0.68300000000000005</v>
      </c>
      <c r="O234">
        <v>10.928000000000001</v>
      </c>
      <c r="P234">
        <v>1.34</v>
      </c>
      <c r="Q234">
        <v>21.44</v>
      </c>
      <c r="S234" t="s">
        <v>922</v>
      </c>
      <c r="T234">
        <v>7</v>
      </c>
      <c r="U234">
        <v>7</v>
      </c>
      <c r="V234">
        <v>12</v>
      </c>
      <c r="W234">
        <v>3.048</v>
      </c>
      <c r="X234">
        <v>2.7430000000000003</v>
      </c>
      <c r="Y234">
        <v>1.796</v>
      </c>
      <c r="Z234">
        <v>10.776</v>
      </c>
      <c r="AA234">
        <v>19.54</v>
      </c>
      <c r="AB234">
        <v>117.24</v>
      </c>
    </row>
    <row r="235" spans="1:28" x14ac:dyDescent="0.25">
      <c r="A235">
        <v>18832918</v>
      </c>
      <c r="B235">
        <v>999669</v>
      </c>
      <c r="C235" t="s">
        <v>563</v>
      </c>
      <c r="E235">
        <v>3399611800947</v>
      </c>
      <c r="H235" t="s">
        <v>833</v>
      </c>
      <c r="I235">
        <v>1</v>
      </c>
      <c r="J235">
        <v>7</v>
      </c>
      <c r="K235">
        <v>16</v>
      </c>
      <c r="L235">
        <v>0.91200000000000003</v>
      </c>
      <c r="M235">
        <v>0.82099999999999995</v>
      </c>
      <c r="N235">
        <v>0.751</v>
      </c>
      <c r="O235">
        <v>12.016</v>
      </c>
      <c r="P235">
        <v>1.34</v>
      </c>
      <c r="Q235">
        <v>21.44</v>
      </c>
      <c r="S235" t="s">
        <v>923</v>
      </c>
      <c r="T235">
        <v>1</v>
      </c>
      <c r="U235">
        <v>1</v>
      </c>
      <c r="V235">
        <v>1</v>
      </c>
      <c r="W235">
        <v>2.3330000000000002</v>
      </c>
      <c r="X235">
        <v>2.1</v>
      </c>
      <c r="Y235">
        <v>15.84</v>
      </c>
      <c r="Z235">
        <v>15.84</v>
      </c>
      <c r="AA235">
        <v>18.18</v>
      </c>
      <c r="AB235">
        <v>18.18</v>
      </c>
    </row>
    <row r="236" spans="1:28" x14ac:dyDescent="0.25">
      <c r="A236">
        <v>18834822</v>
      </c>
      <c r="B236">
        <v>914452</v>
      </c>
      <c r="C236" t="s">
        <v>564</v>
      </c>
      <c r="E236">
        <v>3491952749432</v>
      </c>
      <c r="H236" t="s">
        <v>766</v>
      </c>
      <c r="I236">
        <v>100</v>
      </c>
      <c r="J236">
        <v>17</v>
      </c>
      <c r="K236">
        <v>116</v>
      </c>
      <c r="L236">
        <v>107.88</v>
      </c>
      <c r="M236">
        <v>97.091999999999999</v>
      </c>
      <c r="N236">
        <v>0.66800000000000004</v>
      </c>
      <c r="O236">
        <v>77.488</v>
      </c>
      <c r="P236">
        <v>0.83</v>
      </c>
      <c r="Q236">
        <v>96.28</v>
      </c>
      <c r="S236" t="s">
        <v>924</v>
      </c>
      <c r="T236">
        <v>1</v>
      </c>
      <c r="U236">
        <v>1</v>
      </c>
      <c r="V236">
        <v>1</v>
      </c>
      <c r="W236">
        <v>1.3160000000000001</v>
      </c>
      <c r="X236">
        <v>1.1839999999999999</v>
      </c>
      <c r="Y236">
        <v>35.588000000000001</v>
      </c>
      <c r="Z236">
        <v>35.588000000000001</v>
      </c>
      <c r="AA236">
        <v>15.48</v>
      </c>
      <c r="AB236">
        <v>15.48</v>
      </c>
    </row>
    <row r="237" spans="1:28" x14ac:dyDescent="0.25">
      <c r="A237">
        <v>18726849</v>
      </c>
      <c r="B237">
        <v>983316</v>
      </c>
      <c r="C237" t="s">
        <v>16</v>
      </c>
      <c r="E237" t="str">
        <f>"3491955650445"</f>
        <v>3491955650445</v>
      </c>
      <c r="H237" t="s">
        <v>834</v>
      </c>
      <c r="I237">
        <v>1</v>
      </c>
      <c r="J237">
        <v>1</v>
      </c>
      <c r="K237">
        <v>1</v>
      </c>
      <c r="L237">
        <v>6.7329999999999997</v>
      </c>
      <c r="M237">
        <v>6.06</v>
      </c>
      <c r="N237">
        <v>46.64</v>
      </c>
      <c r="O237">
        <v>46.64</v>
      </c>
      <c r="P237">
        <v>24.35</v>
      </c>
      <c r="Q237">
        <v>24.35</v>
      </c>
      <c r="S237" t="s">
        <v>925</v>
      </c>
      <c r="T237">
        <v>14</v>
      </c>
      <c r="U237">
        <v>3</v>
      </c>
      <c r="V237">
        <v>22</v>
      </c>
      <c r="W237">
        <v>6.9879999999999995</v>
      </c>
      <c r="X237">
        <v>6.2889999999999997</v>
      </c>
      <c r="Y237">
        <v>7.3889999999999993</v>
      </c>
      <c r="Z237">
        <v>82.694000000000003</v>
      </c>
      <c r="AA237">
        <v>8.879999999999999</v>
      </c>
      <c r="AB237">
        <v>79.08</v>
      </c>
    </row>
    <row r="238" spans="1:28" x14ac:dyDescent="0.25">
      <c r="A238">
        <v>18769450</v>
      </c>
      <c r="B238">
        <v>708351</v>
      </c>
      <c r="C238" t="s">
        <v>18</v>
      </c>
      <c r="E238" t="str">
        <f>"887961660029"</f>
        <v>887961660029</v>
      </c>
      <c r="H238" t="s">
        <v>835</v>
      </c>
      <c r="I238">
        <v>1</v>
      </c>
      <c r="J238">
        <v>2</v>
      </c>
      <c r="K238">
        <v>2</v>
      </c>
      <c r="L238">
        <v>0.8</v>
      </c>
      <c r="M238">
        <v>0.72</v>
      </c>
      <c r="N238">
        <v>4.8959999999999999</v>
      </c>
      <c r="O238">
        <v>9.7919999999999998</v>
      </c>
      <c r="P238">
        <v>9.67</v>
      </c>
      <c r="Q238">
        <v>19.34</v>
      </c>
      <c r="S238" t="s">
        <v>926</v>
      </c>
      <c r="T238">
        <v>10</v>
      </c>
      <c r="U238">
        <v>1</v>
      </c>
      <c r="V238">
        <v>10</v>
      </c>
      <c r="W238">
        <v>0.86</v>
      </c>
      <c r="X238">
        <v>0.77400000000000002</v>
      </c>
      <c r="Y238">
        <v>1.2</v>
      </c>
      <c r="Z238">
        <v>12</v>
      </c>
      <c r="AA238">
        <v>1.83</v>
      </c>
      <c r="AB238">
        <v>18.3</v>
      </c>
    </row>
    <row r="239" spans="1:28" x14ac:dyDescent="0.25">
      <c r="A239">
        <v>18769450</v>
      </c>
      <c r="B239">
        <v>617949</v>
      </c>
      <c r="C239" t="s">
        <v>19</v>
      </c>
      <c r="E239" t="str">
        <f>"4006592585655"</f>
        <v>4006592585655</v>
      </c>
      <c r="H239" t="s">
        <v>835</v>
      </c>
      <c r="I239">
        <v>1</v>
      </c>
      <c r="J239">
        <v>2</v>
      </c>
      <c r="K239">
        <v>2</v>
      </c>
      <c r="L239">
        <v>1.29</v>
      </c>
      <c r="M239">
        <v>1.161</v>
      </c>
      <c r="N239">
        <v>7.2290000000000001</v>
      </c>
      <c r="O239">
        <v>14.458</v>
      </c>
      <c r="P239">
        <v>8.65</v>
      </c>
      <c r="Q239">
        <v>17.3</v>
      </c>
      <c r="S239" t="s">
        <v>927</v>
      </c>
      <c r="T239">
        <v>24</v>
      </c>
      <c r="U239">
        <v>2</v>
      </c>
      <c r="V239">
        <v>24</v>
      </c>
      <c r="W239">
        <v>21.996000000000002</v>
      </c>
      <c r="X239">
        <v>19.795999999999999</v>
      </c>
      <c r="Y239">
        <v>4.5999999999999996</v>
      </c>
      <c r="Z239">
        <v>55.2</v>
      </c>
      <c r="AA239">
        <v>2.6</v>
      </c>
      <c r="AB239">
        <v>31.2</v>
      </c>
    </row>
    <row r="240" spans="1:28" x14ac:dyDescent="0.25">
      <c r="A240">
        <v>18769450</v>
      </c>
      <c r="B240">
        <v>764117</v>
      </c>
      <c r="C240" t="s">
        <v>20</v>
      </c>
      <c r="E240" t="str">
        <f>"887961625790"</f>
        <v>887961625790</v>
      </c>
      <c r="F240" t="str">
        <f>"887961625769"</f>
        <v>887961625769</v>
      </c>
      <c r="G240" t="str">
        <f>"887961625776"</f>
        <v>887961625776</v>
      </c>
      <c r="H240" t="s">
        <v>836</v>
      </c>
      <c r="I240">
        <v>1</v>
      </c>
      <c r="J240">
        <v>2</v>
      </c>
      <c r="K240">
        <v>2</v>
      </c>
      <c r="L240">
        <v>1.8</v>
      </c>
      <c r="M240">
        <v>1.62</v>
      </c>
      <c r="N240">
        <v>11.88</v>
      </c>
      <c r="O240">
        <v>23.76</v>
      </c>
      <c r="P240">
        <v>14.31</v>
      </c>
      <c r="Q240">
        <v>28.62</v>
      </c>
      <c r="S240" t="s">
        <v>928</v>
      </c>
      <c r="T240">
        <v>1</v>
      </c>
      <c r="U240">
        <v>5</v>
      </c>
      <c r="V240">
        <v>5</v>
      </c>
      <c r="W240">
        <v>3</v>
      </c>
      <c r="X240">
        <v>2.7</v>
      </c>
      <c r="Y240">
        <v>20.8</v>
      </c>
      <c r="Z240">
        <v>104</v>
      </c>
      <c r="AA240">
        <v>1.73</v>
      </c>
      <c r="AB240">
        <v>8.65</v>
      </c>
    </row>
    <row r="241" spans="1:28" x14ac:dyDescent="0.25">
      <c r="A241">
        <v>18769450</v>
      </c>
      <c r="B241">
        <v>760038</v>
      </c>
      <c r="C241" t="s">
        <v>21</v>
      </c>
      <c r="E241" t="str">
        <f>"194735007677"</f>
        <v>194735007677</v>
      </c>
      <c r="F241" t="str">
        <f>"887961690781"</f>
        <v>887961690781</v>
      </c>
      <c r="H241" t="s">
        <v>835</v>
      </c>
      <c r="I241">
        <v>2</v>
      </c>
      <c r="J241">
        <v>1</v>
      </c>
      <c r="K241">
        <v>2</v>
      </c>
      <c r="L241">
        <v>3.71</v>
      </c>
      <c r="M241">
        <v>3.339</v>
      </c>
      <c r="N241">
        <v>24.948</v>
      </c>
      <c r="O241">
        <v>49.896000000000001</v>
      </c>
      <c r="P241">
        <v>29.78</v>
      </c>
      <c r="Q241">
        <v>59.56</v>
      </c>
      <c r="S241" t="s">
        <v>929</v>
      </c>
      <c r="T241">
        <v>5</v>
      </c>
      <c r="U241">
        <v>12</v>
      </c>
      <c r="V241">
        <v>12</v>
      </c>
      <c r="W241">
        <v>19.46</v>
      </c>
      <c r="X241">
        <v>17.514000000000003</v>
      </c>
      <c r="Y241">
        <v>39.515999999999991</v>
      </c>
      <c r="Z241">
        <v>89.35199999999999</v>
      </c>
      <c r="AA241">
        <v>68.55</v>
      </c>
      <c r="AB241">
        <v>173.57999999999998</v>
      </c>
    </row>
    <row r="242" spans="1:28" x14ac:dyDescent="0.25">
      <c r="A242">
        <v>18769450</v>
      </c>
      <c r="B242">
        <v>907274</v>
      </c>
      <c r="C242" t="s">
        <v>22</v>
      </c>
      <c r="E242" t="str">
        <f>"5420023187154"</f>
        <v>5420023187154</v>
      </c>
      <c r="H242" t="s">
        <v>837</v>
      </c>
      <c r="I242">
        <v>1</v>
      </c>
      <c r="J242">
        <v>2</v>
      </c>
      <c r="K242">
        <v>2</v>
      </c>
      <c r="L242">
        <v>2.1659999999999999</v>
      </c>
      <c r="M242">
        <v>1.9490000000000001</v>
      </c>
      <c r="N242">
        <v>16.875</v>
      </c>
      <c r="O242">
        <v>33.75</v>
      </c>
      <c r="P242">
        <v>8.39</v>
      </c>
      <c r="Q242">
        <v>16.78</v>
      </c>
      <c r="S242" t="s">
        <v>930</v>
      </c>
      <c r="T242">
        <v>12</v>
      </c>
      <c r="U242">
        <v>7</v>
      </c>
      <c r="V242">
        <v>16</v>
      </c>
      <c r="W242">
        <v>5.8460000000000001</v>
      </c>
      <c r="X242">
        <v>5.2610000000000001</v>
      </c>
      <c r="Y242">
        <v>10.074</v>
      </c>
      <c r="Z242">
        <v>53.728000000000002</v>
      </c>
      <c r="AA242">
        <v>7.74</v>
      </c>
      <c r="AB242">
        <v>41.28</v>
      </c>
    </row>
    <row r="243" spans="1:28" x14ac:dyDescent="0.25">
      <c r="A243">
        <v>18769450</v>
      </c>
      <c r="B243">
        <v>994930</v>
      </c>
      <c r="C243" t="s">
        <v>23</v>
      </c>
      <c r="E243" t="str">
        <f>"8713219446041"</f>
        <v>8713219446041</v>
      </c>
      <c r="H243" t="s">
        <v>836</v>
      </c>
      <c r="I243">
        <v>1</v>
      </c>
      <c r="J243">
        <v>2</v>
      </c>
      <c r="K243">
        <v>2</v>
      </c>
      <c r="L243">
        <v>0.54200000000000004</v>
      </c>
      <c r="M243">
        <v>0.48799999999999999</v>
      </c>
      <c r="N243">
        <v>4.7119999999999997</v>
      </c>
      <c r="O243">
        <v>9.4239999999999995</v>
      </c>
      <c r="P243">
        <v>3.81</v>
      </c>
      <c r="Q243">
        <v>7.62</v>
      </c>
      <c r="S243" t="s">
        <v>931</v>
      </c>
      <c r="T243">
        <v>1</v>
      </c>
      <c r="U243">
        <v>4</v>
      </c>
      <c r="V243">
        <v>4</v>
      </c>
      <c r="W243">
        <v>1.0720000000000001</v>
      </c>
      <c r="X243">
        <v>0.96499999999999997</v>
      </c>
      <c r="Y243">
        <v>4.0529999999999999</v>
      </c>
      <c r="Z243">
        <v>16.212</v>
      </c>
      <c r="AA243">
        <v>2.3199999999999998</v>
      </c>
      <c r="AB243">
        <v>9.2799999999999994</v>
      </c>
    </row>
    <row r="244" spans="1:28" x14ac:dyDescent="0.25">
      <c r="A244">
        <v>18769450</v>
      </c>
      <c r="B244">
        <v>754990</v>
      </c>
      <c r="C244" t="s">
        <v>24</v>
      </c>
      <c r="E244" t="str">
        <f>"3491955528942"</f>
        <v>3491955528942</v>
      </c>
      <c r="F244" t="str">
        <f>"3491953864158"</f>
        <v>3491953864158</v>
      </c>
      <c r="H244" t="s">
        <v>837</v>
      </c>
      <c r="I244">
        <v>12</v>
      </c>
      <c r="J244">
        <v>1</v>
      </c>
      <c r="K244">
        <v>12</v>
      </c>
      <c r="L244">
        <v>4.1159999999999997</v>
      </c>
      <c r="M244">
        <v>3.7040000000000002</v>
      </c>
      <c r="N244">
        <v>7.9359999999999999</v>
      </c>
      <c r="O244">
        <v>95.231999999999999</v>
      </c>
      <c r="P244">
        <v>4.41</v>
      </c>
      <c r="Q244">
        <v>52.92</v>
      </c>
      <c r="S244" t="s">
        <v>932</v>
      </c>
      <c r="T244">
        <v>6</v>
      </c>
      <c r="U244">
        <v>1</v>
      </c>
      <c r="V244">
        <v>6</v>
      </c>
      <c r="W244">
        <v>1.5</v>
      </c>
      <c r="X244">
        <v>1.35</v>
      </c>
      <c r="Y244">
        <v>2.4369999999999998</v>
      </c>
      <c r="Z244">
        <v>14.622</v>
      </c>
      <c r="AA244">
        <v>1.08</v>
      </c>
      <c r="AB244">
        <v>6.48</v>
      </c>
    </row>
    <row r="245" spans="1:28" x14ac:dyDescent="0.25">
      <c r="A245">
        <v>18769450</v>
      </c>
      <c r="B245">
        <v>347843</v>
      </c>
      <c r="C245" t="s">
        <v>25</v>
      </c>
      <c r="E245" t="str">
        <f>"4006592532000"</f>
        <v>4006592532000</v>
      </c>
      <c r="H245" t="s">
        <v>787</v>
      </c>
      <c r="I245">
        <v>1</v>
      </c>
      <c r="J245">
        <v>2</v>
      </c>
      <c r="K245">
        <v>2</v>
      </c>
      <c r="L245">
        <v>1.3</v>
      </c>
      <c r="M245">
        <v>1.17</v>
      </c>
      <c r="N245">
        <v>9.7200000000000006</v>
      </c>
      <c r="O245">
        <v>19.440000000000001</v>
      </c>
      <c r="P245">
        <v>9.57</v>
      </c>
      <c r="Q245">
        <v>19.14</v>
      </c>
      <c r="S245" t="s">
        <v>933</v>
      </c>
      <c r="T245">
        <v>2</v>
      </c>
      <c r="U245">
        <v>1</v>
      </c>
      <c r="V245">
        <v>2</v>
      </c>
      <c r="W245">
        <v>0.624</v>
      </c>
      <c r="X245">
        <v>0.56200000000000006</v>
      </c>
      <c r="Y245">
        <v>1.4059999999999999</v>
      </c>
      <c r="Z245">
        <v>2.8119999999999998</v>
      </c>
      <c r="AA245">
        <v>5.38</v>
      </c>
      <c r="AB245">
        <v>10.76</v>
      </c>
    </row>
    <row r="246" spans="1:28" x14ac:dyDescent="0.25">
      <c r="A246">
        <v>18769450</v>
      </c>
      <c r="B246">
        <v>764821</v>
      </c>
      <c r="C246" t="s">
        <v>26</v>
      </c>
      <c r="E246" t="str">
        <f>"887961683820"</f>
        <v>887961683820</v>
      </c>
      <c r="H246" t="s">
        <v>835</v>
      </c>
      <c r="I246">
        <v>1</v>
      </c>
      <c r="J246">
        <v>2</v>
      </c>
      <c r="K246">
        <v>2</v>
      </c>
      <c r="L246">
        <v>0.84599999999999997</v>
      </c>
      <c r="M246">
        <v>0.76100000000000001</v>
      </c>
      <c r="N246">
        <v>5.3040000000000003</v>
      </c>
      <c r="O246">
        <v>10.608000000000001</v>
      </c>
      <c r="P246">
        <v>17.75</v>
      </c>
      <c r="Q246">
        <v>35.5</v>
      </c>
      <c r="S246" t="s">
        <v>934</v>
      </c>
      <c r="T246">
        <v>1</v>
      </c>
      <c r="U246">
        <v>4</v>
      </c>
      <c r="V246">
        <v>4</v>
      </c>
      <c r="W246">
        <v>60</v>
      </c>
      <c r="X246">
        <v>54</v>
      </c>
      <c r="Y246">
        <v>54.74</v>
      </c>
      <c r="Z246">
        <v>218.96</v>
      </c>
      <c r="AA246">
        <v>22.92</v>
      </c>
      <c r="AB246">
        <v>91.68</v>
      </c>
    </row>
    <row r="247" spans="1:28" x14ac:dyDescent="0.25">
      <c r="A247">
        <v>18769450</v>
      </c>
      <c r="B247">
        <v>667921</v>
      </c>
      <c r="C247" t="s">
        <v>27</v>
      </c>
      <c r="E247" t="str">
        <f>"3491953867197"</f>
        <v>3491953867197</v>
      </c>
      <c r="F247" t="str">
        <f>"3491955640231"</f>
        <v>3491955640231</v>
      </c>
      <c r="H247" t="s">
        <v>835</v>
      </c>
      <c r="I247">
        <v>6</v>
      </c>
      <c r="J247">
        <v>1</v>
      </c>
      <c r="K247">
        <v>6</v>
      </c>
      <c r="L247">
        <v>8.64</v>
      </c>
      <c r="M247">
        <v>7.7759999999999998</v>
      </c>
      <c r="N247">
        <v>32.735999999999997</v>
      </c>
      <c r="O247">
        <v>196.416</v>
      </c>
      <c r="P247">
        <v>4.17</v>
      </c>
      <c r="Q247">
        <v>25.02</v>
      </c>
      <c r="S247" t="s">
        <v>935</v>
      </c>
      <c r="T247">
        <v>1</v>
      </c>
      <c r="U247">
        <v>2</v>
      </c>
      <c r="V247">
        <v>2</v>
      </c>
      <c r="W247">
        <v>4.1280000000000001</v>
      </c>
      <c r="X247">
        <v>3.7149999999999999</v>
      </c>
      <c r="Y247">
        <v>38.4</v>
      </c>
      <c r="Z247">
        <v>76.8</v>
      </c>
      <c r="AA247">
        <v>5.67</v>
      </c>
      <c r="AB247">
        <v>11.34</v>
      </c>
    </row>
    <row r="248" spans="1:28" x14ac:dyDescent="0.25">
      <c r="A248">
        <v>18769450</v>
      </c>
      <c r="B248">
        <v>754989</v>
      </c>
      <c r="C248" t="s">
        <v>28</v>
      </c>
      <c r="E248" t="str">
        <f>"3491953501732"</f>
        <v>3491953501732</v>
      </c>
      <c r="F248" t="str">
        <f>"3491955528904"</f>
        <v>3491955528904</v>
      </c>
      <c r="H248" t="s">
        <v>837</v>
      </c>
      <c r="I248">
        <v>1</v>
      </c>
      <c r="J248">
        <v>6</v>
      </c>
      <c r="K248">
        <v>6</v>
      </c>
      <c r="L248">
        <v>3.048</v>
      </c>
      <c r="M248">
        <v>2.7429999999999999</v>
      </c>
      <c r="N248">
        <v>11.55</v>
      </c>
      <c r="O248">
        <v>69.3</v>
      </c>
      <c r="P248">
        <v>7.27</v>
      </c>
      <c r="Q248">
        <v>43.62</v>
      </c>
      <c r="S248" t="s">
        <v>936</v>
      </c>
      <c r="T248">
        <v>20</v>
      </c>
      <c r="U248">
        <v>2</v>
      </c>
      <c r="V248">
        <v>20</v>
      </c>
      <c r="W248">
        <v>3.1</v>
      </c>
      <c r="X248">
        <v>2.79</v>
      </c>
      <c r="Y248">
        <v>5.64</v>
      </c>
      <c r="Z248">
        <v>56.400000000000006</v>
      </c>
      <c r="AA248">
        <v>2.59</v>
      </c>
      <c r="AB248">
        <v>25.9</v>
      </c>
    </row>
    <row r="249" spans="1:28" x14ac:dyDescent="0.25">
      <c r="A249">
        <v>18769450</v>
      </c>
      <c r="B249">
        <v>982543</v>
      </c>
      <c r="C249" t="s">
        <v>29</v>
      </c>
      <c r="E249" t="str">
        <f>"887961928068"</f>
        <v>887961928068</v>
      </c>
      <c r="H249" t="s">
        <v>835</v>
      </c>
      <c r="I249">
        <v>4</v>
      </c>
      <c r="J249">
        <v>1</v>
      </c>
      <c r="K249">
        <v>4</v>
      </c>
      <c r="L249">
        <v>1.3</v>
      </c>
      <c r="M249">
        <v>1.17</v>
      </c>
      <c r="N249">
        <v>4.8620000000000001</v>
      </c>
      <c r="O249">
        <v>19.448</v>
      </c>
      <c r="P249">
        <v>10.53</v>
      </c>
      <c r="Q249">
        <v>42.12</v>
      </c>
      <c r="S249" t="s">
        <v>937</v>
      </c>
      <c r="T249">
        <v>1</v>
      </c>
      <c r="U249">
        <v>2</v>
      </c>
      <c r="V249">
        <v>2</v>
      </c>
      <c r="W249">
        <v>13.08</v>
      </c>
      <c r="X249">
        <v>11.772</v>
      </c>
      <c r="Y249">
        <v>8</v>
      </c>
      <c r="Z249">
        <v>16</v>
      </c>
      <c r="AA249">
        <v>1.53</v>
      </c>
      <c r="AB249">
        <v>3.06</v>
      </c>
    </row>
    <row r="250" spans="1:28" x14ac:dyDescent="0.25">
      <c r="A250">
        <v>18769450</v>
      </c>
      <c r="B250">
        <v>667930</v>
      </c>
      <c r="C250" t="s">
        <v>30</v>
      </c>
      <c r="E250" t="str">
        <f>"3491953645023"</f>
        <v>3491953645023</v>
      </c>
      <c r="F250" t="str">
        <f>"3491955935900"</f>
        <v>3491955935900</v>
      </c>
      <c r="H250" t="s">
        <v>837</v>
      </c>
      <c r="I250">
        <v>6</v>
      </c>
      <c r="J250">
        <v>1</v>
      </c>
      <c r="K250">
        <v>6</v>
      </c>
      <c r="L250">
        <v>10.997999999999999</v>
      </c>
      <c r="M250">
        <v>9.8979999999999997</v>
      </c>
      <c r="N250">
        <v>43.68</v>
      </c>
      <c r="O250">
        <v>262.08</v>
      </c>
      <c r="P250">
        <v>18.16</v>
      </c>
      <c r="Q250">
        <v>108.96</v>
      </c>
      <c r="S250" t="s">
        <v>938</v>
      </c>
      <c r="T250">
        <v>12</v>
      </c>
      <c r="U250">
        <v>1</v>
      </c>
      <c r="V250">
        <v>12</v>
      </c>
      <c r="W250">
        <v>4.74</v>
      </c>
      <c r="X250">
        <v>4.266</v>
      </c>
      <c r="Y250">
        <v>0.52</v>
      </c>
      <c r="Z250">
        <v>6.24</v>
      </c>
      <c r="AA250">
        <v>0.82</v>
      </c>
      <c r="AB250">
        <v>9.84</v>
      </c>
    </row>
    <row r="251" spans="1:28" x14ac:dyDescent="0.25">
      <c r="A251">
        <v>18769450</v>
      </c>
      <c r="B251">
        <v>754975</v>
      </c>
      <c r="C251" t="s">
        <v>31</v>
      </c>
      <c r="E251" t="str">
        <f>"3491953644989"</f>
        <v>3491953644989</v>
      </c>
      <c r="H251" t="s">
        <v>787</v>
      </c>
      <c r="I251">
        <v>6</v>
      </c>
      <c r="J251">
        <v>1</v>
      </c>
      <c r="K251">
        <v>6</v>
      </c>
      <c r="L251">
        <v>8.7959999999999994</v>
      </c>
      <c r="M251">
        <v>7.9160000000000004</v>
      </c>
      <c r="N251">
        <v>38.688000000000002</v>
      </c>
      <c r="O251">
        <v>232.12799999999999</v>
      </c>
      <c r="P251">
        <v>11.15</v>
      </c>
      <c r="Q251">
        <v>66.900000000000006</v>
      </c>
      <c r="S251" t="s">
        <v>939</v>
      </c>
      <c r="T251">
        <v>24</v>
      </c>
      <c r="U251">
        <v>1</v>
      </c>
      <c r="V251">
        <v>24</v>
      </c>
      <c r="W251">
        <v>8.952</v>
      </c>
      <c r="X251">
        <v>8.0570000000000004</v>
      </c>
      <c r="Y251">
        <v>0.51</v>
      </c>
      <c r="Z251">
        <v>12.24</v>
      </c>
      <c r="AA251">
        <v>0.65</v>
      </c>
      <c r="AB251">
        <v>15.6</v>
      </c>
    </row>
    <row r="252" spans="1:28" x14ac:dyDescent="0.25">
      <c r="A252">
        <v>18769450</v>
      </c>
      <c r="B252">
        <v>1015895</v>
      </c>
      <c r="C252" t="s">
        <v>32</v>
      </c>
      <c r="E252" t="str">
        <f>"194735028634"</f>
        <v>194735028634</v>
      </c>
      <c r="F252" t="str">
        <f>"194735007189"</f>
        <v>194735007189</v>
      </c>
      <c r="H252" t="s">
        <v>787</v>
      </c>
      <c r="I252">
        <v>6</v>
      </c>
      <c r="J252">
        <v>2</v>
      </c>
      <c r="K252">
        <v>12</v>
      </c>
      <c r="L252">
        <v>3.8759999999999999</v>
      </c>
      <c r="M252">
        <v>3.488</v>
      </c>
      <c r="N252">
        <v>3.4350000000000001</v>
      </c>
      <c r="O252">
        <v>41.22</v>
      </c>
      <c r="P252">
        <v>7.87</v>
      </c>
      <c r="Q252">
        <v>94.44</v>
      </c>
      <c r="S252" t="s">
        <v>940</v>
      </c>
      <c r="T252">
        <v>6</v>
      </c>
      <c r="U252">
        <v>2</v>
      </c>
      <c r="V252">
        <v>12</v>
      </c>
      <c r="W252">
        <v>6.3</v>
      </c>
      <c r="X252">
        <v>5.67</v>
      </c>
      <c r="Y252">
        <v>0.93700000000000006</v>
      </c>
      <c r="Z252">
        <v>11.244</v>
      </c>
      <c r="AA252">
        <v>0.39</v>
      </c>
      <c r="AB252">
        <v>4.68</v>
      </c>
    </row>
    <row r="253" spans="1:28" x14ac:dyDescent="0.25">
      <c r="A253">
        <v>18769450</v>
      </c>
      <c r="B253">
        <v>755833</v>
      </c>
      <c r="C253" t="s">
        <v>33</v>
      </c>
      <c r="E253" t="str">
        <f>"3491954469567"</f>
        <v>3491954469567</v>
      </c>
      <c r="H253" t="s">
        <v>835</v>
      </c>
      <c r="I253">
        <v>8</v>
      </c>
      <c r="J253">
        <v>1</v>
      </c>
      <c r="K253">
        <v>8</v>
      </c>
      <c r="L253">
        <v>8.6959999999999997</v>
      </c>
      <c r="M253">
        <v>7.8259999999999996</v>
      </c>
      <c r="N253">
        <v>19.440000000000001</v>
      </c>
      <c r="O253">
        <v>155.52000000000001</v>
      </c>
      <c r="P253">
        <v>12.79</v>
      </c>
      <c r="Q253">
        <v>102.32</v>
      </c>
      <c r="S253" t="s">
        <v>941</v>
      </c>
      <c r="T253">
        <v>24</v>
      </c>
      <c r="U253">
        <v>1</v>
      </c>
      <c r="V253">
        <v>24</v>
      </c>
      <c r="W253">
        <v>13.103999999999999</v>
      </c>
      <c r="X253">
        <v>11.794</v>
      </c>
      <c r="Y253">
        <v>0.69499999999999995</v>
      </c>
      <c r="Z253">
        <v>16.68</v>
      </c>
      <c r="AA253">
        <v>1.24</v>
      </c>
      <c r="AB253">
        <v>29.76</v>
      </c>
    </row>
    <row r="254" spans="1:28" x14ac:dyDescent="0.25">
      <c r="A254">
        <v>18769450</v>
      </c>
      <c r="B254">
        <v>1000284</v>
      </c>
      <c r="C254" t="s">
        <v>34</v>
      </c>
      <c r="E254" t="str">
        <f>"5413247006325"</f>
        <v>5413247006325</v>
      </c>
      <c r="H254" t="s">
        <v>838</v>
      </c>
      <c r="I254">
        <v>12</v>
      </c>
      <c r="J254">
        <v>1</v>
      </c>
      <c r="K254">
        <v>12</v>
      </c>
      <c r="L254">
        <v>1.0680000000000001</v>
      </c>
      <c r="M254">
        <v>0.96099999999999997</v>
      </c>
      <c r="N254">
        <v>1.0309999999999999</v>
      </c>
      <c r="O254">
        <v>12.372</v>
      </c>
      <c r="P254">
        <v>1.37</v>
      </c>
      <c r="Q254">
        <v>16.440000000000001</v>
      </c>
      <c r="S254" t="s">
        <v>942</v>
      </c>
      <c r="T254">
        <v>1</v>
      </c>
      <c r="U254">
        <v>2</v>
      </c>
      <c r="V254">
        <v>2</v>
      </c>
      <c r="W254">
        <v>1</v>
      </c>
      <c r="X254">
        <v>0.9</v>
      </c>
      <c r="Y254">
        <v>3.125</v>
      </c>
      <c r="Z254">
        <v>6.25</v>
      </c>
      <c r="AA254">
        <v>15.11</v>
      </c>
      <c r="AB254">
        <v>30.22</v>
      </c>
    </row>
    <row r="255" spans="1:28" x14ac:dyDescent="0.25">
      <c r="A255">
        <v>18769450</v>
      </c>
      <c r="B255">
        <v>952379</v>
      </c>
      <c r="C255" t="s">
        <v>35</v>
      </c>
      <c r="E255" t="str">
        <f>"3491955640507"</f>
        <v>3491955640507</v>
      </c>
      <c r="H255" t="s">
        <v>835</v>
      </c>
      <c r="I255">
        <v>4</v>
      </c>
      <c r="J255">
        <v>2</v>
      </c>
      <c r="K255">
        <v>8</v>
      </c>
      <c r="L255">
        <v>3.448</v>
      </c>
      <c r="M255">
        <v>3.1030000000000002</v>
      </c>
      <c r="N255">
        <v>7.02</v>
      </c>
      <c r="O255">
        <v>56.16</v>
      </c>
      <c r="P255">
        <v>4.5999999999999996</v>
      </c>
      <c r="Q255">
        <v>36.799999999999997</v>
      </c>
      <c r="S255" t="s">
        <v>943</v>
      </c>
      <c r="T255">
        <v>18</v>
      </c>
      <c r="U255">
        <v>1</v>
      </c>
      <c r="V255">
        <v>18</v>
      </c>
      <c r="W255">
        <v>9.4860000000000007</v>
      </c>
      <c r="X255">
        <v>8.5370000000000008</v>
      </c>
      <c r="Y255">
        <v>3.7440000000000002</v>
      </c>
      <c r="Z255">
        <v>67.391999999999996</v>
      </c>
      <c r="AA255">
        <v>1.99</v>
      </c>
      <c r="AB255">
        <v>35.82</v>
      </c>
    </row>
    <row r="256" spans="1:28" x14ac:dyDescent="0.25">
      <c r="A256">
        <v>18769450</v>
      </c>
      <c r="B256">
        <v>1000258</v>
      </c>
      <c r="C256" t="s">
        <v>36</v>
      </c>
      <c r="E256" t="str">
        <f>"5413247013736"</f>
        <v>5413247013736</v>
      </c>
      <c r="H256" t="s">
        <v>835</v>
      </c>
      <c r="I256">
        <v>1</v>
      </c>
      <c r="J256">
        <v>4</v>
      </c>
      <c r="K256">
        <v>4</v>
      </c>
      <c r="L256">
        <v>0.85599999999999998</v>
      </c>
      <c r="M256">
        <v>0.77</v>
      </c>
      <c r="N256">
        <v>2.677</v>
      </c>
      <c r="O256">
        <v>10.708</v>
      </c>
      <c r="P256">
        <v>3.43</v>
      </c>
      <c r="Q256">
        <v>13.72</v>
      </c>
    </row>
    <row r="257" spans="1:28" x14ac:dyDescent="0.25">
      <c r="A257">
        <v>18769450</v>
      </c>
      <c r="B257">
        <v>764731</v>
      </c>
      <c r="C257" t="s">
        <v>37</v>
      </c>
      <c r="E257" t="str">
        <f>"887961632309"</f>
        <v>887961632309</v>
      </c>
      <c r="H257" t="s">
        <v>835</v>
      </c>
      <c r="I257">
        <v>3</v>
      </c>
      <c r="J257">
        <v>1</v>
      </c>
      <c r="K257">
        <v>3</v>
      </c>
      <c r="L257">
        <v>3.3090000000000002</v>
      </c>
      <c r="M257">
        <v>2.9780000000000002</v>
      </c>
      <c r="N257">
        <v>12.6</v>
      </c>
      <c r="O257">
        <v>37.799999999999997</v>
      </c>
      <c r="P257">
        <v>20.88</v>
      </c>
      <c r="Q257">
        <v>62.64</v>
      </c>
    </row>
    <row r="258" spans="1:28" x14ac:dyDescent="0.25">
      <c r="A258">
        <v>18769450</v>
      </c>
      <c r="B258">
        <v>953062</v>
      </c>
      <c r="C258" t="s">
        <v>38</v>
      </c>
      <c r="E258" t="str">
        <f>"2018205183587"</f>
        <v>2018205183587</v>
      </c>
      <c r="F258" t="str">
        <f>"5420023190819"</f>
        <v>5420023190819</v>
      </c>
      <c r="H258" t="s">
        <v>836</v>
      </c>
      <c r="I258">
        <v>1</v>
      </c>
      <c r="J258">
        <v>6</v>
      </c>
      <c r="K258">
        <v>6</v>
      </c>
      <c r="L258">
        <v>0.78600000000000003</v>
      </c>
      <c r="M258">
        <v>0.70699999999999996</v>
      </c>
      <c r="N258">
        <v>1.7689999999999999</v>
      </c>
      <c r="O258">
        <v>10.614000000000001</v>
      </c>
      <c r="P258">
        <v>1.44</v>
      </c>
      <c r="Q258">
        <v>8.64</v>
      </c>
      <c r="T258">
        <f>SUM(T4:T257)</f>
        <v>4103</v>
      </c>
      <c r="U258">
        <f t="shared" ref="U258:AB258" si="0">SUM(U4:U257)</f>
        <v>2161</v>
      </c>
      <c r="V258">
        <f t="shared" si="0"/>
        <v>6742</v>
      </c>
      <c r="W258">
        <f t="shared" si="0"/>
        <v>2626.2569999999987</v>
      </c>
      <c r="X258">
        <f t="shared" si="0"/>
        <v>2363.6309999999989</v>
      </c>
      <c r="Y258">
        <f t="shared" si="0"/>
        <v>5307.489999999998</v>
      </c>
      <c r="Z258">
        <f t="shared" si="0"/>
        <v>23321.755000000005</v>
      </c>
      <c r="AA258">
        <f t="shared" si="0"/>
        <v>5467.59</v>
      </c>
      <c r="AB258">
        <f t="shared" si="0"/>
        <v>24618.769999999997</v>
      </c>
    </row>
    <row r="259" spans="1:28" x14ac:dyDescent="0.25">
      <c r="A259">
        <v>18769450</v>
      </c>
      <c r="B259">
        <v>718148</v>
      </c>
      <c r="C259" t="s">
        <v>39</v>
      </c>
      <c r="E259" t="str">
        <f>"3296580397457"</f>
        <v>3296580397457</v>
      </c>
      <c r="F259" t="str">
        <f>"3701405800376"</f>
        <v>3701405800376</v>
      </c>
      <c r="H259" t="s">
        <v>835</v>
      </c>
      <c r="I259">
        <v>1</v>
      </c>
      <c r="J259">
        <v>2</v>
      </c>
      <c r="K259">
        <v>2</v>
      </c>
      <c r="L259">
        <v>0.46</v>
      </c>
      <c r="M259">
        <v>0.41399999999999998</v>
      </c>
      <c r="N259">
        <v>2.677</v>
      </c>
      <c r="O259">
        <v>5.3540000000000001</v>
      </c>
      <c r="P259">
        <v>12.94</v>
      </c>
      <c r="Q259">
        <v>25.88</v>
      </c>
    </row>
    <row r="260" spans="1:28" x14ac:dyDescent="0.25">
      <c r="A260">
        <v>18769450</v>
      </c>
      <c r="B260">
        <v>962472</v>
      </c>
      <c r="C260" t="s">
        <v>40</v>
      </c>
      <c r="E260" t="str">
        <f>"5413247092496"</f>
        <v>5413247092496</v>
      </c>
      <c r="H260" t="s">
        <v>836</v>
      </c>
      <c r="I260">
        <v>1</v>
      </c>
      <c r="J260">
        <v>2</v>
      </c>
      <c r="K260">
        <v>2</v>
      </c>
      <c r="L260">
        <v>1.208</v>
      </c>
      <c r="M260">
        <v>1.087</v>
      </c>
      <c r="N260">
        <v>6.0970000000000004</v>
      </c>
      <c r="O260">
        <v>12.194000000000001</v>
      </c>
      <c r="P260">
        <v>6.28</v>
      </c>
      <c r="Q260">
        <v>12.56</v>
      </c>
    </row>
    <row r="261" spans="1:28" x14ac:dyDescent="0.25">
      <c r="A261">
        <v>18769450</v>
      </c>
      <c r="B261">
        <v>986358</v>
      </c>
      <c r="C261" t="s">
        <v>41</v>
      </c>
      <c r="E261" t="str">
        <f>"887961954555"</f>
        <v>887961954555</v>
      </c>
      <c r="H261" t="s">
        <v>835</v>
      </c>
      <c r="I261">
        <v>2</v>
      </c>
      <c r="J261">
        <v>1</v>
      </c>
      <c r="K261">
        <v>2</v>
      </c>
      <c r="L261">
        <v>2.16</v>
      </c>
      <c r="M261">
        <v>1.944</v>
      </c>
      <c r="N261">
        <v>15.96</v>
      </c>
      <c r="O261">
        <v>31.92</v>
      </c>
      <c r="P261">
        <v>18.489999999999998</v>
      </c>
      <c r="Q261">
        <v>36.979999999999997</v>
      </c>
    </row>
    <row r="262" spans="1:28" x14ac:dyDescent="0.25">
      <c r="A262">
        <v>18769450</v>
      </c>
      <c r="B262">
        <v>991609</v>
      </c>
      <c r="C262" t="s">
        <v>42</v>
      </c>
      <c r="E262" t="str">
        <f>"3491955640491"</f>
        <v>3491955640491</v>
      </c>
      <c r="H262" t="s">
        <v>837</v>
      </c>
      <c r="I262">
        <v>4</v>
      </c>
      <c r="J262">
        <v>1</v>
      </c>
      <c r="K262">
        <v>4</v>
      </c>
      <c r="L262">
        <v>2.3319999999999999</v>
      </c>
      <c r="M262">
        <v>2.0990000000000002</v>
      </c>
      <c r="N262">
        <v>4.8330000000000002</v>
      </c>
      <c r="O262">
        <v>19.332000000000001</v>
      </c>
      <c r="P262">
        <v>5.47</v>
      </c>
      <c r="Q262">
        <v>21.88</v>
      </c>
    </row>
    <row r="263" spans="1:28" x14ac:dyDescent="0.25">
      <c r="A263">
        <v>18770083</v>
      </c>
      <c r="B263">
        <v>756957</v>
      </c>
      <c r="C263" t="s">
        <v>43</v>
      </c>
      <c r="E263" t="str">
        <f>"5420023188212"</f>
        <v>5420023188212</v>
      </c>
      <c r="F263" t="str">
        <f>"2000006848857"</f>
        <v>2000006848857</v>
      </c>
      <c r="H263" t="s">
        <v>839</v>
      </c>
      <c r="I263">
        <v>1</v>
      </c>
      <c r="J263">
        <v>2</v>
      </c>
      <c r="K263">
        <v>2</v>
      </c>
      <c r="L263">
        <v>0.38200000000000001</v>
      </c>
      <c r="M263">
        <v>0.34399999999999997</v>
      </c>
      <c r="N263">
        <v>2.64</v>
      </c>
      <c r="O263">
        <v>5.28</v>
      </c>
      <c r="P263">
        <v>3.89</v>
      </c>
      <c r="Q263">
        <v>7.78</v>
      </c>
    </row>
    <row r="264" spans="1:28" x14ac:dyDescent="0.25">
      <c r="A264">
        <v>18770083</v>
      </c>
      <c r="B264">
        <v>1007226</v>
      </c>
      <c r="C264" t="s">
        <v>44</v>
      </c>
      <c r="E264" t="str">
        <f>"820650554629"</f>
        <v>820650554629</v>
      </c>
      <c r="H264" t="s">
        <v>840</v>
      </c>
      <c r="I264">
        <v>1</v>
      </c>
      <c r="J264">
        <v>2</v>
      </c>
      <c r="K264">
        <v>2</v>
      </c>
      <c r="L264">
        <v>1.444</v>
      </c>
      <c r="M264">
        <v>1.3</v>
      </c>
      <c r="N264">
        <v>3.3119999999999998</v>
      </c>
      <c r="O264">
        <v>6.6239999999999997</v>
      </c>
      <c r="P264">
        <v>26.12</v>
      </c>
      <c r="Q264">
        <v>52.24</v>
      </c>
    </row>
    <row r="265" spans="1:28" x14ac:dyDescent="0.25">
      <c r="A265">
        <v>18770083</v>
      </c>
      <c r="B265">
        <v>968385</v>
      </c>
      <c r="C265" t="s">
        <v>46</v>
      </c>
      <c r="E265" t="str">
        <f>"194099027342"</f>
        <v>194099027342</v>
      </c>
      <c r="H265" t="s">
        <v>841</v>
      </c>
      <c r="I265">
        <v>1</v>
      </c>
      <c r="J265">
        <v>2</v>
      </c>
      <c r="K265">
        <v>2</v>
      </c>
      <c r="L265">
        <v>0.69</v>
      </c>
      <c r="M265">
        <v>0.621</v>
      </c>
      <c r="N265">
        <v>5.28</v>
      </c>
      <c r="O265">
        <v>10.56</v>
      </c>
      <c r="P265">
        <v>12.47</v>
      </c>
      <c r="Q265">
        <v>24.94</v>
      </c>
    </row>
    <row r="266" spans="1:28" x14ac:dyDescent="0.25">
      <c r="A266">
        <v>18770083</v>
      </c>
      <c r="B266">
        <v>968406</v>
      </c>
      <c r="C266" t="s">
        <v>47</v>
      </c>
      <c r="E266" t="str">
        <f>"194099027359"</f>
        <v>194099027359</v>
      </c>
      <c r="H266" t="s">
        <v>841</v>
      </c>
      <c r="I266">
        <v>1</v>
      </c>
      <c r="J266">
        <v>4</v>
      </c>
      <c r="K266">
        <v>4</v>
      </c>
      <c r="L266">
        <v>1.54</v>
      </c>
      <c r="M266">
        <v>1.3859999999999999</v>
      </c>
      <c r="N266">
        <v>5.28</v>
      </c>
      <c r="O266">
        <v>21.12</v>
      </c>
      <c r="P266">
        <v>12.47</v>
      </c>
      <c r="Q266">
        <v>49.88</v>
      </c>
    </row>
    <row r="267" spans="1:28" x14ac:dyDescent="0.25">
      <c r="A267">
        <v>18770083</v>
      </c>
      <c r="B267">
        <v>968407</v>
      </c>
      <c r="C267" t="s">
        <v>48</v>
      </c>
      <c r="E267" t="str">
        <f>"194099027373"</f>
        <v>194099027373</v>
      </c>
      <c r="H267" t="s">
        <v>841</v>
      </c>
      <c r="I267">
        <v>1</v>
      </c>
      <c r="J267">
        <v>5</v>
      </c>
      <c r="K267">
        <v>5</v>
      </c>
      <c r="L267">
        <v>1.925</v>
      </c>
      <c r="M267">
        <v>1.7330000000000001</v>
      </c>
      <c r="N267">
        <v>5.76</v>
      </c>
      <c r="O267">
        <v>28.8</v>
      </c>
      <c r="P267">
        <v>12.47</v>
      </c>
      <c r="Q267">
        <v>62.35</v>
      </c>
    </row>
    <row r="268" spans="1:28" x14ac:dyDescent="0.25">
      <c r="A268">
        <v>18770083</v>
      </c>
      <c r="B268">
        <v>968396</v>
      </c>
      <c r="C268" t="s">
        <v>49</v>
      </c>
      <c r="E268" t="str">
        <f>"194099027366"</f>
        <v>194099027366</v>
      </c>
      <c r="H268" t="s">
        <v>841</v>
      </c>
      <c r="I268">
        <v>1</v>
      </c>
      <c r="J268">
        <v>4</v>
      </c>
      <c r="K268">
        <v>4</v>
      </c>
      <c r="L268">
        <v>2.08</v>
      </c>
      <c r="M268">
        <v>1.8720000000000001</v>
      </c>
      <c r="N268">
        <v>4.4630000000000001</v>
      </c>
      <c r="O268">
        <v>17.852</v>
      </c>
      <c r="P268">
        <v>12.47</v>
      </c>
      <c r="Q268">
        <v>49.88</v>
      </c>
    </row>
    <row r="269" spans="1:28" x14ac:dyDescent="0.25">
      <c r="A269">
        <v>18770083</v>
      </c>
      <c r="B269">
        <v>759349</v>
      </c>
      <c r="C269" t="s">
        <v>50</v>
      </c>
      <c r="E269" t="str">
        <f>"3491953393436"</f>
        <v>3491953393436</v>
      </c>
      <c r="F269" t="str">
        <f>"8710675164250"</f>
        <v>8710675164250</v>
      </c>
      <c r="H269" t="s">
        <v>842</v>
      </c>
      <c r="I269">
        <v>36</v>
      </c>
      <c r="J269">
        <v>1</v>
      </c>
      <c r="K269">
        <v>36</v>
      </c>
      <c r="L269">
        <v>3.996</v>
      </c>
      <c r="M269">
        <v>3.5960000000000001</v>
      </c>
      <c r="N269">
        <v>1.32</v>
      </c>
      <c r="O269">
        <v>47.52</v>
      </c>
      <c r="P269">
        <v>0.76</v>
      </c>
      <c r="Q269">
        <v>27.36</v>
      </c>
    </row>
    <row r="270" spans="1:28" x14ac:dyDescent="0.25">
      <c r="A270">
        <v>18770083</v>
      </c>
      <c r="B270">
        <v>235101</v>
      </c>
      <c r="C270" t="s">
        <v>52</v>
      </c>
      <c r="E270" t="str">
        <f>"8710675085272"</f>
        <v>8710675085272</v>
      </c>
      <c r="F270" t="str">
        <f>"4005264182116"</f>
        <v>4005264182116</v>
      </c>
      <c r="G270" t="str">
        <f>"8710675056395"</f>
        <v>8710675056395</v>
      </c>
      <c r="H270" t="s">
        <v>843</v>
      </c>
      <c r="I270">
        <v>60</v>
      </c>
      <c r="J270">
        <v>1</v>
      </c>
      <c r="K270">
        <v>60</v>
      </c>
      <c r="L270">
        <v>6.06</v>
      </c>
      <c r="M270">
        <v>5.4539999999999997</v>
      </c>
      <c r="N270">
        <v>1.2190000000000001</v>
      </c>
      <c r="O270">
        <v>73.14</v>
      </c>
      <c r="P270">
        <v>0.42</v>
      </c>
      <c r="Q270">
        <v>25.2</v>
      </c>
    </row>
    <row r="271" spans="1:28" x14ac:dyDescent="0.25">
      <c r="A271">
        <v>18770083</v>
      </c>
      <c r="B271">
        <v>916596</v>
      </c>
      <c r="C271" t="s">
        <v>53</v>
      </c>
      <c r="E271" t="str">
        <f>"4058653100529"</f>
        <v>4058653100529</v>
      </c>
      <c r="H271" t="s">
        <v>844</v>
      </c>
      <c r="I271">
        <v>10</v>
      </c>
      <c r="J271">
        <v>1</v>
      </c>
      <c r="K271">
        <v>10</v>
      </c>
      <c r="L271">
        <v>1.66</v>
      </c>
      <c r="M271">
        <v>1.494</v>
      </c>
      <c r="N271">
        <v>0.6</v>
      </c>
      <c r="O271">
        <v>6</v>
      </c>
      <c r="P271">
        <v>0.3</v>
      </c>
      <c r="Q271">
        <v>3</v>
      </c>
    </row>
    <row r="272" spans="1:28" x14ac:dyDescent="0.25">
      <c r="A272">
        <v>18770083</v>
      </c>
      <c r="B272">
        <v>962196</v>
      </c>
      <c r="C272" t="s">
        <v>55</v>
      </c>
      <c r="E272" t="str">
        <f>"8710675135175"</f>
        <v>8710675135175</v>
      </c>
      <c r="F272" t="str">
        <f>"8710675220109"</f>
        <v>8710675220109</v>
      </c>
      <c r="H272" t="s">
        <v>845</v>
      </c>
      <c r="I272">
        <v>16</v>
      </c>
      <c r="J272">
        <v>1</v>
      </c>
      <c r="K272">
        <v>16</v>
      </c>
      <c r="L272">
        <v>6.992</v>
      </c>
      <c r="M272">
        <v>6.2930000000000001</v>
      </c>
      <c r="N272">
        <v>3.2810000000000001</v>
      </c>
      <c r="O272">
        <v>52.496000000000002</v>
      </c>
      <c r="P272">
        <v>1.1100000000000001</v>
      </c>
      <c r="Q272">
        <v>17.760000000000002</v>
      </c>
    </row>
    <row r="273" spans="1:17" x14ac:dyDescent="0.25">
      <c r="A273">
        <v>18770083</v>
      </c>
      <c r="B273">
        <v>786962</v>
      </c>
      <c r="C273" t="s">
        <v>56</v>
      </c>
      <c r="E273" t="str">
        <f>"778988278659"</f>
        <v>778988278659</v>
      </c>
      <c r="H273" t="s">
        <v>839</v>
      </c>
      <c r="I273">
        <v>2</v>
      </c>
      <c r="J273">
        <v>1</v>
      </c>
      <c r="K273">
        <v>2</v>
      </c>
      <c r="L273">
        <v>1.4</v>
      </c>
      <c r="M273">
        <v>1.26</v>
      </c>
      <c r="N273">
        <v>8.4239999999999995</v>
      </c>
      <c r="O273">
        <v>16.847999999999999</v>
      </c>
      <c r="P273">
        <v>21.41</v>
      </c>
      <c r="Q273">
        <v>42.82</v>
      </c>
    </row>
    <row r="274" spans="1:17" x14ac:dyDescent="0.25">
      <c r="A274">
        <v>18770083</v>
      </c>
      <c r="B274">
        <v>369191</v>
      </c>
      <c r="C274" t="s">
        <v>57</v>
      </c>
      <c r="E274" t="str">
        <f>"8710675085289"</f>
        <v>8710675085289</v>
      </c>
      <c r="F274" t="str">
        <f>"8710675160061"</f>
        <v>8710675160061</v>
      </c>
      <c r="H274" t="s">
        <v>845</v>
      </c>
      <c r="I274">
        <v>45</v>
      </c>
      <c r="J274">
        <v>1</v>
      </c>
      <c r="K274">
        <v>45</v>
      </c>
      <c r="L274">
        <v>9.7650000000000006</v>
      </c>
      <c r="M274">
        <v>8.7889999999999997</v>
      </c>
      <c r="N274">
        <v>1.056</v>
      </c>
      <c r="O274">
        <v>47.52</v>
      </c>
      <c r="P274">
        <v>0.68</v>
      </c>
      <c r="Q274">
        <v>30.6</v>
      </c>
    </row>
    <row r="275" spans="1:17" x14ac:dyDescent="0.25">
      <c r="A275">
        <v>18770083</v>
      </c>
      <c r="B275">
        <v>916586</v>
      </c>
      <c r="C275" t="s">
        <v>58</v>
      </c>
      <c r="E275" t="str">
        <f>"4058653101540"</f>
        <v>4058653101540</v>
      </c>
      <c r="F275" t="str">
        <f>"4058653101359"</f>
        <v>4058653101359</v>
      </c>
      <c r="H275" t="s">
        <v>843</v>
      </c>
      <c r="I275">
        <v>25</v>
      </c>
      <c r="J275">
        <v>1</v>
      </c>
      <c r="K275">
        <v>25</v>
      </c>
      <c r="L275">
        <v>5</v>
      </c>
      <c r="M275">
        <v>4.5</v>
      </c>
      <c r="N275">
        <v>1.9950000000000001</v>
      </c>
      <c r="O275">
        <v>49.875</v>
      </c>
      <c r="P275">
        <v>1.91</v>
      </c>
      <c r="Q275">
        <v>47.75</v>
      </c>
    </row>
    <row r="276" spans="1:17" x14ac:dyDescent="0.25">
      <c r="A276">
        <v>18770083</v>
      </c>
      <c r="B276">
        <v>200994</v>
      </c>
      <c r="C276" t="s">
        <v>59</v>
      </c>
      <c r="E276" t="str">
        <f>"4005264294123"</f>
        <v>4005264294123</v>
      </c>
      <c r="F276" t="str">
        <f>"4005264130131"</f>
        <v>4005264130131</v>
      </c>
      <c r="G276" t="str">
        <f>"5420042188798"</f>
        <v>5420042188798</v>
      </c>
      <c r="H276" t="s">
        <v>843</v>
      </c>
      <c r="I276">
        <v>60</v>
      </c>
      <c r="J276">
        <v>1</v>
      </c>
      <c r="K276">
        <v>60</v>
      </c>
      <c r="L276">
        <v>6.6</v>
      </c>
      <c r="M276">
        <v>5.94</v>
      </c>
      <c r="N276">
        <v>1.1910000000000001</v>
      </c>
      <c r="O276">
        <v>71.459999999999994</v>
      </c>
      <c r="P276">
        <v>0.3</v>
      </c>
      <c r="Q276">
        <v>18</v>
      </c>
    </row>
    <row r="277" spans="1:17" x14ac:dyDescent="0.25">
      <c r="A277">
        <v>18770083</v>
      </c>
      <c r="B277">
        <v>907296</v>
      </c>
      <c r="C277" t="s">
        <v>60</v>
      </c>
      <c r="E277" t="str">
        <f>"5420023187734"</f>
        <v>5420023187734</v>
      </c>
      <c r="H277" t="s">
        <v>839</v>
      </c>
      <c r="I277">
        <v>1</v>
      </c>
      <c r="J277">
        <v>2</v>
      </c>
      <c r="K277">
        <v>2</v>
      </c>
      <c r="L277">
        <v>3.3319999999999999</v>
      </c>
      <c r="M277">
        <v>2.9990000000000001</v>
      </c>
      <c r="N277">
        <v>18.149999999999999</v>
      </c>
      <c r="O277">
        <v>36.299999999999997</v>
      </c>
      <c r="P277">
        <v>20.09</v>
      </c>
      <c r="Q277">
        <v>40.18</v>
      </c>
    </row>
    <row r="278" spans="1:17" x14ac:dyDescent="0.25">
      <c r="A278">
        <v>18770083</v>
      </c>
      <c r="B278">
        <v>953050</v>
      </c>
      <c r="C278" t="s">
        <v>61</v>
      </c>
      <c r="E278" t="str">
        <f>"5420023190383"</f>
        <v>5420023190383</v>
      </c>
      <c r="H278" t="s">
        <v>839</v>
      </c>
      <c r="I278">
        <v>1</v>
      </c>
      <c r="J278">
        <v>2</v>
      </c>
      <c r="K278">
        <v>2</v>
      </c>
      <c r="L278">
        <v>3.05</v>
      </c>
      <c r="M278">
        <v>2.7450000000000001</v>
      </c>
      <c r="N278">
        <v>20.7</v>
      </c>
      <c r="O278">
        <v>41.4</v>
      </c>
      <c r="P278">
        <v>13.23</v>
      </c>
      <c r="Q278">
        <v>26.46</v>
      </c>
    </row>
    <row r="279" spans="1:17" x14ac:dyDescent="0.25">
      <c r="A279">
        <v>18770083</v>
      </c>
      <c r="B279">
        <v>994919</v>
      </c>
      <c r="C279" t="s">
        <v>62</v>
      </c>
      <c r="E279" t="str">
        <f>"8713219385630"</f>
        <v>8713219385630</v>
      </c>
      <c r="H279" t="s">
        <v>787</v>
      </c>
      <c r="I279">
        <v>1</v>
      </c>
      <c r="J279">
        <v>4</v>
      </c>
      <c r="K279">
        <v>4</v>
      </c>
      <c r="L279">
        <v>0.97599999999999998</v>
      </c>
      <c r="M279">
        <v>0.878</v>
      </c>
      <c r="N279">
        <v>2.8</v>
      </c>
      <c r="O279">
        <v>11.2</v>
      </c>
      <c r="P279">
        <v>4.28</v>
      </c>
      <c r="Q279">
        <v>17.12</v>
      </c>
    </row>
    <row r="280" spans="1:17" x14ac:dyDescent="0.25">
      <c r="A280">
        <v>18770083</v>
      </c>
      <c r="B280">
        <v>1002458</v>
      </c>
      <c r="C280" t="s">
        <v>63</v>
      </c>
      <c r="E280" t="str">
        <f>"3296580428007"</f>
        <v>3296580428007</v>
      </c>
      <c r="H280" t="s">
        <v>837</v>
      </c>
      <c r="I280">
        <v>1</v>
      </c>
      <c r="J280">
        <v>2</v>
      </c>
      <c r="K280">
        <v>2</v>
      </c>
      <c r="L280">
        <v>0.83199999999999996</v>
      </c>
      <c r="M280">
        <v>0.749</v>
      </c>
      <c r="N280">
        <v>0.90600000000000003</v>
      </c>
      <c r="O280">
        <v>1.8120000000000001</v>
      </c>
      <c r="P280">
        <v>12.94</v>
      </c>
      <c r="Q280">
        <v>25.88</v>
      </c>
    </row>
    <row r="281" spans="1:17" x14ac:dyDescent="0.25">
      <c r="A281">
        <v>18770083</v>
      </c>
      <c r="B281">
        <v>771176</v>
      </c>
      <c r="C281" t="s">
        <v>64</v>
      </c>
      <c r="E281" t="str">
        <f>"4891813836902"</f>
        <v>4891813836902</v>
      </c>
      <c r="H281" t="s">
        <v>839</v>
      </c>
      <c r="I281">
        <v>1</v>
      </c>
      <c r="J281">
        <v>2</v>
      </c>
      <c r="K281">
        <v>2</v>
      </c>
      <c r="L281">
        <v>0.6</v>
      </c>
      <c r="M281">
        <v>0.54</v>
      </c>
      <c r="N281">
        <v>1.204</v>
      </c>
      <c r="O281">
        <v>2.4079999999999999</v>
      </c>
      <c r="P281">
        <v>3.75</v>
      </c>
      <c r="Q281">
        <v>7.5</v>
      </c>
    </row>
    <row r="282" spans="1:17" x14ac:dyDescent="0.25">
      <c r="A282">
        <v>18770083</v>
      </c>
      <c r="B282">
        <v>916259</v>
      </c>
      <c r="C282" t="s">
        <v>65</v>
      </c>
      <c r="E282" t="str">
        <f>"5425002415075"</f>
        <v>5425002415075</v>
      </c>
      <c r="H282" t="s">
        <v>836</v>
      </c>
      <c r="I282">
        <v>1</v>
      </c>
      <c r="J282">
        <v>3</v>
      </c>
      <c r="K282">
        <v>3</v>
      </c>
      <c r="L282">
        <v>1.74</v>
      </c>
      <c r="M282">
        <v>1.5660000000000001</v>
      </c>
      <c r="N282">
        <v>7.6029999999999998</v>
      </c>
      <c r="O282">
        <v>22.809000000000001</v>
      </c>
      <c r="P282">
        <v>8.94</v>
      </c>
      <c r="Q282">
        <v>26.82</v>
      </c>
    </row>
    <row r="283" spans="1:17" x14ac:dyDescent="0.25">
      <c r="A283">
        <v>18770083</v>
      </c>
      <c r="B283">
        <v>999687</v>
      </c>
      <c r="C283" t="s">
        <v>66</v>
      </c>
      <c r="E283" t="str">
        <f>"4891813886143"</f>
        <v>4891813886143</v>
      </c>
      <c r="H283" t="s">
        <v>836</v>
      </c>
      <c r="I283">
        <v>1</v>
      </c>
      <c r="J283">
        <v>2</v>
      </c>
      <c r="K283">
        <v>2</v>
      </c>
      <c r="L283">
        <v>0.45200000000000001</v>
      </c>
      <c r="M283">
        <v>0.40699999999999997</v>
      </c>
      <c r="N283">
        <v>3.75</v>
      </c>
      <c r="O283">
        <v>7.5</v>
      </c>
      <c r="P283">
        <v>10.15</v>
      </c>
      <c r="Q283">
        <v>20.3</v>
      </c>
    </row>
    <row r="284" spans="1:17" x14ac:dyDescent="0.25">
      <c r="A284">
        <v>18770083</v>
      </c>
      <c r="B284">
        <v>1001729</v>
      </c>
      <c r="C284" t="s">
        <v>67</v>
      </c>
      <c r="E284" t="str">
        <f>"887961991307"</f>
        <v>887961991307</v>
      </c>
      <c r="H284" t="s">
        <v>835</v>
      </c>
      <c r="I284">
        <v>1</v>
      </c>
      <c r="J284">
        <v>2</v>
      </c>
      <c r="K284">
        <v>2</v>
      </c>
      <c r="L284">
        <v>0.69199999999999995</v>
      </c>
      <c r="M284">
        <v>0.623</v>
      </c>
      <c r="N284">
        <v>5.2</v>
      </c>
      <c r="O284">
        <v>10.4</v>
      </c>
      <c r="P284">
        <v>7.05</v>
      </c>
      <c r="Q284">
        <v>14.1</v>
      </c>
    </row>
    <row r="285" spans="1:17" x14ac:dyDescent="0.25">
      <c r="A285">
        <v>18770083</v>
      </c>
      <c r="B285">
        <v>999585</v>
      </c>
      <c r="C285" t="s">
        <v>68</v>
      </c>
      <c r="E285" t="str">
        <f>"778988418369"</f>
        <v>778988418369</v>
      </c>
      <c r="H285" t="s">
        <v>846</v>
      </c>
      <c r="I285">
        <v>6</v>
      </c>
      <c r="J285">
        <v>1</v>
      </c>
      <c r="K285">
        <v>6</v>
      </c>
      <c r="L285">
        <v>0.85799999999999998</v>
      </c>
      <c r="M285">
        <v>0.77200000000000002</v>
      </c>
      <c r="N285">
        <v>0.86699999999999999</v>
      </c>
      <c r="O285">
        <v>5.202</v>
      </c>
      <c r="P285">
        <v>5.78</v>
      </c>
      <c r="Q285">
        <v>34.68</v>
      </c>
    </row>
    <row r="286" spans="1:17" x14ac:dyDescent="0.25">
      <c r="A286">
        <v>18770083</v>
      </c>
      <c r="B286">
        <v>999772</v>
      </c>
      <c r="C286" t="s">
        <v>70</v>
      </c>
      <c r="E286" t="str">
        <f>"5400868013443"</f>
        <v>5400868013443</v>
      </c>
      <c r="H286" t="s">
        <v>836</v>
      </c>
      <c r="I286">
        <v>1</v>
      </c>
      <c r="J286">
        <v>2</v>
      </c>
      <c r="K286">
        <v>2</v>
      </c>
      <c r="L286">
        <v>0.51600000000000001</v>
      </c>
      <c r="M286">
        <v>0.46400000000000002</v>
      </c>
      <c r="N286">
        <v>4.0250000000000004</v>
      </c>
      <c r="O286">
        <v>8.0500000000000007</v>
      </c>
      <c r="P286">
        <v>4.68</v>
      </c>
      <c r="Q286">
        <v>9.36</v>
      </c>
    </row>
    <row r="287" spans="1:17" x14ac:dyDescent="0.25">
      <c r="A287">
        <v>18770083</v>
      </c>
      <c r="B287">
        <v>667941</v>
      </c>
      <c r="C287" t="s">
        <v>71</v>
      </c>
      <c r="E287" t="str">
        <f>"3491953189022"</f>
        <v>3491953189022</v>
      </c>
      <c r="F287" t="str">
        <f>"3491955529635"</f>
        <v>3491955529635</v>
      </c>
      <c r="H287" t="s">
        <v>836</v>
      </c>
      <c r="I287">
        <v>6</v>
      </c>
      <c r="J287">
        <v>1</v>
      </c>
      <c r="K287">
        <v>6</v>
      </c>
      <c r="L287">
        <v>7.9980000000000002</v>
      </c>
      <c r="M287">
        <v>7.1980000000000004</v>
      </c>
      <c r="N287">
        <v>24.05</v>
      </c>
      <c r="O287">
        <v>144.30000000000001</v>
      </c>
      <c r="P287">
        <v>14.95</v>
      </c>
      <c r="Q287">
        <v>89.7</v>
      </c>
    </row>
    <row r="288" spans="1:17" x14ac:dyDescent="0.25">
      <c r="A288">
        <v>18770083</v>
      </c>
      <c r="B288">
        <v>1002461</v>
      </c>
      <c r="C288" t="s">
        <v>72</v>
      </c>
      <c r="E288" t="str">
        <f>"3296580369003"</f>
        <v>3296580369003</v>
      </c>
      <c r="H288" t="s">
        <v>835</v>
      </c>
      <c r="I288">
        <v>1</v>
      </c>
      <c r="J288">
        <v>1</v>
      </c>
      <c r="K288">
        <v>1</v>
      </c>
      <c r="L288">
        <v>0.25</v>
      </c>
      <c r="M288">
        <v>0.22500000000000001</v>
      </c>
      <c r="N288">
        <v>2.484</v>
      </c>
      <c r="O288">
        <v>2.484</v>
      </c>
      <c r="P288">
        <v>12.94</v>
      </c>
      <c r="Q288">
        <v>12.94</v>
      </c>
    </row>
    <row r="289" spans="1:17" x14ac:dyDescent="0.25">
      <c r="A289">
        <v>18770083</v>
      </c>
      <c r="B289">
        <v>999691</v>
      </c>
      <c r="C289" t="s">
        <v>73</v>
      </c>
      <c r="E289" t="str">
        <f>"5425002415846"</f>
        <v>5425002415846</v>
      </c>
      <c r="H289" t="s">
        <v>839</v>
      </c>
      <c r="I289">
        <v>1</v>
      </c>
      <c r="J289">
        <v>2</v>
      </c>
      <c r="K289">
        <v>2</v>
      </c>
      <c r="L289">
        <v>0.79400000000000004</v>
      </c>
      <c r="M289">
        <v>0.71499999999999997</v>
      </c>
      <c r="N289">
        <v>4.1040000000000001</v>
      </c>
      <c r="O289">
        <v>8.2080000000000002</v>
      </c>
      <c r="P289">
        <v>9.09</v>
      </c>
      <c r="Q289">
        <v>18.18</v>
      </c>
    </row>
    <row r="290" spans="1:17" x14ac:dyDescent="0.25">
      <c r="A290">
        <v>18770083</v>
      </c>
      <c r="B290">
        <v>953027</v>
      </c>
      <c r="C290" t="s">
        <v>74</v>
      </c>
      <c r="E290" t="str">
        <f>"5420023187949"</f>
        <v>5420023187949</v>
      </c>
      <c r="H290" t="s">
        <v>839</v>
      </c>
      <c r="I290">
        <v>1</v>
      </c>
      <c r="J290">
        <v>2</v>
      </c>
      <c r="K290">
        <v>2</v>
      </c>
      <c r="L290">
        <v>2.7240000000000002</v>
      </c>
      <c r="M290">
        <v>2.452</v>
      </c>
      <c r="N290">
        <v>16.8</v>
      </c>
      <c r="O290">
        <v>33.6</v>
      </c>
      <c r="P290">
        <v>10.69</v>
      </c>
      <c r="Q290">
        <v>21.38</v>
      </c>
    </row>
    <row r="291" spans="1:17" x14ac:dyDescent="0.25">
      <c r="A291">
        <v>18770083</v>
      </c>
      <c r="B291">
        <v>938436</v>
      </c>
      <c r="C291" t="s">
        <v>75</v>
      </c>
      <c r="E291" t="str">
        <f>"4891813542131"</f>
        <v>4891813542131</v>
      </c>
      <c r="H291" t="s">
        <v>839</v>
      </c>
      <c r="I291">
        <v>1</v>
      </c>
      <c r="J291">
        <v>2</v>
      </c>
      <c r="K291">
        <v>2</v>
      </c>
      <c r="L291">
        <v>1.5820000000000001</v>
      </c>
      <c r="M291">
        <v>1.4239999999999999</v>
      </c>
      <c r="N291">
        <v>8.91</v>
      </c>
      <c r="O291">
        <v>17.82</v>
      </c>
      <c r="P291">
        <v>14.08</v>
      </c>
      <c r="Q291">
        <v>28.16</v>
      </c>
    </row>
    <row r="292" spans="1:17" x14ac:dyDescent="0.25">
      <c r="A292">
        <v>18770083</v>
      </c>
      <c r="B292">
        <v>907295</v>
      </c>
      <c r="C292" t="s">
        <v>76</v>
      </c>
      <c r="E292" t="str">
        <f>"5420023187901"</f>
        <v>5420023187901</v>
      </c>
      <c r="H292" t="s">
        <v>839</v>
      </c>
      <c r="I292">
        <v>1</v>
      </c>
      <c r="J292">
        <v>4</v>
      </c>
      <c r="K292">
        <v>4</v>
      </c>
      <c r="L292">
        <v>1.4319999999999999</v>
      </c>
      <c r="M292">
        <v>1.2889999999999999</v>
      </c>
      <c r="N292">
        <v>5.1749999999999998</v>
      </c>
      <c r="O292">
        <v>20.7</v>
      </c>
      <c r="P292">
        <v>3.16</v>
      </c>
      <c r="Q292">
        <v>12.64</v>
      </c>
    </row>
    <row r="293" spans="1:17" x14ac:dyDescent="0.25">
      <c r="A293">
        <v>18770083</v>
      </c>
      <c r="B293">
        <v>953042</v>
      </c>
      <c r="C293" t="s">
        <v>77</v>
      </c>
      <c r="E293" t="str">
        <f>"5420023190376"</f>
        <v>5420023190376</v>
      </c>
      <c r="H293" t="s">
        <v>839</v>
      </c>
      <c r="I293">
        <v>6</v>
      </c>
      <c r="J293">
        <v>1</v>
      </c>
      <c r="K293">
        <v>6</v>
      </c>
      <c r="L293">
        <v>2.1</v>
      </c>
      <c r="M293">
        <v>1.89</v>
      </c>
      <c r="N293">
        <v>2.6659999999999999</v>
      </c>
      <c r="O293">
        <v>15.996</v>
      </c>
      <c r="P293">
        <v>2.4700000000000002</v>
      </c>
      <c r="Q293">
        <v>14.82</v>
      </c>
    </row>
    <row r="294" spans="1:17" x14ac:dyDescent="0.25">
      <c r="A294">
        <v>18770083</v>
      </c>
      <c r="B294">
        <v>957389</v>
      </c>
      <c r="C294" t="s">
        <v>78</v>
      </c>
      <c r="E294" t="str">
        <f>"5400868008142"</f>
        <v>5400868008142</v>
      </c>
      <c r="F294" t="str">
        <f>"5400868017724"</f>
        <v>5400868017724</v>
      </c>
      <c r="H294" t="s">
        <v>787</v>
      </c>
      <c r="I294">
        <v>6</v>
      </c>
      <c r="J294">
        <v>1</v>
      </c>
      <c r="K294">
        <v>6</v>
      </c>
      <c r="L294">
        <v>6.4980000000000002</v>
      </c>
      <c r="M294">
        <v>5.8479999999999999</v>
      </c>
      <c r="N294">
        <v>14.058</v>
      </c>
      <c r="O294">
        <v>84.347999999999999</v>
      </c>
      <c r="P294">
        <v>12.47</v>
      </c>
      <c r="Q294">
        <v>74.819999999999993</v>
      </c>
    </row>
    <row r="295" spans="1:17" x14ac:dyDescent="0.25">
      <c r="A295">
        <v>18770083</v>
      </c>
      <c r="B295">
        <v>1000267</v>
      </c>
      <c r="C295" t="s">
        <v>79</v>
      </c>
      <c r="E295" t="str">
        <f>"5413247094711"</f>
        <v>5413247094711</v>
      </c>
      <c r="H295" t="s">
        <v>836</v>
      </c>
      <c r="I295">
        <v>12</v>
      </c>
      <c r="J295">
        <v>1</v>
      </c>
      <c r="K295">
        <v>12</v>
      </c>
      <c r="L295">
        <v>0.624</v>
      </c>
      <c r="M295">
        <v>0.56200000000000006</v>
      </c>
      <c r="N295">
        <v>0.64500000000000002</v>
      </c>
      <c r="O295">
        <v>7.74</v>
      </c>
      <c r="P295">
        <v>0.76</v>
      </c>
      <c r="Q295">
        <v>9.1199999999999992</v>
      </c>
    </row>
    <row r="296" spans="1:17" x14ac:dyDescent="0.25">
      <c r="A296">
        <v>18770083</v>
      </c>
      <c r="B296">
        <v>999773</v>
      </c>
      <c r="C296" t="s">
        <v>80</v>
      </c>
      <c r="E296" t="str">
        <f>"5400868013467"</f>
        <v>5400868013467</v>
      </c>
      <c r="H296" t="s">
        <v>836</v>
      </c>
      <c r="I296">
        <v>1</v>
      </c>
      <c r="J296">
        <v>2</v>
      </c>
      <c r="K296">
        <v>2</v>
      </c>
      <c r="L296">
        <v>2.1659999999999999</v>
      </c>
      <c r="M296">
        <v>1.9490000000000001</v>
      </c>
      <c r="N296">
        <v>14.592000000000001</v>
      </c>
      <c r="O296">
        <v>29.184000000000001</v>
      </c>
      <c r="P296">
        <v>12.26</v>
      </c>
      <c r="Q296">
        <v>24.52</v>
      </c>
    </row>
    <row r="297" spans="1:17" x14ac:dyDescent="0.25">
      <c r="A297">
        <v>18770083</v>
      </c>
      <c r="B297">
        <v>991143</v>
      </c>
      <c r="C297" t="s">
        <v>81</v>
      </c>
      <c r="E297" t="str">
        <f>"3491955645533"</f>
        <v>3491955645533</v>
      </c>
      <c r="H297" t="s">
        <v>837</v>
      </c>
      <c r="I297">
        <v>6</v>
      </c>
      <c r="J297">
        <v>1</v>
      </c>
      <c r="K297">
        <v>6</v>
      </c>
      <c r="L297">
        <v>4.9980000000000002</v>
      </c>
      <c r="M297">
        <v>4.4980000000000002</v>
      </c>
      <c r="N297">
        <v>4.1059999999999999</v>
      </c>
      <c r="O297">
        <v>24.635999999999999</v>
      </c>
      <c r="P297">
        <v>3.33</v>
      </c>
      <c r="Q297">
        <v>19.98</v>
      </c>
    </row>
    <row r="298" spans="1:17" x14ac:dyDescent="0.25">
      <c r="A298">
        <v>18770083</v>
      </c>
      <c r="B298">
        <v>1002446</v>
      </c>
      <c r="C298" t="s">
        <v>82</v>
      </c>
      <c r="E298" t="str">
        <f>"3296580369300"</f>
        <v>3296580369300</v>
      </c>
      <c r="H298" t="s">
        <v>835</v>
      </c>
      <c r="I298">
        <v>1</v>
      </c>
      <c r="J298">
        <v>1</v>
      </c>
      <c r="K298">
        <v>1</v>
      </c>
      <c r="L298">
        <v>0.25</v>
      </c>
      <c r="M298">
        <v>0.22500000000000001</v>
      </c>
      <c r="N298">
        <v>2.484</v>
      </c>
      <c r="O298">
        <v>2.484</v>
      </c>
      <c r="P298">
        <v>12.94</v>
      </c>
      <c r="Q298">
        <v>12.94</v>
      </c>
    </row>
    <row r="299" spans="1:17" x14ac:dyDescent="0.25">
      <c r="A299">
        <v>18770083</v>
      </c>
      <c r="B299">
        <v>948639</v>
      </c>
      <c r="C299" t="s">
        <v>83</v>
      </c>
      <c r="E299" t="str">
        <f>"778988329368"</f>
        <v>778988329368</v>
      </c>
      <c r="F299" t="str">
        <f>"778988389478"</f>
        <v>778988389478</v>
      </c>
      <c r="H299" t="s">
        <v>837</v>
      </c>
      <c r="I299">
        <v>3</v>
      </c>
      <c r="J299">
        <v>1</v>
      </c>
      <c r="K299">
        <v>3</v>
      </c>
      <c r="L299">
        <v>1.548</v>
      </c>
      <c r="M299">
        <v>1.393</v>
      </c>
      <c r="N299">
        <v>4.18</v>
      </c>
      <c r="O299">
        <v>12.54</v>
      </c>
      <c r="P299">
        <v>17.36</v>
      </c>
      <c r="Q299">
        <v>52.08</v>
      </c>
    </row>
    <row r="300" spans="1:17" x14ac:dyDescent="0.25">
      <c r="A300">
        <v>18770083</v>
      </c>
      <c r="B300">
        <v>1001975</v>
      </c>
      <c r="C300" t="s">
        <v>84</v>
      </c>
      <c r="E300" t="str">
        <f>"5055114295892"</f>
        <v>5055114295892</v>
      </c>
      <c r="F300" t="str">
        <f>"5055114295939"</f>
        <v>5055114295939</v>
      </c>
      <c r="G300" t="str">
        <f>"5055114296066"</f>
        <v>5055114296066</v>
      </c>
      <c r="H300" t="s">
        <v>847</v>
      </c>
      <c r="I300">
        <v>12</v>
      </c>
      <c r="J300">
        <v>1</v>
      </c>
      <c r="K300">
        <v>12</v>
      </c>
      <c r="L300">
        <v>1.944</v>
      </c>
      <c r="M300">
        <v>1.75</v>
      </c>
      <c r="N300">
        <v>0.65400000000000003</v>
      </c>
      <c r="O300">
        <v>7.8479999999999999</v>
      </c>
      <c r="P300">
        <v>1.35</v>
      </c>
      <c r="Q300">
        <v>16.2</v>
      </c>
    </row>
    <row r="301" spans="1:17" x14ac:dyDescent="0.25">
      <c r="A301">
        <v>18770083</v>
      </c>
      <c r="B301">
        <v>1008055</v>
      </c>
      <c r="C301" t="s">
        <v>85</v>
      </c>
      <c r="E301" t="str">
        <f>"5010993797806"</f>
        <v>5010993797806</v>
      </c>
      <c r="H301" t="s">
        <v>836</v>
      </c>
      <c r="I301">
        <v>1</v>
      </c>
      <c r="J301">
        <v>2</v>
      </c>
      <c r="K301">
        <v>2</v>
      </c>
      <c r="L301">
        <v>0.6</v>
      </c>
      <c r="M301">
        <v>0.54</v>
      </c>
      <c r="N301">
        <v>1.875</v>
      </c>
      <c r="O301">
        <v>3.75</v>
      </c>
      <c r="P301">
        <v>11.17</v>
      </c>
      <c r="Q301">
        <v>22.34</v>
      </c>
    </row>
    <row r="302" spans="1:17" x14ac:dyDescent="0.25">
      <c r="A302">
        <v>18770083</v>
      </c>
      <c r="B302">
        <v>1005426</v>
      </c>
      <c r="C302" t="s">
        <v>86</v>
      </c>
      <c r="E302" t="str">
        <f>"3301040321351"</f>
        <v>3301040321351</v>
      </c>
      <c r="H302" t="s">
        <v>837</v>
      </c>
      <c r="I302">
        <v>12</v>
      </c>
      <c r="J302">
        <v>1</v>
      </c>
      <c r="K302">
        <v>12</v>
      </c>
      <c r="L302">
        <v>0.66</v>
      </c>
      <c r="M302">
        <v>0.59399999999999997</v>
      </c>
      <c r="N302">
        <v>0.33300000000000002</v>
      </c>
      <c r="O302">
        <v>3.996</v>
      </c>
      <c r="P302">
        <v>0.81</v>
      </c>
      <c r="Q302">
        <v>9.7200000000000006</v>
      </c>
    </row>
    <row r="303" spans="1:17" x14ac:dyDescent="0.25">
      <c r="A303">
        <v>18770083</v>
      </c>
      <c r="B303">
        <v>1008075</v>
      </c>
      <c r="C303" t="s">
        <v>87</v>
      </c>
      <c r="E303" t="str">
        <f>"5010993789344"</f>
        <v>5010993789344</v>
      </c>
      <c r="H303" t="s">
        <v>835</v>
      </c>
      <c r="I303">
        <v>1</v>
      </c>
      <c r="J303">
        <v>2</v>
      </c>
      <c r="K303">
        <v>2</v>
      </c>
      <c r="L303">
        <v>0.65</v>
      </c>
      <c r="M303">
        <v>0.58499999999999996</v>
      </c>
      <c r="N303">
        <v>1.79</v>
      </c>
      <c r="O303">
        <v>3.58</v>
      </c>
      <c r="P303">
        <v>11.17</v>
      </c>
      <c r="Q303">
        <v>22.34</v>
      </c>
    </row>
    <row r="304" spans="1:17" x14ac:dyDescent="0.25">
      <c r="A304">
        <v>18770083</v>
      </c>
      <c r="B304">
        <v>602859</v>
      </c>
      <c r="C304" t="s">
        <v>88</v>
      </c>
      <c r="E304" t="str">
        <f>"5010993812851"</f>
        <v>5010993812851</v>
      </c>
      <c r="F304" t="str">
        <f>"5010994941796"</f>
        <v>5010994941796</v>
      </c>
      <c r="G304" t="str">
        <f>"5010993591855"</f>
        <v>5010993591855</v>
      </c>
      <c r="H304" t="s">
        <v>848</v>
      </c>
      <c r="I304">
        <v>4</v>
      </c>
      <c r="J304">
        <v>1</v>
      </c>
      <c r="K304">
        <v>4</v>
      </c>
      <c r="L304">
        <v>2.48</v>
      </c>
      <c r="M304">
        <v>2.2320000000000002</v>
      </c>
      <c r="N304">
        <v>1.9359999999999999</v>
      </c>
      <c r="O304">
        <v>7.7439999999999998</v>
      </c>
      <c r="P304">
        <v>11.17</v>
      </c>
      <c r="Q304">
        <v>44.68</v>
      </c>
    </row>
    <row r="305" spans="1:17" x14ac:dyDescent="0.25">
      <c r="A305">
        <v>18770083</v>
      </c>
      <c r="B305">
        <v>962481</v>
      </c>
      <c r="C305" t="s">
        <v>89</v>
      </c>
      <c r="E305" t="str">
        <f>"5413247092489"</f>
        <v>5413247092489</v>
      </c>
      <c r="H305" t="s">
        <v>836</v>
      </c>
      <c r="I305">
        <v>1</v>
      </c>
      <c r="J305">
        <v>3</v>
      </c>
      <c r="K305">
        <v>3</v>
      </c>
      <c r="L305">
        <v>1.8120000000000001</v>
      </c>
      <c r="M305">
        <v>1.631</v>
      </c>
      <c r="N305">
        <v>6.1879999999999997</v>
      </c>
      <c r="O305">
        <v>18.564</v>
      </c>
      <c r="P305">
        <v>6.28</v>
      </c>
      <c r="Q305">
        <v>18.84</v>
      </c>
    </row>
    <row r="306" spans="1:17" x14ac:dyDescent="0.25">
      <c r="A306">
        <v>18770083</v>
      </c>
      <c r="B306">
        <v>999677</v>
      </c>
      <c r="C306" t="s">
        <v>90</v>
      </c>
      <c r="E306" t="str">
        <f>"4891813547242"</f>
        <v>4891813547242</v>
      </c>
      <c r="H306" t="s">
        <v>839</v>
      </c>
      <c r="I306">
        <v>1</v>
      </c>
      <c r="J306">
        <v>2</v>
      </c>
      <c r="K306">
        <v>2</v>
      </c>
      <c r="L306">
        <v>0.65</v>
      </c>
      <c r="M306">
        <v>0.58499999999999996</v>
      </c>
      <c r="N306">
        <v>3.141</v>
      </c>
      <c r="O306">
        <v>6.282</v>
      </c>
      <c r="P306">
        <v>9.2899999999999991</v>
      </c>
      <c r="Q306">
        <v>18.579999999999998</v>
      </c>
    </row>
    <row r="307" spans="1:17" x14ac:dyDescent="0.25">
      <c r="A307">
        <v>18770083</v>
      </c>
      <c r="B307">
        <v>953056</v>
      </c>
      <c r="C307" t="s">
        <v>91</v>
      </c>
      <c r="E307" t="str">
        <f>"5420023190505"</f>
        <v>5420023190505</v>
      </c>
      <c r="H307" t="s">
        <v>839</v>
      </c>
      <c r="I307">
        <v>1</v>
      </c>
      <c r="J307">
        <v>2</v>
      </c>
      <c r="K307">
        <v>2</v>
      </c>
      <c r="L307">
        <v>1.25</v>
      </c>
      <c r="M307">
        <v>1.125</v>
      </c>
      <c r="N307">
        <v>9.798</v>
      </c>
      <c r="O307">
        <v>19.596</v>
      </c>
      <c r="P307">
        <v>8.99</v>
      </c>
      <c r="Q307">
        <v>17.98</v>
      </c>
    </row>
    <row r="308" spans="1:17" x14ac:dyDescent="0.25">
      <c r="A308">
        <v>18770083</v>
      </c>
      <c r="B308">
        <v>953039</v>
      </c>
      <c r="C308" t="s">
        <v>92</v>
      </c>
      <c r="E308" t="str">
        <f>"5420023190581"</f>
        <v>5420023190581</v>
      </c>
      <c r="H308" t="s">
        <v>839</v>
      </c>
      <c r="I308">
        <v>1</v>
      </c>
      <c r="J308">
        <v>2</v>
      </c>
      <c r="K308">
        <v>2</v>
      </c>
      <c r="L308">
        <v>1.5660000000000001</v>
      </c>
      <c r="M308">
        <v>1.409</v>
      </c>
      <c r="N308">
        <v>10.936999999999999</v>
      </c>
      <c r="O308">
        <v>21.873999999999999</v>
      </c>
      <c r="P308">
        <v>6.42</v>
      </c>
      <c r="Q308">
        <v>12.84</v>
      </c>
    </row>
    <row r="309" spans="1:17" x14ac:dyDescent="0.25">
      <c r="A309">
        <v>18770083</v>
      </c>
      <c r="B309">
        <v>999688</v>
      </c>
      <c r="C309" t="s">
        <v>93</v>
      </c>
      <c r="E309" t="str">
        <f>"5425002416065"</f>
        <v>5425002416065</v>
      </c>
      <c r="H309" t="s">
        <v>836</v>
      </c>
      <c r="I309">
        <v>1</v>
      </c>
      <c r="J309">
        <v>2</v>
      </c>
      <c r="K309">
        <v>2</v>
      </c>
      <c r="L309">
        <v>0.7</v>
      </c>
      <c r="M309">
        <v>0.63</v>
      </c>
      <c r="N309">
        <v>3.7719999999999998</v>
      </c>
      <c r="O309">
        <v>7.5439999999999996</v>
      </c>
      <c r="P309">
        <v>5.84</v>
      </c>
      <c r="Q309">
        <v>11.68</v>
      </c>
    </row>
    <row r="310" spans="1:17" x14ac:dyDescent="0.25">
      <c r="A310">
        <v>18771163</v>
      </c>
      <c r="B310">
        <v>980884</v>
      </c>
      <c r="C310" t="s">
        <v>94</v>
      </c>
      <c r="E310" t="str">
        <f>"2000007079403"</f>
        <v>2000007079403</v>
      </c>
      <c r="H310" t="s">
        <v>711</v>
      </c>
      <c r="I310">
        <v>6</v>
      </c>
      <c r="J310">
        <v>1</v>
      </c>
      <c r="K310">
        <v>6</v>
      </c>
      <c r="L310">
        <v>1.998</v>
      </c>
      <c r="M310">
        <v>1.798</v>
      </c>
      <c r="N310">
        <v>3.391</v>
      </c>
      <c r="O310">
        <v>20.346</v>
      </c>
      <c r="P310">
        <v>5.36</v>
      </c>
      <c r="Q310">
        <v>32.159999999999997</v>
      </c>
    </row>
    <row r="311" spans="1:17" x14ac:dyDescent="0.25">
      <c r="A311">
        <v>18771163</v>
      </c>
      <c r="B311">
        <v>981038</v>
      </c>
      <c r="C311" t="s">
        <v>96</v>
      </c>
      <c r="E311" t="str">
        <f>"2000007113978"</f>
        <v>2000007113978</v>
      </c>
      <c r="H311" t="s">
        <v>849</v>
      </c>
      <c r="I311">
        <v>6</v>
      </c>
      <c r="J311">
        <v>1</v>
      </c>
      <c r="K311">
        <v>6</v>
      </c>
      <c r="L311">
        <v>1.1100000000000001</v>
      </c>
      <c r="M311">
        <v>0.999</v>
      </c>
      <c r="N311">
        <v>1.6659999999999999</v>
      </c>
      <c r="O311">
        <v>9.9960000000000004</v>
      </c>
      <c r="P311">
        <v>5.13</v>
      </c>
      <c r="Q311">
        <v>30.78</v>
      </c>
    </row>
    <row r="312" spans="1:17" x14ac:dyDescent="0.25">
      <c r="A312">
        <v>18771163</v>
      </c>
      <c r="B312">
        <v>980738</v>
      </c>
      <c r="C312" t="s">
        <v>98</v>
      </c>
      <c r="E312" t="str">
        <f>"2000007088399"</f>
        <v>2000007088399</v>
      </c>
      <c r="H312" t="s">
        <v>712</v>
      </c>
      <c r="I312">
        <v>6</v>
      </c>
      <c r="J312">
        <v>1</v>
      </c>
      <c r="K312">
        <v>6</v>
      </c>
      <c r="L312">
        <v>0.72</v>
      </c>
      <c r="M312">
        <v>0.64800000000000002</v>
      </c>
      <c r="N312">
        <v>0.8</v>
      </c>
      <c r="O312">
        <v>4.8</v>
      </c>
      <c r="P312">
        <v>2.78</v>
      </c>
      <c r="Q312">
        <v>16.68</v>
      </c>
    </row>
    <row r="313" spans="1:17" x14ac:dyDescent="0.25">
      <c r="A313">
        <v>18771163</v>
      </c>
      <c r="B313">
        <v>980744</v>
      </c>
      <c r="C313" t="s">
        <v>100</v>
      </c>
      <c r="E313" t="str">
        <f>"2000007072121"</f>
        <v>2000007072121</v>
      </c>
      <c r="H313" t="s">
        <v>850</v>
      </c>
      <c r="I313">
        <v>1</v>
      </c>
      <c r="J313">
        <v>6</v>
      </c>
      <c r="K313">
        <v>6</v>
      </c>
      <c r="L313">
        <v>1.4159999999999999</v>
      </c>
      <c r="M313">
        <v>1.274</v>
      </c>
      <c r="N313">
        <v>2.266</v>
      </c>
      <c r="O313">
        <v>13.596</v>
      </c>
      <c r="P313">
        <v>4.22</v>
      </c>
      <c r="Q313">
        <v>25.32</v>
      </c>
    </row>
    <row r="314" spans="1:17" x14ac:dyDescent="0.25">
      <c r="A314">
        <v>18771163</v>
      </c>
      <c r="B314">
        <v>1020567</v>
      </c>
      <c r="C314" t="s">
        <v>102</v>
      </c>
      <c r="E314" t="str">
        <f>"2000007114951"</f>
        <v>2000007114951</v>
      </c>
      <c r="H314" t="s">
        <v>851</v>
      </c>
      <c r="I314">
        <v>1</v>
      </c>
      <c r="J314">
        <v>6</v>
      </c>
      <c r="K314">
        <v>6</v>
      </c>
      <c r="L314">
        <v>1.1220000000000001</v>
      </c>
      <c r="M314">
        <v>1.01</v>
      </c>
      <c r="N314">
        <v>0.01</v>
      </c>
      <c r="O314">
        <v>0.06</v>
      </c>
      <c r="P314">
        <v>8.3000000000000007</v>
      </c>
      <c r="Q314">
        <v>49.8</v>
      </c>
    </row>
    <row r="315" spans="1:17" x14ac:dyDescent="0.25">
      <c r="A315">
        <v>18771163</v>
      </c>
      <c r="B315">
        <v>980886</v>
      </c>
      <c r="C315" t="s">
        <v>103</v>
      </c>
      <c r="E315" t="str">
        <f>"2000007072138"</f>
        <v>2000007072138</v>
      </c>
      <c r="H315" t="s">
        <v>850</v>
      </c>
      <c r="I315">
        <v>6</v>
      </c>
      <c r="J315">
        <v>1</v>
      </c>
      <c r="K315">
        <v>6</v>
      </c>
      <c r="L315">
        <v>1.8120000000000001</v>
      </c>
      <c r="M315">
        <v>1.631</v>
      </c>
      <c r="N315">
        <v>0.01</v>
      </c>
      <c r="O315">
        <v>0.06</v>
      </c>
      <c r="P315">
        <v>4.22</v>
      </c>
      <c r="Q315">
        <v>25.32</v>
      </c>
    </row>
    <row r="316" spans="1:17" x14ac:dyDescent="0.25">
      <c r="A316">
        <v>18771163</v>
      </c>
      <c r="B316">
        <v>980883</v>
      </c>
      <c r="C316" t="s">
        <v>104</v>
      </c>
      <c r="E316" t="str">
        <f>"2000007088405"</f>
        <v>2000007088405</v>
      </c>
      <c r="H316" t="s">
        <v>712</v>
      </c>
      <c r="I316">
        <v>6</v>
      </c>
      <c r="J316">
        <v>1</v>
      </c>
      <c r="K316">
        <v>6</v>
      </c>
      <c r="L316">
        <v>0.996</v>
      </c>
      <c r="M316">
        <v>0.89600000000000002</v>
      </c>
      <c r="N316">
        <v>1.0249999999999999</v>
      </c>
      <c r="O316">
        <v>6.15</v>
      </c>
      <c r="P316">
        <v>2.78</v>
      </c>
      <c r="Q316">
        <v>16.68</v>
      </c>
    </row>
    <row r="317" spans="1:17" x14ac:dyDescent="0.25">
      <c r="A317">
        <v>18771163</v>
      </c>
      <c r="B317">
        <v>980740</v>
      </c>
      <c r="C317" t="s">
        <v>105</v>
      </c>
      <c r="E317" t="str">
        <f>"2000007079397"</f>
        <v>2000007079397</v>
      </c>
      <c r="H317" t="s">
        <v>711</v>
      </c>
      <c r="I317">
        <v>6</v>
      </c>
      <c r="J317">
        <v>1</v>
      </c>
      <c r="K317">
        <v>6</v>
      </c>
      <c r="L317">
        <v>1.5</v>
      </c>
      <c r="M317">
        <v>1.35</v>
      </c>
      <c r="N317">
        <v>2.5030000000000001</v>
      </c>
      <c r="O317">
        <v>15.018000000000001</v>
      </c>
      <c r="P317">
        <v>5.36</v>
      </c>
      <c r="Q317">
        <v>32.159999999999997</v>
      </c>
    </row>
    <row r="318" spans="1:17" x14ac:dyDescent="0.25">
      <c r="A318">
        <v>18771163</v>
      </c>
      <c r="B318">
        <v>980633</v>
      </c>
      <c r="C318" t="s">
        <v>106</v>
      </c>
      <c r="E318" t="str">
        <f>"2000007114890"</f>
        <v>2000007114890</v>
      </c>
      <c r="H318" t="s">
        <v>852</v>
      </c>
      <c r="I318">
        <v>6</v>
      </c>
      <c r="J318">
        <v>1</v>
      </c>
      <c r="K318">
        <v>6</v>
      </c>
      <c r="L318">
        <v>1.05</v>
      </c>
      <c r="M318">
        <v>0.94499999999999995</v>
      </c>
      <c r="N318">
        <v>1.333</v>
      </c>
      <c r="O318">
        <v>7.9980000000000002</v>
      </c>
      <c r="P318">
        <v>5.84</v>
      </c>
      <c r="Q318">
        <v>35.04</v>
      </c>
    </row>
    <row r="319" spans="1:17" x14ac:dyDescent="0.25">
      <c r="A319">
        <v>18771163</v>
      </c>
      <c r="B319">
        <v>980691</v>
      </c>
      <c r="C319" t="s">
        <v>107</v>
      </c>
      <c r="E319" t="str">
        <f>"2000007114906"</f>
        <v>2000007114906</v>
      </c>
      <c r="H319" t="s">
        <v>852</v>
      </c>
      <c r="I319">
        <v>1</v>
      </c>
      <c r="J319">
        <v>6</v>
      </c>
      <c r="K319">
        <v>6</v>
      </c>
      <c r="L319">
        <v>1.8480000000000001</v>
      </c>
      <c r="M319">
        <v>1.663</v>
      </c>
      <c r="N319">
        <v>2</v>
      </c>
      <c r="O319">
        <v>12</v>
      </c>
      <c r="P319">
        <v>8.3000000000000007</v>
      </c>
      <c r="Q319">
        <v>49.8</v>
      </c>
    </row>
    <row r="320" spans="1:17" x14ac:dyDescent="0.25">
      <c r="A320">
        <v>18771163</v>
      </c>
      <c r="B320">
        <v>980634</v>
      </c>
      <c r="C320" t="s">
        <v>108</v>
      </c>
      <c r="E320" t="str">
        <f>"2000007114920"</f>
        <v>2000007114920</v>
      </c>
      <c r="H320" t="s">
        <v>853</v>
      </c>
      <c r="I320">
        <v>6</v>
      </c>
      <c r="J320">
        <v>1</v>
      </c>
      <c r="K320">
        <v>6</v>
      </c>
      <c r="L320">
        <v>1.266</v>
      </c>
      <c r="M320">
        <v>1.139</v>
      </c>
      <c r="N320">
        <v>2</v>
      </c>
      <c r="O320">
        <v>12</v>
      </c>
      <c r="P320">
        <v>6.34</v>
      </c>
      <c r="Q320">
        <v>38.04</v>
      </c>
    </row>
    <row r="321" spans="1:17" x14ac:dyDescent="0.25">
      <c r="A321">
        <v>18771163</v>
      </c>
      <c r="B321">
        <v>1020568</v>
      </c>
      <c r="C321" t="s">
        <v>109</v>
      </c>
      <c r="E321" t="str">
        <f>"2000007114944"</f>
        <v>2000007114944</v>
      </c>
      <c r="H321" t="s">
        <v>851</v>
      </c>
      <c r="I321">
        <v>6</v>
      </c>
      <c r="J321">
        <v>1</v>
      </c>
      <c r="K321">
        <v>6</v>
      </c>
      <c r="L321">
        <v>1.3620000000000001</v>
      </c>
      <c r="M321">
        <v>1.226</v>
      </c>
      <c r="N321">
        <v>2</v>
      </c>
      <c r="O321">
        <v>12</v>
      </c>
      <c r="P321">
        <v>7.19</v>
      </c>
      <c r="Q321">
        <v>43.14</v>
      </c>
    </row>
    <row r="322" spans="1:17" x14ac:dyDescent="0.25">
      <c r="A322">
        <v>18771163</v>
      </c>
      <c r="B322">
        <v>978085</v>
      </c>
      <c r="C322" t="s">
        <v>110</v>
      </c>
      <c r="E322" t="str">
        <f>"2000007084070"</f>
        <v>2000007084070</v>
      </c>
      <c r="H322" t="s">
        <v>707</v>
      </c>
      <c r="I322">
        <v>2</v>
      </c>
      <c r="J322">
        <v>1</v>
      </c>
      <c r="K322">
        <v>2</v>
      </c>
      <c r="L322">
        <v>2E-3</v>
      </c>
      <c r="M322">
        <v>2E-3</v>
      </c>
      <c r="N322">
        <v>0.26900000000000002</v>
      </c>
      <c r="O322">
        <v>0.53800000000000003</v>
      </c>
      <c r="P322">
        <v>0.86</v>
      </c>
      <c r="Q322">
        <v>1.72</v>
      </c>
    </row>
    <row r="323" spans="1:17" x14ac:dyDescent="0.25">
      <c r="A323">
        <v>18771163</v>
      </c>
      <c r="B323">
        <v>978084</v>
      </c>
      <c r="C323" t="s">
        <v>111</v>
      </c>
      <c r="E323" t="str">
        <f>"2000007084063"</f>
        <v>2000007084063</v>
      </c>
      <c r="H323" t="s">
        <v>707</v>
      </c>
      <c r="I323">
        <v>2</v>
      </c>
      <c r="J323">
        <v>1</v>
      </c>
      <c r="K323">
        <v>2</v>
      </c>
      <c r="L323">
        <v>0.11</v>
      </c>
      <c r="M323">
        <v>9.9000000000000005E-2</v>
      </c>
      <c r="N323">
        <v>0.01</v>
      </c>
      <c r="O323">
        <v>0.02</v>
      </c>
      <c r="P323">
        <v>0.86</v>
      </c>
      <c r="Q323">
        <v>1.72</v>
      </c>
    </row>
    <row r="324" spans="1:17" x14ac:dyDescent="0.25">
      <c r="A324">
        <v>18771163</v>
      </c>
      <c r="B324">
        <v>980150</v>
      </c>
      <c r="C324" t="s">
        <v>112</v>
      </c>
      <c r="E324" t="str">
        <f>"2000007085718"</f>
        <v>2000007085718</v>
      </c>
      <c r="H324" t="s">
        <v>854</v>
      </c>
      <c r="I324">
        <v>6</v>
      </c>
      <c r="J324">
        <v>1</v>
      </c>
      <c r="K324">
        <v>6</v>
      </c>
      <c r="L324">
        <v>1.998</v>
      </c>
      <c r="M324">
        <v>1.798</v>
      </c>
      <c r="N324">
        <v>3.024</v>
      </c>
      <c r="O324">
        <v>18.143999999999998</v>
      </c>
      <c r="P324">
        <v>5.39</v>
      </c>
      <c r="Q324">
        <v>32.340000000000003</v>
      </c>
    </row>
    <row r="325" spans="1:17" x14ac:dyDescent="0.25">
      <c r="A325">
        <v>18771163</v>
      </c>
      <c r="B325">
        <v>980111</v>
      </c>
      <c r="C325" t="s">
        <v>113</v>
      </c>
      <c r="E325" t="str">
        <f>"2000007088320"</f>
        <v>2000007088320</v>
      </c>
      <c r="H325" t="s">
        <v>712</v>
      </c>
      <c r="I325">
        <v>6</v>
      </c>
      <c r="J325">
        <v>1</v>
      </c>
      <c r="K325">
        <v>6</v>
      </c>
      <c r="L325">
        <v>1.83</v>
      </c>
      <c r="M325">
        <v>1.647</v>
      </c>
      <c r="N325">
        <v>2</v>
      </c>
      <c r="O325">
        <v>12</v>
      </c>
      <c r="P325">
        <v>4.5199999999999996</v>
      </c>
      <c r="Q325">
        <v>27.12</v>
      </c>
    </row>
    <row r="326" spans="1:17" x14ac:dyDescent="0.25">
      <c r="A326">
        <v>18771163</v>
      </c>
      <c r="B326">
        <v>980046</v>
      </c>
      <c r="C326" t="s">
        <v>114</v>
      </c>
      <c r="E326" t="str">
        <f>"2000007083790"</f>
        <v>2000007083790</v>
      </c>
      <c r="H326" t="s">
        <v>855</v>
      </c>
      <c r="I326">
        <v>6</v>
      </c>
      <c r="J326">
        <v>1</v>
      </c>
      <c r="K326">
        <v>6</v>
      </c>
      <c r="L326">
        <v>1.77</v>
      </c>
      <c r="M326">
        <v>1.593</v>
      </c>
      <c r="N326">
        <v>2.2749999999999999</v>
      </c>
      <c r="O326">
        <v>13.65</v>
      </c>
      <c r="P326">
        <v>5.25</v>
      </c>
      <c r="Q326">
        <v>31.5</v>
      </c>
    </row>
    <row r="327" spans="1:17" x14ac:dyDescent="0.25">
      <c r="A327">
        <v>18771163</v>
      </c>
      <c r="B327">
        <v>980110</v>
      </c>
      <c r="C327" t="s">
        <v>115</v>
      </c>
      <c r="E327" t="str">
        <f>"2000007083806"</f>
        <v>2000007083806</v>
      </c>
      <c r="H327" t="s">
        <v>855</v>
      </c>
      <c r="I327">
        <v>1</v>
      </c>
      <c r="J327">
        <v>6</v>
      </c>
      <c r="K327">
        <v>6</v>
      </c>
      <c r="L327">
        <v>2.85</v>
      </c>
      <c r="M327">
        <v>2.5649999999999999</v>
      </c>
      <c r="N327">
        <v>0.43</v>
      </c>
      <c r="O327">
        <v>2.58</v>
      </c>
      <c r="P327">
        <v>6.13</v>
      </c>
      <c r="Q327">
        <v>36.78</v>
      </c>
    </row>
    <row r="328" spans="1:17" x14ac:dyDescent="0.25">
      <c r="A328">
        <v>18771163</v>
      </c>
      <c r="B328">
        <v>980157</v>
      </c>
      <c r="C328" t="s">
        <v>116</v>
      </c>
      <c r="E328" t="str">
        <f>"2000007085732"</f>
        <v>2000007085732</v>
      </c>
      <c r="H328" t="s">
        <v>854</v>
      </c>
      <c r="I328">
        <v>6</v>
      </c>
      <c r="J328">
        <v>1</v>
      </c>
      <c r="K328">
        <v>6</v>
      </c>
      <c r="L328">
        <v>2.298</v>
      </c>
      <c r="M328">
        <v>2.0680000000000001</v>
      </c>
      <c r="N328">
        <v>2.88</v>
      </c>
      <c r="O328">
        <v>17.28</v>
      </c>
      <c r="P328">
        <v>5.39</v>
      </c>
      <c r="Q328">
        <v>32.340000000000003</v>
      </c>
    </row>
    <row r="329" spans="1:17" x14ac:dyDescent="0.25">
      <c r="A329">
        <v>18771163</v>
      </c>
      <c r="B329">
        <v>980047</v>
      </c>
      <c r="C329" t="s">
        <v>117</v>
      </c>
      <c r="E329" t="str">
        <f>"2000007088313"</f>
        <v>2000007088313</v>
      </c>
      <c r="H329" t="s">
        <v>712</v>
      </c>
      <c r="I329">
        <v>6</v>
      </c>
      <c r="J329">
        <v>1</v>
      </c>
      <c r="K329">
        <v>6</v>
      </c>
      <c r="L329">
        <v>0.9</v>
      </c>
      <c r="M329">
        <v>0.81</v>
      </c>
      <c r="N329">
        <v>2.6669999999999998</v>
      </c>
      <c r="O329">
        <v>16.001999999999999</v>
      </c>
      <c r="P329">
        <v>4.5199999999999996</v>
      </c>
      <c r="Q329">
        <v>27.12</v>
      </c>
    </row>
    <row r="330" spans="1:17" x14ac:dyDescent="0.25">
      <c r="A330">
        <v>18771163</v>
      </c>
      <c r="B330">
        <v>980239</v>
      </c>
      <c r="C330" t="s">
        <v>118</v>
      </c>
      <c r="E330" t="str">
        <f>"2000007063464"</f>
        <v>2000007063464</v>
      </c>
      <c r="H330" t="s">
        <v>856</v>
      </c>
      <c r="I330">
        <v>1</v>
      </c>
      <c r="J330">
        <v>6</v>
      </c>
      <c r="K330">
        <v>6</v>
      </c>
      <c r="L330">
        <v>5.4</v>
      </c>
      <c r="M330">
        <v>4.8600000000000003</v>
      </c>
      <c r="N330">
        <v>1.5880000000000001</v>
      </c>
      <c r="O330">
        <v>9.5280000000000005</v>
      </c>
      <c r="P330">
        <v>8.7899999999999991</v>
      </c>
      <c r="Q330">
        <v>52.74</v>
      </c>
    </row>
    <row r="331" spans="1:17" x14ac:dyDescent="0.25">
      <c r="A331">
        <v>18771163</v>
      </c>
      <c r="B331">
        <v>980887</v>
      </c>
      <c r="C331" t="s">
        <v>119</v>
      </c>
      <c r="E331" t="str">
        <f>"2000007079380"</f>
        <v>2000007079380</v>
      </c>
      <c r="H331" t="s">
        <v>711</v>
      </c>
      <c r="I331">
        <v>6</v>
      </c>
      <c r="J331">
        <v>1</v>
      </c>
      <c r="K331">
        <v>6</v>
      </c>
      <c r="L331">
        <v>1.698</v>
      </c>
      <c r="M331">
        <v>1.528</v>
      </c>
      <c r="N331">
        <v>2.46</v>
      </c>
      <c r="O331">
        <v>14.76</v>
      </c>
      <c r="P331">
        <v>5.29</v>
      </c>
      <c r="Q331">
        <v>31.74</v>
      </c>
    </row>
    <row r="332" spans="1:17" x14ac:dyDescent="0.25">
      <c r="A332">
        <v>18771163</v>
      </c>
      <c r="B332">
        <v>980743</v>
      </c>
      <c r="C332" t="s">
        <v>120</v>
      </c>
      <c r="E332" t="str">
        <f>"2000007086890"</f>
        <v>2000007086890</v>
      </c>
      <c r="H332" t="s">
        <v>857</v>
      </c>
      <c r="I332">
        <v>6</v>
      </c>
      <c r="J332">
        <v>1</v>
      </c>
      <c r="K332">
        <v>6</v>
      </c>
      <c r="L332">
        <v>1.6739999999999999</v>
      </c>
      <c r="M332">
        <v>1.5069999999999999</v>
      </c>
      <c r="N332">
        <v>2.2029999999999998</v>
      </c>
      <c r="O332">
        <v>13.218</v>
      </c>
      <c r="P332">
        <v>5.68</v>
      </c>
      <c r="Q332">
        <v>34.08</v>
      </c>
    </row>
    <row r="333" spans="1:17" x14ac:dyDescent="0.25">
      <c r="A333">
        <v>18771163</v>
      </c>
      <c r="B333">
        <v>980739</v>
      </c>
      <c r="C333" t="s">
        <v>121</v>
      </c>
      <c r="E333" t="str">
        <f>"2000007067653"</f>
        <v>2000007067653</v>
      </c>
      <c r="H333" t="s">
        <v>714</v>
      </c>
      <c r="I333">
        <v>6</v>
      </c>
      <c r="J333">
        <v>1</v>
      </c>
      <c r="K333">
        <v>6</v>
      </c>
      <c r="L333">
        <v>1.3979999999999999</v>
      </c>
      <c r="M333">
        <v>1.258</v>
      </c>
      <c r="N333">
        <v>2.5710000000000002</v>
      </c>
      <c r="O333">
        <v>15.426</v>
      </c>
      <c r="P333">
        <v>5.91</v>
      </c>
      <c r="Q333">
        <v>35.46</v>
      </c>
    </row>
    <row r="334" spans="1:17" x14ac:dyDescent="0.25">
      <c r="A334">
        <v>18771163</v>
      </c>
      <c r="B334">
        <v>980742</v>
      </c>
      <c r="C334" t="s">
        <v>122</v>
      </c>
      <c r="E334" t="str">
        <f>"2000007079373"</f>
        <v>2000007079373</v>
      </c>
      <c r="H334" t="s">
        <v>711</v>
      </c>
      <c r="I334">
        <v>6</v>
      </c>
      <c r="J334">
        <v>1</v>
      </c>
      <c r="K334">
        <v>6</v>
      </c>
      <c r="L334">
        <v>1.1399999999999999</v>
      </c>
      <c r="M334">
        <v>1.026</v>
      </c>
      <c r="N334">
        <v>1.4930000000000001</v>
      </c>
      <c r="O334">
        <v>8.9580000000000002</v>
      </c>
      <c r="P334">
        <v>5.32</v>
      </c>
      <c r="Q334">
        <v>31.92</v>
      </c>
    </row>
    <row r="335" spans="1:17" x14ac:dyDescent="0.25">
      <c r="A335">
        <v>18771163</v>
      </c>
      <c r="B335">
        <v>980656</v>
      </c>
      <c r="C335" t="s">
        <v>123</v>
      </c>
      <c r="E335" t="str">
        <f>"2000007089624"</f>
        <v>2000007089624</v>
      </c>
      <c r="H335" t="s">
        <v>858</v>
      </c>
      <c r="I335">
        <v>6</v>
      </c>
      <c r="J335">
        <v>1</v>
      </c>
      <c r="K335">
        <v>6</v>
      </c>
      <c r="L335">
        <v>1.452</v>
      </c>
      <c r="M335">
        <v>1.3069999999999999</v>
      </c>
      <c r="N335">
        <v>2</v>
      </c>
      <c r="O335">
        <v>12</v>
      </c>
      <c r="P335">
        <v>4.6399999999999997</v>
      </c>
      <c r="Q335">
        <v>27.84</v>
      </c>
    </row>
    <row r="336" spans="1:17" x14ac:dyDescent="0.25">
      <c r="A336">
        <v>18771163</v>
      </c>
      <c r="B336">
        <v>980889</v>
      </c>
      <c r="C336" t="s">
        <v>124</v>
      </c>
      <c r="E336" t="str">
        <f>"2000007086906"</f>
        <v>2000007086906</v>
      </c>
      <c r="H336" t="s">
        <v>857</v>
      </c>
      <c r="I336">
        <v>6</v>
      </c>
      <c r="J336">
        <v>1</v>
      </c>
      <c r="K336">
        <v>6</v>
      </c>
      <c r="L336">
        <v>2.2200000000000002</v>
      </c>
      <c r="M336">
        <v>1.998</v>
      </c>
      <c r="N336">
        <v>1.728</v>
      </c>
      <c r="O336">
        <v>10.368</v>
      </c>
      <c r="P336">
        <v>5.76</v>
      </c>
      <c r="Q336">
        <v>34.56</v>
      </c>
    </row>
    <row r="337" spans="1:17" x14ac:dyDescent="0.25">
      <c r="A337">
        <v>18771163</v>
      </c>
      <c r="B337">
        <v>980637</v>
      </c>
      <c r="C337" t="s">
        <v>125</v>
      </c>
      <c r="E337" t="str">
        <f>"2000007113992"</f>
        <v>2000007113992</v>
      </c>
      <c r="H337" t="s">
        <v>859</v>
      </c>
      <c r="I337">
        <v>6</v>
      </c>
      <c r="J337">
        <v>1</v>
      </c>
      <c r="K337">
        <v>6</v>
      </c>
      <c r="L337">
        <v>1.3140000000000001</v>
      </c>
      <c r="M337">
        <v>1.1830000000000001</v>
      </c>
      <c r="N337">
        <v>1.6379999999999999</v>
      </c>
      <c r="O337">
        <v>9.8279999999999994</v>
      </c>
      <c r="P337">
        <v>6.95</v>
      </c>
      <c r="Q337">
        <v>41.7</v>
      </c>
    </row>
    <row r="338" spans="1:17" x14ac:dyDescent="0.25">
      <c r="A338">
        <v>18771163</v>
      </c>
      <c r="B338">
        <v>980715</v>
      </c>
      <c r="C338" t="s">
        <v>126</v>
      </c>
      <c r="E338" t="str">
        <f>"2000007114937"</f>
        <v>2000007114937</v>
      </c>
      <c r="H338" t="s">
        <v>851</v>
      </c>
      <c r="I338">
        <v>1</v>
      </c>
      <c r="J338">
        <v>6</v>
      </c>
      <c r="K338">
        <v>6</v>
      </c>
      <c r="L338">
        <v>1.458</v>
      </c>
      <c r="M338">
        <v>1.3120000000000001</v>
      </c>
      <c r="N338">
        <v>2</v>
      </c>
      <c r="O338">
        <v>12</v>
      </c>
      <c r="P338">
        <v>8.3000000000000007</v>
      </c>
      <c r="Q338">
        <v>49.8</v>
      </c>
    </row>
    <row r="339" spans="1:17" x14ac:dyDescent="0.25">
      <c r="A339">
        <v>18771163</v>
      </c>
      <c r="B339">
        <v>980116</v>
      </c>
      <c r="C339" t="s">
        <v>127</v>
      </c>
      <c r="E339" t="str">
        <f>"2000007089051"</f>
        <v>2000007089051</v>
      </c>
      <c r="H339" t="s">
        <v>860</v>
      </c>
      <c r="I339">
        <v>6</v>
      </c>
      <c r="J339">
        <v>1</v>
      </c>
      <c r="K339">
        <v>6</v>
      </c>
      <c r="L339">
        <v>1.5960000000000001</v>
      </c>
      <c r="M339">
        <v>1.4359999999999999</v>
      </c>
      <c r="N339">
        <v>1.762</v>
      </c>
      <c r="O339">
        <v>10.571999999999999</v>
      </c>
      <c r="P339">
        <v>4.68</v>
      </c>
      <c r="Q339">
        <v>28.08</v>
      </c>
    </row>
    <row r="340" spans="1:17" x14ac:dyDescent="0.25">
      <c r="A340">
        <v>18771163</v>
      </c>
      <c r="B340">
        <v>980117</v>
      </c>
      <c r="C340" t="s">
        <v>128</v>
      </c>
      <c r="E340" t="str">
        <f>"2000007088245"</f>
        <v>2000007088245</v>
      </c>
      <c r="H340" t="s">
        <v>718</v>
      </c>
      <c r="I340">
        <v>6</v>
      </c>
      <c r="J340">
        <v>1</v>
      </c>
      <c r="K340">
        <v>6</v>
      </c>
      <c r="L340">
        <v>2.7480000000000002</v>
      </c>
      <c r="M340">
        <v>2.4729999999999999</v>
      </c>
      <c r="N340">
        <v>3.133</v>
      </c>
      <c r="O340">
        <v>18.797999999999998</v>
      </c>
      <c r="P340">
        <v>6.03</v>
      </c>
      <c r="Q340">
        <v>36.18</v>
      </c>
    </row>
    <row r="341" spans="1:17" x14ac:dyDescent="0.25">
      <c r="A341">
        <v>18771163</v>
      </c>
      <c r="B341">
        <v>979979</v>
      </c>
      <c r="C341" t="s">
        <v>129</v>
      </c>
      <c r="E341" t="str">
        <f>"2000007079151"</f>
        <v>2000007079151</v>
      </c>
      <c r="H341" t="s">
        <v>861</v>
      </c>
      <c r="I341">
        <v>6</v>
      </c>
      <c r="J341">
        <v>1</v>
      </c>
      <c r="K341">
        <v>6</v>
      </c>
      <c r="L341">
        <v>0.41399999999999998</v>
      </c>
      <c r="M341">
        <v>0.373</v>
      </c>
      <c r="N341">
        <v>8.0000000000000002E-3</v>
      </c>
      <c r="O341">
        <v>4.8000000000000001E-2</v>
      </c>
      <c r="P341">
        <v>7.16</v>
      </c>
      <c r="Q341">
        <v>42.96</v>
      </c>
    </row>
    <row r="342" spans="1:17" x14ac:dyDescent="0.25">
      <c r="A342">
        <v>18771163</v>
      </c>
      <c r="B342">
        <v>979974</v>
      </c>
      <c r="C342" t="s">
        <v>130</v>
      </c>
      <c r="E342" t="str">
        <f>"2000007079144"</f>
        <v>2000007079144</v>
      </c>
      <c r="H342" t="s">
        <v>861</v>
      </c>
      <c r="I342">
        <v>6</v>
      </c>
      <c r="J342">
        <v>1</v>
      </c>
      <c r="K342">
        <v>6</v>
      </c>
      <c r="L342">
        <v>2.94</v>
      </c>
      <c r="M342">
        <v>2.6459999999999999</v>
      </c>
      <c r="N342">
        <v>4.9130000000000003</v>
      </c>
      <c r="O342">
        <v>29.478000000000002</v>
      </c>
      <c r="P342">
        <v>7.16</v>
      </c>
      <c r="Q342">
        <v>42.96</v>
      </c>
    </row>
    <row r="343" spans="1:17" x14ac:dyDescent="0.25">
      <c r="A343">
        <v>18771163</v>
      </c>
      <c r="B343">
        <v>980114</v>
      </c>
      <c r="C343" t="s">
        <v>131</v>
      </c>
      <c r="E343" t="str">
        <f>"2000007088252"</f>
        <v>2000007088252</v>
      </c>
      <c r="H343" t="s">
        <v>862</v>
      </c>
      <c r="I343">
        <v>6</v>
      </c>
      <c r="J343">
        <v>1</v>
      </c>
      <c r="K343">
        <v>6</v>
      </c>
      <c r="L343">
        <v>1.6619999999999999</v>
      </c>
      <c r="M343">
        <v>1.496</v>
      </c>
      <c r="N343">
        <v>2.6659999999999999</v>
      </c>
      <c r="O343">
        <v>15.996</v>
      </c>
      <c r="P343">
        <v>4.33</v>
      </c>
      <c r="Q343">
        <v>25.98</v>
      </c>
    </row>
    <row r="344" spans="1:17" x14ac:dyDescent="0.25">
      <c r="A344">
        <v>18771163</v>
      </c>
      <c r="B344">
        <v>980118</v>
      </c>
      <c r="C344" t="s">
        <v>132</v>
      </c>
      <c r="E344" t="str">
        <f>"2000007088269"</f>
        <v>2000007088269</v>
      </c>
      <c r="H344" t="s">
        <v>862</v>
      </c>
      <c r="I344">
        <v>6</v>
      </c>
      <c r="J344">
        <v>1</v>
      </c>
      <c r="K344">
        <v>6</v>
      </c>
      <c r="L344">
        <v>2.2799999999999998</v>
      </c>
      <c r="M344">
        <v>2.052</v>
      </c>
      <c r="N344">
        <v>3</v>
      </c>
      <c r="O344">
        <v>18</v>
      </c>
      <c r="P344">
        <v>4.33</v>
      </c>
      <c r="Q344">
        <v>25.98</v>
      </c>
    </row>
    <row r="345" spans="1:17" x14ac:dyDescent="0.25">
      <c r="A345">
        <v>18771163</v>
      </c>
      <c r="B345">
        <v>980113</v>
      </c>
      <c r="C345" t="s">
        <v>133</v>
      </c>
      <c r="E345" t="str">
        <f>"2000007087330"</f>
        <v>2000007087330</v>
      </c>
      <c r="H345" t="s">
        <v>718</v>
      </c>
      <c r="I345">
        <v>6</v>
      </c>
      <c r="J345">
        <v>1</v>
      </c>
      <c r="K345">
        <v>6</v>
      </c>
      <c r="L345">
        <v>1.98</v>
      </c>
      <c r="M345">
        <v>1.782</v>
      </c>
      <c r="N345">
        <v>0.24</v>
      </c>
      <c r="O345">
        <v>1.44</v>
      </c>
      <c r="P345">
        <v>6.15</v>
      </c>
      <c r="Q345">
        <v>36.9</v>
      </c>
    </row>
    <row r="346" spans="1:17" x14ac:dyDescent="0.25">
      <c r="A346">
        <v>18771163</v>
      </c>
      <c r="B346">
        <v>981033</v>
      </c>
      <c r="C346" t="s">
        <v>134</v>
      </c>
      <c r="E346" t="str">
        <f>"2000007114913"</f>
        <v>2000007114913</v>
      </c>
      <c r="H346" t="s">
        <v>852</v>
      </c>
      <c r="I346">
        <v>1</v>
      </c>
      <c r="J346">
        <v>6</v>
      </c>
      <c r="K346">
        <v>6</v>
      </c>
      <c r="L346">
        <v>1.8240000000000001</v>
      </c>
      <c r="M346">
        <v>1.6419999999999999</v>
      </c>
      <c r="N346">
        <v>2</v>
      </c>
      <c r="O346">
        <v>12</v>
      </c>
      <c r="P346">
        <v>8.3000000000000007</v>
      </c>
      <c r="Q346">
        <v>49.8</v>
      </c>
    </row>
    <row r="347" spans="1:17" x14ac:dyDescent="0.25">
      <c r="A347">
        <v>18771163</v>
      </c>
      <c r="B347">
        <v>977042</v>
      </c>
      <c r="C347" t="s">
        <v>135</v>
      </c>
      <c r="E347" t="str">
        <f>"2000007059559"</f>
        <v>2000007059559</v>
      </c>
      <c r="H347" t="s">
        <v>725</v>
      </c>
      <c r="I347">
        <v>8</v>
      </c>
      <c r="J347">
        <v>1</v>
      </c>
      <c r="K347">
        <v>8</v>
      </c>
      <c r="L347">
        <v>0.76800000000000002</v>
      </c>
      <c r="M347">
        <v>0.69099999999999995</v>
      </c>
      <c r="N347">
        <v>1E-3</v>
      </c>
      <c r="O347">
        <v>8.0000000000000002E-3</v>
      </c>
      <c r="P347">
        <v>2.93</v>
      </c>
      <c r="Q347">
        <v>23.44</v>
      </c>
    </row>
    <row r="348" spans="1:17" x14ac:dyDescent="0.25">
      <c r="A348">
        <v>18789069</v>
      </c>
      <c r="B348">
        <v>973936</v>
      </c>
      <c r="C348" t="s">
        <v>136</v>
      </c>
      <c r="E348" t="str">
        <f>"8413178370158"</f>
        <v>8413178370158</v>
      </c>
      <c r="F348" t="str">
        <f>"8413178370141"</f>
        <v>8413178370141</v>
      </c>
      <c r="H348" t="s">
        <v>863</v>
      </c>
      <c r="I348">
        <v>11</v>
      </c>
      <c r="J348">
        <v>1</v>
      </c>
      <c r="K348">
        <v>11</v>
      </c>
      <c r="L348">
        <v>1.331</v>
      </c>
      <c r="M348">
        <v>1.198</v>
      </c>
      <c r="N348">
        <v>0.54500000000000004</v>
      </c>
      <c r="O348">
        <v>5.9950000000000001</v>
      </c>
      <c r="P348">
        <v>0.72</v>
      </c>
      <c r="Q348">
        <v>7.92</v>
      </c>
    </row>
    <row r="349" spans="1:17" x14ac:dyDescent="0.25">
      <c r="A349">
        <v>18789069</v>
      </c>
      <c r="B349">
        <v>681966</v>
      </c>
      <c r="C349" t="s">
        <v>138</v>
      </c>
      <c r="E349" t="str">
        <f>"8413178318877"</f>
        <v>8413178318877</v>
      </c>
      <c r="F349" t="str">
        <f>"8413178318860"</f>
        <v>8413178318860</v>
      </c>
      <c r="H349" t="s">
        <v>863</v>
      </c>
      <c r="I349">
        <v>11</v>
      </c>
      <c r="J349">
        <v>1</v>
      </c>
      <c r="K349">
        <v>11</v>
      </c>
      <c r="L349">
        <v>1.1000000000000001</v>
      </c>
      <c r="M349">
        <v>0.99</v>
      </c>
      <c r="N349">
        <v>0.47499999999999998</v>
      </c>
      <c r="O349">
        <v>5.2249999999999996</v>
      </c>
      <c r="P349">
        <v>0.72</v>
      </c>
      <c r="Q349">
        <v>7.92</v>
      </c>
    </row>
    <row r="350" spans="1:17" x14ac:dyDescent="0.25">
      <c r="A350">
        <v>18789069</v>
      </c>
      <c r="B350">
        <v>654109</v>
      </c>
      <c r="C350" t="s">
        <v>139</v>
      </c>
      <c r="E350" t="str">
        <f>"3491953877974"</f>
        <v>3491953877974</v>
      </c>
      <c r="H350" t="s">
        <v>864</v>
      </c>
      <c r="I350">
        <v>12</v>
      </c>
      <c r="J350">
        <v>1</v>
      </c>
      <c r="K350">
        <v>12</v>
      </c>
      <c r="L350">
        <v>0.27600000000000002</v>
      </c>
      <c r="M350">
        <v>0.248</v>
      </c>
      <c r="N350">
        <v>0.125</v>
      </c>
      <c r="O350">
        <v>1.5</v>
      </c>
      <c r="P350">
        <v>0.71</v>
      </c>
      <c r="Q350">
        <v>8.52</v>
      </c>
    </row>
    <row r="351" spans="1:17" x14ac:dyDescent="0.25">
      <c r="A351">
        <v>18789069</v>
      </c>
      <c r="B351">
        <v>654093</v>
      </c>
      <c r="C351" t="s">
        <v>140</v>
      </c>
      <c r="E351" t="str">
        <f>"3491953877943"</f>
        <v>3491953877943</v>
      </c>
      <c r="F351" t="str">
        <f>"3491953367543"</f>
        <v>3491953367543</v>
      </c>
      <c r="H351" t="s">
        <v>864</v>
      </c>
      <c r="I351">
        <v>12</v>
      </c>
      <c r="J351">
        <v>1</v>
      </c>
      <c r="K351">
        <v>12</v>
      </c>
      <c r="L351">
        <v>0.216</v>
      </c>
      <c r="M351">
        <v>0.19400000000000001</v>
      </c>
      <c r="N351">
        <v>0.10199999999999999</v>
      </c>
      <c r="O351">
        <v>1.224</v>
      </c>
      <c r="P351">
        <v>0.54</v>
      </c>
      <c r="Q351">
        <v>6.48</v>
      </c>
    </row>
    <row r="352" spans="1:17" x14ac:dyDescent="0.25">
      <c r="A352">
        <v>18789069</v>
      </c>
      <c r="B352">
        <v>748973</v>
      </c>
      <c r="C352" t="s">
        <v>141</v>
      </c>
      <c r="E352" t="str">
        <f>"3491955721879"</f>
        <v>3491955721879</v>
      </c>
      <c r="F352" t="str">
        <f>"3491953879787"</f>
        <v>3491953879787</v>
      </c>
      <c r="G352" t="str">
        <f>"3491955329372"</f>
        <v>3491955329372</v>
      </c>
      <c r="H352" t="s">
        <v>838</v>
      </c>
      <c r="I352">
        <v>24</v>
      </c>
      <c r="J352">
        <v>1</v>
      </c>
      <c r="K352">
        <v>24</v>
      </c>
      <c r="L352">
        <v>0.52800000000000002</v>
      </c>
      <c r="M352">
        <v>0.47499999999999998</v>
      </c>
      <c r="N352">
        <v>0.312</v>
      </c>
      <c r="O352">
        <v>7.4880000000000004</v>
      </c>
      <c r="P352">
        <v>0.32</v>
      </c>
      <c r="Q352">
        <v>7.68</v>
      </c>
    </row>
    <row r="353" spans="1:17" x14ac:dyDescent="0.25">
      <c r="A353">
        <v>18789069</v>
      </c>
      <c r="B353">
        <v>950352</v>
      </c>
      <c r="C353" t="s">
        <v>142</v>
      </c>
      <c r="E353" t="str">
        <f>"3491955634117"</f>
        <v>3491955634117</v>
      </c>
      <c r="H353" t="s">
        <v>865</v>
      </c>
      <c r="I353">
        <v>6</v>
      </c>
      <c r="J353">
        <v>2</v>
      </c>
      <c r="K353">
        <v>12</v>
      </c>
      <c r="L353">
        <v>3.996</v>
      </c>
      <c r="M353">
        <v>3.5960000000000001</v>
      </c>
      <c r="N353">
        <v>2.7109999999999999</v>
      </c>
      <c r="O353">
        <v>32.531999999999996</v>
      </c>
      <c r="P353">
        <v>2.02</v>
      </c>
      <c r="Q353">
        <v>24.24</v>
      </c>
    </row>
    <row r="354" spans="1:17" x14ac:dyDescent="0.25">
      <c r="A354">
        <v>18789069</v>
      </c>
      <c r="B354">
        <v>681965</v>
      </c>
      <c r="C354" t="s">
        <v>143</v>
      </c>
      <c r="E354" t="str">
        <f>"8413178275156"</f>
        <v>8413178275156</v>
      </c>
      <c r="F354" t="str">
        <f>"8413178244312"</f>
        <v>8413178244312</v>
      </c>
      <c r="H354" t="s">
        <v>863</v>
      </c>
      <c r="I354">
        <v>11</v>
      </c>
      <c r="J354">
        <v>2</v>
      </c>
      <c r="K354">
        <v>22</v>
      </c>
      <c r="L354">
        <v>2.2000000000000002</v>
      </c>
      <c r="M354">
        <v>1.98</v>
      </c>
      <c r="N354">
        <v>0.49199999999999999</v>
      </c>
      <c r="O354">
        <v>10.824</v>
      </c>
      <c r="P354">
        <v>0.72</v>
      </c>
      <c r="Q354">
        <v>15.84</v>
      </c>
    </row>
    <row r="355" spans="1:17" x14ac:dyDescent="0.25">
      <c r="A355">
        <v>18789069</v>
      </c>
      <c r="B355">
        <v>966218</v>
      </c>
      <c r="C355" t="s">
        <v>144</v>
      </c>
      <c r="E355" t="str">
        <f>"8719831326594"</f>
        <v>8719831326594</v>
      </c>
      <c r="F355" t="str">
        <f>"8719831323104"</f>
        <v>8719831323104</v>
      </c>
      <c r="G355" t="str">
        <f>"8719831329335"</f>
        <v>8719831329335</v>
      </c>
      <c r="H355" t="s">
        <v>866</v>
      </c>
      <c r="I355">
        <v>24</v>
      </c>
      <c r="J355">
        <v>1</v>
      </c>
      <c r="K355">
        <v>24</v>
      </c>
      <c r="L355">
        <v>3.528</v>
      </c>
      <c r="M355">
        <v>3.1749999999999998</v>
      </c>
      <c r="N355">
        <v>0.33</v>
      </c>
      <c r="O355">
        <v>7.92</v>
      </c>
      <c r="P355">
        <v>1.72</v>
      </c>
      <c r="Q355">
        <v>41.28</v>
      </c>
    </row>
    <row r="356" spans="1:17" x14ac:dyDescent="0.25">
      <c r="A356">
        <v>18789069</v>
      </c>
      <c r="B356">
        <v>964310</v>
      </c>
      <c r="C356" t="s">
        <v>145</v>
      </c>
      <c r="E356" t="str">
        <f>"8719831323210"</f>
        <v>8719831323210</v>
      </c>
      <c r="F356" t="str">
        <f>"8719831328161"</f>
        <v>8719831328161</v>
      </c>
      <c r="H356" t="s">
        <v>866</v>
      </c>
      <c r="I356">
        <v>24</v>
      </c>
      <c r="J356">
        <v>1</v>
      </c>
      <c r="K356">
        <v>24</v>
      </c>
      <c r="L356">
        <v>2.64</v>
      </c>
      <c r="M356">
        <v>2.3759999999999999</v>
      </c>
      <c r="N356">
        <v>0.435</v>
      </c>
      <c r="O356">
        <v>10.44</v>
      </c>
      <c r="P356">
        <v>1.52</v>
      </c>
      <c r="Q356">
        <v>36.479999999999997</v>
      </c>
    </row>
    <row r="357" spans="1:17" x14ac:dyDescent="0.25">
      <c r="A357">
        <v>18797970</v>
      </c>
      <c r="B357">
        <v>952364</v>
      </c>
      <c r="C357" t="s">
        <v>146</v>
      </c>
      <c r="E357" t="str">
        <f>"3491955640415"</f>
        <v>3491955640415</v>
      </c>
      <c r="H357" t="s">
        <v>837</v>
      </c>
      <c r="I357">
        <v>4</v>
      </c>
      <c r="J357">
        <v>1</v>
      </c>
      <c r="K357">
        <v>4</v>
      </c>
      <c r="L357">
        <v>3.0640000000000001</v>
      </c>
      <c r="M357">
        <v>2.758</v>
      </c>
      <c r="N357">
        <v>10.191000000000001</v>
      </c>
      <c r="O357">
        <v>40.764000000000003</v>
      </c>
      <c r="P357">
        <v>7.8</v>
      </c>
      <c r="Q357">
        <v>31.2</v>
      </c>
    </row>
    <row r="358" spans="1:17" x14ac:dyDescent="0.25">
      <c r="A358">
        <v>18805300</v>
      </c>
      <c r="B358">
        <v>974130</v>
      </c>
      <c r="C358" t="s">
        <v>147</v>
      </c>
      <c r="E358" t="str">
        <f>"2000007066243"</f>
        <v>2000007066243</v>
      </c>
      <c r="H358" t="s">
        <v>867</v>
      </c>
      <c r="I358">
        <v>8</v>
      </c>
      <c r="J358">
        <v>1</v>
      </c>
      <c r="K358">
        <v>8</v>
      </c>
      <c r="L358">
        <v>13.496</v>
      </c>
      <c r="M358">
        <v>12.146000000000001</v>
      </c>
      <c r="N358">
        <v>13.337999999999999</v>
      </c>
      <c r="O358">
        <v>106.70399999999999</v>
      </c>
      <c r="P358">
        <v>24.06</v>
      </c>
      <c r="Q358">
        <v>192.48</v>
      </c>
    </row>
    <row r="359" spans="1:17" x14ac:dyDescent="0.25">
      <c r="A359">
        <v>18805300</v>
      </c>
      <c r="B359">
        <v>974002</v>
      </c>
      <c r="C359" t="s">
        <v>148</v>
      </c>
      <c r="E359" t="str">
        <f>"2000007066120"</f>
        <v>2000007066120</v>
      </c>
      <c r="H359" t="s">
        <v>868</v>
      </c>
      <c r="I359">
        <v>8</v>
      </c>
      <c r="J359">
        <v>1</v>
      </c>
      <c r="K359">
        <v>8</v>
      </c>
      <c r="L359">
        <v>9.0399999999999991</v>
      </c>
      <c r="M359">
        <v>8.1359999999999992</v>
      </c>
      <c r="N359">
        <v>10.141999999999999</v>
      </c>
      <c r="O359">
        <v>81.135999999999996</v>
      </c>
      <c r="P359">
        <v>19.61</v>
      </c>
      <c r="Q359">
        <v>156.88</v>
      </c>
    </row>
    <row r="360" spans="1:17" x14ac:dyDescent="0.25">
      <c r="A360">
        <v>18805300</v>
      </c>
      <c r="B360">
        <v>974136</v>
      </c>
      <c r="C360" t="s">
        <v>149</v>
      </c>
      <c r="E360" t="str">
        <f>"2000007066250"</f>
        <v>2000007066250</v>
      </c>
      <c r="H360" t="s">
        <v>867</v>
      </c>
      <c r="I360">
        <v>8</v>
      </c>
      <c r="J360">
        <v>1</v>
      </c>
      <c r="K360">
        <v>8</v>
      </c>
      <c r="L360">
        <v>13</v>
      </c>
      <c r="M360">
        <v>11.7</v>
      </c>
      <c r="N360">
        <v>13.081</v>
      </c>
      <c r="O360">
        <v>104.648</v>
      </c>
      <c r="P360">
        <v>19.95</v>
      </c>
      <c r="Q360">
        <v>159.6</v>
      </c>
    </row>
    <row r="361" spans="1:17" x14ac:dyDescent="0.25">
      <c r="A361">
        <v>18805300</v>
      </c>
      <c r="B361">
        <v>974137</v>
      </c>
      <c r="C361" t="s">
        <v>150</v>
      </c>
      <c r="E361" t="str">
        <f>"2000007066267"</f>
        <v>2000007066267</v>
      </c>
      <c r="H361" t="s">
        <v>869</v>
      </c>
      <c r="I361">
        <v>8</v>
      </c>
      <c r="J361">
        <v>1</v>
      </c>
      <c r="K361">
        <v>8</v>
      </c>
      <c r="L361">
        <v>11.24</v>
      </c>
      <c r="M361">
        <v>10.116</v>
      </c>
      <c r="N361">
        <v>12.954000000000001</v>
      </c>
      <c r="O361">
        <v>103.63200000000001</v>
      </c>
      <c r="P361">
        <v>25.11</v>
      </c>
      <c r="Q361">
        <v>200.88</v>
      </c>
    </row>
    <row r="362" spans="1:17" x14ac:dyDescent="0.25">
      <c r="A362">
        <v>18809378</v>
      </c>
      <c r="B362">
        <v>667943</v>
      </c>
      <c r="C362" t="s">
        <v>151</v>
      </c>
      <c r="E362" t="str">
        <f>"3491953354833"</f>
        <v>3491953354833</v>
      </c>
      <c r="F362" t="str">
        <f>"3491955529642"</f>
        <v>3491955529642</v>
      </c>
      <c r="H362" t="s">
        <v>839</v>
      </c>
      <c r="I362">
        <v>6</v>
      </c>
      <c r="J362">
        <v>1</v>
      </c>
      <c r="K362">
        <v>6</v>
      </c>
      <c r="L362">
        <v>4.2480000000000002</v>
      </c>
      <c r="M362">
        <v>3.823</v>
      </c>
      <c r="N362">
        <v>13.44</v>
      </c>
      <c r="O362">
        <v>80.64</v>
      </c>
      <c r="P362">
        <v>3.96</v>
      </c>
      <c r="Q362">
        <v>23.76</v>
      </c>
    </row>
    <row r="363" spans="1:17" x14ac:dyDescent="0.25">
      <c r="A363">
        <v>18809378</v>
      </c>
      <c r="B363">
        <v>951087</v>
      </c>
      <c r="C363" t="s">
        <v>152</v>
      </c>
      <c r="E363" t="str">
        <f>"3491955454357"</f>
        <v>3491955454357</v>
      </c>
      <c r="H363" t="s">
        <v>837</v>
      </c>
      <c r="I363">
        <v>24</v>
      </c>
      <c r="J363">
        <v>1</v>
      </c>
      <c r="K363">
        <v>24</v>
      </c>
      <c r="L363">
        <v>10.728</v>
      </c>
      <c r="M363">
        <v>9.6549999999999994</v>
      </c>
      <c r="N363">
        <v>7.1639999999999997</v>
      </c>
      <c r="O363">
        <v>171.93600000000001</v>
      </c>
      <c r="P363">
        <v>2.87</v>
      </c>
      <c r="Q363">
        <v>68.88</v>
      </c>
    </row>
    <row r="364" spans="1:17" x14ac:dyDescent="0.25">
      <c r="A364">
        <v>18809378</v>
      </c>
      <c r="B364">
        <v>754983</v>
      </c>
      <c r="C364" t="s">
        <v>153</v>
      </c>
      <c r="E364" t="str">
        <f>"3491955659851"</f>
        <v>3491955659851</v>
      </c>
      <c r="F364" t="str">
        <f>"3491953503248"</f>
        <v>3491953503248</v>
      </c>
      <c r="G364" t="str">
        <f>"3491955529659"</f>
        <v>3491955529659</v>
      </c>
      <c r="H364" t="s">
        <v>837</v>
      </c>
      <c r="I364">
        <v>1</v>
      </c>
      <c r="J364">
        <v>2</v>
      </c>
      <c r="K364">
        <v>2</v>
      </c>
      <c r="L364">
        <v>2.75</v>
      </c>
      <c r="M364">
        <v>2.4750000000000001</v>
      </c>
      <c r="N364">
        <v>22.274999999999999</v>
      </c>
      <c r="O364">
        <v>44.55</v>
      </c>
      <c r="P364">
        <v>5.14</v>
      </c>
      <c r="Q364">
        <v>10.28</v>
      </c>
    </row>
    <row r="365" spans="1:17" x14ac:dyDescent="0.25">
      <c r="A365">
        <v>18809378</v>
      </c>
      <c r="B365">
        <v>756958</v>
      </c>
      <c r="C365" t="s">
        <v>154</v>
      </c>
      <c r="E365" t="str">
        <f>"5420023188236"</f>
        <v>5420023188236</v>
      </c>
      <c r="F365" t="str">
        <f>"2000006848864"</f>
        <v>2000006848864</v>
      </c>
      <c r="G365" t="str">
        <f>"2018204498774"</f>
        <v>2018204498774</v>
      </c>
      <c r="H365" t="s">
        <v>870</v>
      </c>
      <c r="I365">
        <v>12</v>
      </c>
      <c r="J365">
        <v>1</v>
      </c>
      <c r="K365">
        <v>12</v>
      </c>
      <c r="L365">
        <v>6.9960000000000004</v>
      </c>
      <c r="M365">
        <v>6.2960000000000003</v>
      </c>
      <c r="N365">
        <v>3.77</v>
      </c>
      <c r="O365">
        <v>45.24</v>
      </c>
      <c r="P365">
        <v>1.79</v>
      </c>
      <c r="Q365">
        <v>21.48</v>
      </c>
    </row>
    <row r="366" spans="1:17" x14ac:dyDescent="0.25">
      <c r="A366">
        <v>18809378</v>
      </c>
      <c r="B366">
        <v>953054</v>
      </c>
      <c r="C366" t="s">
        <v>155</v>
      </c>
      <c r="E366" t="str">
        <f>"5420023190482"</f>
        <v>5420023190482</v>
      </c>
      <c r="H366" t="s">
        <v>787</v>
      </c>
      <c r="I366">
        <v>1</v>
      </c>
      <c r="J366">
        <v>2</v>
      </c>
      <c r="K366">
        <v>2</v>
      </c>
      <c r="L366">
        <v>2.8319999999999999</v>
      </c>
      <c r="M366">
        <v>2.5489999999999999</v>
      </c>
      <c r="N366">
        <v>22.44</v>
      </c>
      <c r="O366">
        <v>44.88</v>
      </c>
      <c r="P366">
        <v>8.65</v>
      </c>
      <c r="Q366">
        <v>17.3</v>
      </c>
    </row>
    <row r="367" spans="1:17" x14ac:dyDescent="0.25">
      <c r="A367">
        <v>18809378</v>
      </c>
      <c r="B367">
        <v>992364</v>
      </c>
      <c r="C367" t="s">
        <v>156</v>
      </c>
      <c r="E367" t="str">
        <f>"778988387184"</f>
        <v>778988387184</v>
      </c>
      <c r="H367" t="s">
        <v>846</v>
      </c>
      <c r="I367">
        <v>4</v>
      </c>
      <c r="J367">
        <v>1</v>
      </c>
      <c r="K367">
        <v>4</v>
      </c>
      <c r="L367">
        <v>0.9</v>
      </c>
      <c r="M367">
        <v>0.81</v>
      </c>
      <c r="N367">
        <v>1.6619999999999999</v>
      </c>
      <c r="O367">
        <v>6.6479999999999997</v>
      </c>
      <c r="P367">
        <v>8.3800000000000008</v>
      </c>
      <c r="Q367">
        <v>33.520000000000003</v>
      </c>
    </row>
    <row r="368" spans="1:17" x14ac:dyDescent="0.25">
      <c r="A368">
        <v>18809378</v>
      </c>
      <c r="B368">
        <v>1000266</v>
      </c>
      <c r="C368" t="s">
        <v>157</v>
      </c>
      <c r="E368" t="str">
        <f>"5413247031242"</f>
        <v>5413247031242</v>
      </c>
      <c r="H368" t="s">
        <v>839</v>
      </c>
      <c r="I368">
        <v>12</v>
      </c>
      <c r="J368">
        <v>1</v>
      </c>
      <c r="K368">
        <v>12</v>
      </c>
      <c r="L368">
        <v>1.524</v>
      </c>
      <c r="M368">
        <v>1.3720000000000001</v>
      </c>
      <c r="N368">
        <v>0.96099999999999997</v>
      </c>
      <c r="O368">
        <v>11.532</v>
      </c>
      <c r="P368">
        <v>1.26</v>
      </c>
      <c r="Q368">
        <v>15.12</v>
      </c>
    </row>
    <row r="369" spans="1:17" x14ac:dyDescent="0.25">
      <c r="A369">
        <v>18809378</v>
      </c>
      <c r="B369">
        <v>286542</v>
      </c>
      <c r="C369" t="s">
        <v>158</v>
      </c>
      <c r="E369" t="str">
        <f>"4006333039928"</f>
        <v>4006333039928</v>
      </c>
      <c r="F369" t="str">
        <f>"4006333355073"</f>
        <v>4006333355073</v>
      </c>
      <c r="H369" t="s">
        <v>837</v>
      </c>
      <c r="I369">
        <v>1</v>
      </c>
      <c r="J369">
        <v>2</v>
      </c>
      <c r="K369">
        <v>2</v>
      </c>
      <c r="L369">
        <v>2.246</v>
      </c>
      <c r="M369">
        <v>2.0209999999999999</v>
      </c>
      <c r="N369">
        <v>19.550999999999998</v>
      </c>
      <c r="O369">
        <v>39.101999999999997</v>
      </c>
      <c r="P369">
        <v>11.45</v>
      </c>
      <c r="Q369">
        <v>22.9</v>
      </c>
    </row>
    <row r="370" spans="1:17" x14ac:dyDescent="0.25">
      <c r="A370">
        <v>18809378</v>
      </c>
      <c r="B370">
        <v>991108</v>
      </c>
      <c r="C370" t="s">
        <v>159</v>
      </c>
      <c r="E370" t="str">
        <f>"3491955940249"</f>
        <v>3491955940249</v>
      </c>
      <c r="H370" t="s">
        <v>837</v>
      </c>
      <c r="I370">
        <v>4</v>
      </c>
      <c r="J370">
        <v>1</v>
      </c>
      <c r="K370">
        <v>4</v>
      </c>
      <c r="L370">
        <v>3.6</v>
      </c>
      <c r="M370">
        <v>3.24</v>
      </c>
      <c r="N370">
        <v>19.562999999999999</v>
      </c>
      <c r="O370">
        <v>78.251999999999995</v>
      </c>
      <c r="P370">
        <v>8.44</v>
      </c>
      <c r="Q370">
        <v>33.76</v>
      </c>
    </row>
    <row r="371" spans="1:17" x14ac:dyDescent="0.25">
      <c r="A371">
        <v>18809378</v>
      </c>
      <c r="B371">
        <v>756848</v>
      </c>
      <c r="C371" t="s">
        <v>160</v>
      </c>
      <c r="E371" t="str">
        <f>"5420023188137"</f>
        <v>5420023188137</v>
      </c>
      <c r="F371" t="str">
        <f>"2000006848529"</f>
        <v>2000006848529</v>
      </c>
      <c r="G371" t="str">
        <f>"2018204277942"</f>
        <v>2018204277942</v>
      </c>
      <c r="H371" t="s">
        <v>870</v>
      </c>
      <c r="I371">
        <v>1</v>
      </c>
      <c r="J371">
        <v>4</v>
      </c>
      <c r="K371">
        <v>4</v>
      </c>
      <c r="L371">
        <v>4.5999999999999996</v>
      </c>
      <c r="M371">
        <v>4.1399999999999997</v>
      </c>
      <c r="N371">
        <v>4.3849999999999998</v>
      </c>
      <c r="O371">
        <v>17.54</v>
      </c>
      <c r="P371">
        <v>9.17</v>
      </c>
      <c r="Q371">
        <v>36.68</v>
      </c>
    </row>
    <row r="372" spans="1:17" x14ac:dyDescent="0.25">
      <c r="A372">
        <v>18809378</v>
      </c>
      <c r="B372">
        <v>907326</v>
      </c>
      <c r="C372" t="s">
        <v>161</v>
      </c>
      <c r="E372" t="str">
        <f>"5420023187871"</f>
        <v>5420023187871</v>
      </c>
      <c r="H372" t="s">
        <v>839</v>
      </c>
      <c r="I372">
        <v>1</v>
      </c>
      <c r="J372">
        <v>4</v>
      </c>
      <c r="K372">
        <v>4</v>
      </c>
      <c r="L372">
        <v>2.8639999999999999</v>
      </c>
      <c r="M372">
        <v>2.5779999999999998</v>
      </c>
      <c r="N372">
        <v>6.883</v>
      </c>
      <c r="O372">
        <v>27.532</v>
      </c>
      <c r="P372">
        <v>7.7</v>
      </c>
      <c r="Q372">
        <v>30.8</v>
      </c>
    </row>
    <row r="373" spans="1:17" x14ac:dyDescent="0.25">
      <c r="A373">
        <v>18809378</v>
      </c>
      <c r="B373">
        <v>994502</v>
      </c>
      <c r="C373" t="s">
        <v>162</v>
      </c>
      <c r="E373" t="str">
        <f>"778988422601"</f>
        <v>778988422601</v>
      </c>
      <c r="H373" t="s">
        <v>871</v>
      </c>
      <c r="I373">
        <v>1</v>
      </c>
      <c r="J373">
        <v>2</v>
      </c>
      <c r="K373">
        <v>2</v>
      </c>
      <c r="L373">
        <v>1.36</v>
      </c>
      <c r="M373">
        <v>1.224</v>
      </c>
      <c r="N373">
        <v>3.12</v>
      </c>
      <c r="O373">
        <v>6.24</v>
      </c>
      <c r="P373">
        <v>17.89</v>
      </c>
      <c r="Q373">
        <v>35.78</v>
      </c>
    </row>
    <row r="374" spans="1:17" x14ac:dyDescent="0.25">
      <c r="A374">
        <v>18809378</v>
      </c>
      <c r="B374">
        <v>951077</v>
      </c>
      <c r="C374" t="s">
        <v>163</v>
      </c>
      <c r="E374" t="str">
        <f>"3491955645434"</f>
        <v>3491955645434</v>
      </c>
      <c r="H374" t="s">
        <v>839</v>
      </c>
      <c r="I374">
        <v>6</v>
      </c>
      <c r="J374">
        <v>1</v>
      </c>
      <c r="K374">
        <v>6</v>
      </c>
      <c r="L374">
        <v>1.38</v>
      </c>
      <c r="M374">
        <v>1.242</v>
      </c>
      <c r="N374">
        <v>5</v>
      </c>
      <c r="O374">
        <v>30</v>
      </c>
      <c r="P374">
        <v>2.4</v>
      </c>
      <c r="Q374">
        <v>14.4</v>
      </c>
    </row>
    <row r="375" spans="1:17" x14ac:dyDescent="0.25">
      <c r="A375">
        <v>18809378</v>
      </c>
      <c r="B375">
        <v>982521</v>
      </c>
      <c r="C375" t="s">
        <v>164</v>
      </c>
      <c r="E375" t="str">
        <f>"887961968514"</f>
        <v>887961968514</v>
      </c>
      <c r="H375" t="s">
        <v>870</v>
      </c>
      <c r="I375">
        <v>3</v>
      </c>
      <c r="J375">
        <v>1</v>
      </c>
      <c r="K375">
        <v>3</v>
      </c>
      <c r="L375">
        <v>2.3490000000000002</v>
      </c>
      <c r="M375">
        <v>2.1139999999999999</v>
      </c>
      <c r="N375">
        <v>6.4749999999999996</v>
      </c>
      <c r="O375">
        <v>19.425000000000001</v>
      </c>
      <c r="P375">
        <v>9.2799999999999994</v>
      </c>
      <c r="Q375">
        <v>27.84</v>
      </c>
    </row>
    <row r="376" spans="1:17" x14ac:dyDescent="0.25">
      <c r="A376">
        <v>18809378</v>
      </c>
      <c r="B376">
        <v>982520</v>
      </c>
      <c r="C376" t="s">
        <v>165</v>
      </c>
      <c r="E376" t="str">
        <f>"887961928105"</f>
        <v>887961928105</v>
      </c>
      <c r="H376" t="s">
        <v>870</v>
      </c>
      <c r="I376">
        <v>3</v>
      </c>
      <c r="J376">
        <v>1</v>
      </c>
      <c r="K376">
        <v>3</v>
      </c>
      <c r="L376">
        <v>1.7789999999999999</v>
      </c>
      <c r="M376">
        <v>1.601</v>
      </c>
      <c r="N376">
        <v>5.6</v>
      </c>
      <c r="O376">
        <v>16.8</v>
      </c>
      <c r="P376">
        <v>7.78</v>
      </c>
      <c r="Q376">
        <v>23.34</v>
      </c>
    </row>
    <row r="377" spans="1:17" x14ac:dyDescent="0.25">
      <c r="A377">
        <v>18809378</v>
      </c>
      <c r="B377">
        <v>755845</v>
      </c>
      <c r="C377" t="s">
        <v>166</v>
      </c>
      <c r="E377" t="str">
        <f>"5420023188113"</f>
        <v>5420023188113</v>
      </c>
      <c r="F377" t="str">
        <f>"2000006848512"</f>
        <v>2000006848512</v>
      </c>
      <c r="G377" t="str">
        <f>"2018203962917"</f>
        <v>2018203962917</v>
      </c>
      <c r="H377" t="s">
        <v>872</v>
      </c>
      <c r="I377">
        <v>6</v>
      </c>
      <c r="J377">
        <v>1</v>
      </c>
      <c r="K377">
        <v>6</v>
      </c>
      <c r="L377">
        <v>10.8</v>
      </c>
      <c r="M377">
        <v>9.7200000000000006</v>
      </c>
      <c r="N377">
        <v>18.59</v>
      </c>
      <c r="O377">
        <v>111.54</v>
      </c>
      <c r="P377">
        <v>9.8800000000000008</v>
      </c>
      <c r="Q377">
        <v>59.28</v>
      </c>
    </row>
    <row r="378" spans="1:17" x14ac:dyDescent="0.25">
      <c r="A378">
        <v>18809378</v>
      </c>
      <c r="B378">
        <v>962842</v>
      </c>
      <c r="C378" t="s">
        <v>167</v>
      </c>
      <c r="E378" t="str">
        <f>"778988397060"</f>
        <v>778988397060</v>
      </c>
      <c r="H378" t="s">
        <v>787</v>
      </c>
      <c r="I378">
        <v>1</v>
      </c>
      <c r="J378">
        <v>2</v>
      </c>
      <c r="K378">
        <v>2</v>
      </c>
      <c r="L378">
        <v>2.0459999999999998</v>
      </c>
      <c r="M378">
        <v>1.841</v>
      </c>
      <c r="N378">
        <v>10.5</v>
      </c>
      <c r="O378">
        <v>21</v>
      </c>
      <c r="P378">
        <v>15.29</v>
      </c>
      <c r="Q378">
        <v>30.58</v>
      </c>
    </row>
    <row r="379" spans="1:17" x14ac:dyDescent="0.25">
      <c r="A379">
        <v>18809378</v>
      </c>
      <c r="B379">
        <v>667934</v>
      </c>
      <c r="C379" t="s">
        <v>168</v>
      </c>
      <c r="E379" t="str">
        <f>"3491953866930"</f>
        <v>3491953866930</v>
      </c>
      <c r="F379" t="str">
        <f>"3491955933739"</f>
        <v>3491955933739</v>
      </c>
      <c r="H379" t="s">
        <v>837</v>
      </c>
      <c r="I379">
        <v>6</v>
      </c>
      <c r="J379">
        <v>1</v>
      </c>
      <c r="K379">
        <v>6</v>
      </c>
      <c r="L379">
        <v>16.998000000000001</v>
      </c>
      <c r="M379">
        <v>15.298</v>
      </c>
      <c r="N379">
        <v>50.421999999999997</v>
      </c>
      <c r="O379">
        <v>302.53199999999998</v>
      </c>
      <c r="P379">
        <v>3.68</v>
      </c>
      <c r="Q379">
        <v>22.08</v>
      </c>
    </row>
    <row r="380" spans="1:17" x14ac:dyDescent="0.25">
      <c r="A380">
        <v>18809378</v>
      </c>
      <c r="B380">
        <v>760040</v>
      </c>
      <c r="C380" t="s">
        <v>169</v>
      </c>
      <c r="E380" t="str">
        <f>"5420023188106"</f>
        <v>5420023188106</v>
      </c>
      <c r="F380" t="str">
        <f>"2000006849113"</f>
        <v>2000006849113</v>
      </c>
      <c r="H380" t="s">
        <v>787</v>
      </c>
      <c r="I380">
        <v>1</v>
      </c>
      <c r="J380">
        <v>2</v>
      </c>
      <c r="K380">
        <v>2</v>
      </c>
      <c r="L380">
        <v>6</v>
      </c>
      <c r="M380">
        <v>5.4</v>
      </c>
      <c r="N380">
        <v>44.351999999999997</v>
      </c>
      <c r="O380">
        <v>88.703999999999994</v>
      </c>
      <c r="P380">
        <v>14.79</v>
      </c>
      <c r="Q380">
        <v>29.58</v>
      </c>
    </row>
    <row r="381" spans="1:17" x14ac:dyDescent="0.25">
      <c r="A381">
        <v>18809378</v>
      </c>
      <c r="B381">
        <v>922242</v>
      </c>
      <c r="C381" t="s">
        <v>170</v>
      </c>
      <c r="E381" t="str">
        <f>"5420023187840"</f>
        <v>5420023187840</v>
      </c>
      <c r="H381" t="s">
        <v>787</v>
      </c>
      <c r="I381">
        <v>1</v>
      </c>
      <c r="J381">
        <v>1</v>
      </c>
      <c r="K381">
        <v>1</v>
      </c>
      <c r="L381">
        <v>1.026</v>
      </c>
      <c r="M381">
        <v>0.92300000000000004</v>
      </c>
      <c r="N381">
        <v>10.25</v>
      </c>
      <c r="O381">
        <v>10.25</v>
      </c>
      <c r="P381">
        <v>5.04</v>
      </c>
      <c r="Q381">
        <v>5.04</v>
      </c>
    </row>
    <row r="382" spans="1:17" x14ac:dyDescent="0.25">
      <c r="A382">
        <v>18809378</v>
      </c>
      <c r="B382">
        <v>922193</v>
      </c>
      <c r="C382" t="s">
        <v>171</v>
      </c>
      <c r="E382" t="str">
        <f>"5420023187833"</f>
        <v>5420023187833</v>
      </c>
      <c r="H382" t="s">
        <v>787</v>
      </c>
      <c r="I382">
        <v>1</v>
      </c>
      <c r="J382">
        <v>1</v>
      </c>
      <c r="K382">
        <v>1</v>
      </c>
      <c r="L382">
        <v>1.01</v>
      </c>
      <c r="M382">
        <v>0.90900000000000003</v>
      </c>
      <c r="N382">
        <v>10.933</v>
      </c>
      <c r="O382">
        <v>10.933</v>
      </c>
      <c r="P382">
        <v>5.04</v>
      </c>
      <c r="Q382">
        <v>5.04</v>
      </c>
    </row>
    <row r="383" spans="1:17" x14ac:dyDescent="0.25">
      <c r="A383">
        <v>18809378</v>
      </c>
      <c r="B383">
        <v>970485</v>
      </c>
      <c r="C383" t="s">
        <v>172</v>
      </c>
      <c r="E383" t="str">
        <f>"3467452062869"</f>
        <v>3467452062869</v>
      </c>
      <c r="H383" t="s">
        <v>870</v>
      </c>
      <c r="I383">
        <v>1</v>
      </c>
      <c r="J383">
        <v>4</v>
      </c>
      <c r="K383">
        <v>4</v>
      </c>
      <c r="L383">
        <v>0.748</v>
      </c>
      <c r="M383">
        <v>0.67300000000000004</v>
      </c>
      <c r="N383">
        <v>1.196</v>
      </c>
      <c r="O383">
        <v>4.7839999999999998</v>
      </c>
      <c r="P383">
        <v>3.1</v>
      </c>
      <c r="Q383">
        <v>12.4</v>
      </c>
    </row>
    <row r="384" spans="1:17" x14ac:dyDescent="0.25">
      <c r="A384">
        <v>18809378</v>
      </c>
      <c r="B384">
        <v>982496</v>
      </c>
      <c r="C384" t="s">
        <v>173</v>
      </c>
      <c r="E384" t="str">
        <f>"887961777376"</f>
        <v>887961777376</v>
      </c>
      <c r="F384" t="str">
        <f>"887961777383"</f>
        <v>887961777383</v>
      </c>
      <c r="H384" t="s">
        <v>870</v>
      </c>
      <c r="I384">
        <v>3</v>
      </c>
      <c r="J384">
        <v>1</v>
      </c>
      <c r="K384">
        <v>3</v>
      </c>
      <c r="L384">
        <v>2.0099999999999998</v>
      </c>
      <c r="M384">
        <v>1.8089999999999999</v>
      </c>
      <c r="N384">
        <v>8.1999999999999993</v>
      </c>
      <c r="O384">
        <v>24.6</v>
      </c>
      <c r="P384">
        <v>14.48</v>
      </c>
      <c r="Q384">
        <v>43.44</v>
      </c>
    </row>
    <row r="385" spans="1:17" x14ac:dyDescent="0.25">
      <c r="A385">
        <v>18809378</v>
      </c>
      <c r="B385">
        <v>953053</v>
      </c>
      <c r="C385" t="s">
        <v>174</v>
      </c>
      <c r="E385" t="str">
        <f>"5420023190475"</f>
        <v>5420023190475</v>
      </c>
      <c r="H385" t="s">
        <v>837</v>
      </c>
      <c r="I385">
        <v>6</v>
      </c>
      <c r="J385">
        <v>1</v>
      </c>
      <c r="K385">
        <v>6</v>
      </c>
      <c r="L385">
        <v>2.718</v>
      </c>
      <c r="M385">
        <v>2.4460000000000002</v>
      </c>
      <c r="N385">
        <v>6.5449999999999999</v>
      </c>
      <c r="O385">
        <v>39.270000000000003</v>
      </c>
      <c r="P385">
        <v>4.88</v>
      </c>
      <c r="Q385">
        <v>29.28</v>
      </c>
    </row>
    <row r="386" spans="1:17" x14ac:dyDescent="0.25">
      <c r="A386">
        <v>18809378</v>
      </c>
      <c r="B386">
        <v>783727</v>
      </c>
      <c r="C386" t="s">
        <v>175</v>
      </c>
      <c r="E386" t="str">
        <f>"3467452051658"</f>
        <v>3467452051658</v>
      </c>
      <c r="H386" t="s">
        <v>837</v>
      </c>
      <c r="I386">
        <v>1</v>
      </c>
      <c r="J386">
        <v>1</v>
      </c>
      <c r="K386">
        <v>1</v>
      </c>
      <c r="L386">
        <v>9.56</v>
      </c>
      <c r="M386">
        <v>8.6039999999999992</v>
      </c>
      <c r="N386">
        <v>117.92</v>
      </c>
      <c r="O386">
        <v>117.92</v>
      </c>
      <c r="P386">
        <v>66.819999999999993</v>
      </c>
      <c r="Q386">
        <v>66.819999999999993</v>
      </c>
    </row>
    <row r="387" spans="1:17" x14ac:dyDescent="0.25">
      <c r="A387">
        <v>18809378</v>
      </c>
      <c r="B387">
        <v>991107</v>
      </c>
      <c r="C387" t="s">
        <v>176</v>
      </c>
      <c r="E387" t="str">
        <f>"3491955940263"</f>
        <v>3491955940263</v>
      </c>
      <c r="H387" t="s">
        <v>787</v>
      </c>
      <c r="I387">
        <v>4</v>
      </c>
      <c r="J387">
        <v>1</v>
      </c>
      <c r="K387">
        <v>4</v>
      </c>
      <c r="L387">
        <v>5.8</v>
      </c>
      <c r="M387">
        <v>5.22</v>
      </c>
      <c r="N387">
        <v>12.54</v>
      </c>
      <c r="O387">
        <v>50.16</v>
      </c>
      <c r="P387">
        <v>10.6</v>
      </c>
      <c r="Q387">
        <v>42.4</v>
      </c>
    </row>
    <row r="388" spans="1:17" x14ac:dyDescent="0.25">
      <c r="A388">
        <v>18811061</v>
      </c>
      <c r="B388">
        <v>994504</v>
      </c>
      <c r="C388" t="s">
        <v>177</v>
      </c>
      <c r="E388" t="str">
        <f>"778988366967"</f>
        <v>778988366967</v>
      </c>
      <c r="H388" t="s">
        <v>871</v>
      </c>
      <c r="I388">
        <v>4</v>
      </c>
      <c r="J388">
        <v>1</v>
      </c>
      <c r="K388">
        <v>4</v>
      </c>
      <c r="L388">
        <v>1.2</v>
      </c>
      <c r="M388">
        <v>1.08</v>
      </c>
      <c r="N388">
        <v>1.875</v>
      </c>
      <c r="O388">
        <v>7.5</v>
      </c>
      <c r="P388">
        <v>8.36</v>
      </c>
      <c r="Q388">
        <v>33.44</v>
      </c>
    </row>
    <row r="389" spans="1:17" x14ac:dyDescent="0.25">
      <c r="A389">
        <v>18811061</v>
      </c>
      <c r="B389">
        <v>986369</v>
      </c>
      <c r="C389" t="s">
        <v>178</v>
      </c>
      <c r="E389" t="str">
        <f>"887961943726"</f>
        <v>887961943726</v>
      </c>
      <c r="F389" t="str">
        <f>"887961943696"</f>
        <v>887961943696</v>
      </c>
      <c r="G389" t="str">
        <f>"887961943719"</f>
        <v>887961943719</v>
      </c>
      <c r="H389" t="s">
        <v>836</v>
      </c>
      <c r="I389">
        <v>6</v>
      </c>
      <c r="J389">
        <v>1</v>
      </c>
      <c r="K389">
        <v>6</v>
      </c>
      <c r="L389">
        <v>0.93</v>
      </c>
      <c r="M389">
        <v>0.83699999999999997</v>
      </c>
      <c r="N389">
        <v>2.8359999999999999</v>
      </c>
      <c r="O389">
        <v>17.015999999999998</v>
      </c>
      <c r="P389">
        <v>6.82</v>
      </c>
      <c r="Q389">
        <v>40.92</v>
      </c>
    </row>
    <row r="390" spans="1:17" x14ac:dyDescent="0.25">
      <c r="A390">
        <v>18811061</v>
      </c>
      <c r="B390">
        <v>987019</v>
      </c>
      <c r="C390" t="s">
        <v>179</v>
      </c>
      <c r="E390" t="str">
        <f>"8712364803457"</f>
        <v>8712364803457</v>
      </c>
      <c r="F390" t="str">
        <f>"8712364800982"</f>
        <v>8712364800982</v>
      </c>
      <c r="H390" t="s">
        <v>838</v>
      </c>
      <c r="I390">
        <v>12</v>
      </c>
      <c r="J390">
        <v>4</v>
      </c>
      <c r="K390">
        <v>48</v>
      </c>
      <c r="L390">
        <v>0.48</v>
      </c>
      <c r="M390">
        <v>0.432</v>
      </c>
      <c r="N390">
        <v>0.19900000000000001</v>
      </c>
      <c r="O390">
        <v>9.5519999999999996</v>
      </c>
      <c r="P390">
        <v>0.3</v>
      </c>
      <c r="Q390">
        <v>14.4</v>
      </c>
    </row>
    <row r="391" spans="1:17" x14ac:dyDescent="0.25">
      <c r="A391">
        <v>18811061</v>
      </c>
      <c r="B391">
        <v>994476</v>
      </c>
      <c r="C391" t="s">
        <v>180</v>
      </c>
      <c r="E391" t="str">
        <f>"5050574252829"</f>
        <v>5050574252829</v>
      </c>
      <c r="H391" t="s">
        <v>873</v>
      </c>
      <c r="I391">
        <v>6</v>
      </c>
      <c r="J391">
        <v>1</v>
      </c>
      <c r="K391">
        <v>6</v>
      </c>
      <c r="L391">
        <v>2.274</v>
      </c>
      <c r="M391">
        <v>2.0470000000000002</v>
      </c>
      <c r="N391">
        <v>1.2090000000000001</v>
      </c>
      <c r="O391">
        <v>7.2539999999999996</v>
      </c>
      <c r="P391">
        <v>4.3499999999999996</v>
      </c>
      <c r="Q391">
        <v>26.1</v>
      </c>
    </row>
    <row r="392" spans="1:17" x14ac:dyDescent="0.25">
      <c r="A392">
        <v>18811061</v>
      </c>
      <c r="B392">
        <v>987040</v>
      </c>
      <c r="C392" t="s">
        <v>181</v>
      </c>
      <c r="E392" t="str">
        <f>"8712364584233"</f>
        <v>8712364584233</v>
      </c>
      <c r="H392" t="s">
        <v>874</v>
      </c>
      <c r="I392">
        <v>1</v>
      </c>
      <c r="J392">
        <v>40</v>
      </c>
      <c r="K392">
        <v>40</v>
      </c>
      <c r="L392">
        <v>12.12</v>
      </c>
      <c r="M392">
        <v>10.907999999999999</v>
      </c>
      <c r="N392">
        <v>0.16900000000000001</v>
      </c>
      <c r="O392">
        <v>6.76</v>
      </c>
      <c r="P392">
        <v>0.96</v>
      </c>
      <c r="Q392">
        <v>38.4</v>
      </c>
    </row>
    <row r="393" spans="1:17" x14ac:dyDescent="0.25">
      <c r="A393">
        <v>18811061</v>
      </c>
      <c r="B393">
        <v>994972</v>
      </c>
      <c r="C393" t="s">
        <v>182</v>
      </c>
      <c r="E393" t="str">
        <f>"2000007085572"</f>
        <v>2000007085572</v>
      </c>
      <c r="H393" t="s">
        <v>875</v>
      </c>
      <c r="I393">
        <v>28</v>
      </c>
      <c r="J393">
        <v>1</v>
      </c>
      <c r="K393">
        <v>28</v>
      </c>
      <c r="L393">
        <v>17.388000000000002</v>
      </c>
      <c r="M393">
        <v>15.648999999999999</v>
      </c>
      <c r="N393">
        <v>4.6500000000000004</v>
      </c>
      <c r="O393">
        <v>130.19999999999999</v>
      </c>
      <c r="P393">
        <v>7.41</v>
      </c>
      <c r="Q393">
        <v>207.48</v>
      </c>
    </row>
    <row r="394" spans="1:17" x14ac:dyDescent="0.25">
      <c r="A394">
        <v>18811061</v>
      </c>
      <c r="B394">
        <v>1007814</v>
      </c>
      <c r="C394" t="s">
        <v>183</v>
      </c>
      <c r="E394" t="str">
        <f>"8712364562248"</f>
        <v>8712364562248</v>
      </c>
      <c r="H394" t="s">
        <v>838</v>
      </c>
      <c r="I394">
        <v>1</v>
      </c>
      <c r="J394">
        <v>36</v>
      </c>
      <c r="K394">
        <v>36</v>
      </c>
      <c r="L394">
        <v>0.9</v>
      </c>
      <c r="M394">
        <v>0.81</v>
      </c>
      <c r="N394">
        <v>1.339</v>
      </c>
      <c r="O394">
        <v>48.204000000000001</v>
      </c>
      <c r="P394">
        <v>1.5</v>
      </c>
      <c r="Q394">
        <v>54</v>
      </c>
    </row>
    <row r="395" spans="1:17" x14ac:dyDescent="0.25">
      <c r="A395">
        <v>18811061</v>
      </c>
      <c r="B395">
        <v>997504</v>
      </c>
      <c r="C395" t="s">
        <v>184</v>
      </c>
      <c r="E395" t="str">
        <f>"8720701032835"</f>
        <v>8720701032835</v>
      </c>
      <c r="H395" t="s">
        <v>876</v>
      </c>
      <c r="I395">
        <v>6</v>
      </c>
      <c r="J395">
        <v>1</v>
      </c>
      <c r="K395">
        <v>6</v>
      </c>
      <c r="L395">
        <v>0.12</v>
      </c>
      <c r="M395">
        <v>0.108</v>
      </c>
      <c r="N395">
        <v>1.75</v>
      </c>
      <c r="O395">
        <v>10.5</v>
      </c>
      <c r="P395">
        <v>6.65</v>
      </c>
      <c r="Q395">
        <v>39.9</v>
      </c>
    </row>
    <row r="396" spans="1:17" x14ac:dyDescent="0.25">
      <c r="A396">
        <v>18811061</v>
      </c>
      <c r="B396">
        <v>991100</v>
      </c>
      <c r="C396" t="s">
        <v>185</v>
      </c>
      <c r="E396" t="str">
        <f>"8720194708248"</f>
        <v>8720194708248</v>
      </c>
      <c r="H396" t="s">
        <v>877</v>
      </c>
      <c r="I396">
        <v>1</v>
      </c>
      <c r="J396">
        <v>6</v>
      </c>
      <c r="K396">
        <v>6</v>
      </c>
      <c r="L396">
        <v>1.5</v>
      </c>
      <c r="M396">
        <v>1.35</v>
      </c>
      <c r="N396">
        <v>0.93500000000000005</v>
      </c>
      <c r="O396">
        <v>5.61</v>
      </c>
      <c r="P396">
        <v>4.88</v>
      </c>
      <c r="Q396">
        <v>29.28</v>
      </c>
    </row>
    <row r="397" spans="1:17" x14ac:dyDescent="0.25">
      <c r="A397">
        <v>18811061</v>
      </c>
      <c r="B397">
        <v>996602</v>
      </c>
      <c r="C397" t="s">
        <v>186</v>
      </c>
      <c r="E397" t="str">
        <f>"3491955991241"</f>
        <v>3491955991241</v>
      </c>
      <c r="H397" t="s">
        <v>878</v>
      </c>
      <c r="I397">
        <v>4</v>
      </c>
      <c r="J397">
        <v>2</v>
      </c>
      <c r="K397">
        <v>8</v>
      </c>
      <c r="L397">
        <v>11</v>
      </c>
      <c r="M397">
        <v>9.9</v>
      </c>
      <c r="N397">
        <v>9.6769999999999996</v>
      </c>
      <c r="O397">
        <v>77.415999999999997</v>
      </c>
      <c r="P397">
        <v>12.44</v>
      </c>
      <c r="Q397">
        <v>99.52</v>
      </c>
    </row>
    <row r="398" spans="1:17" x14ac:dyDescent="0.25">
      <c r="A398">
        <v>18811061</v>
      </c>
      <c r="B398">
        <v>952997</v>
      </c>
      <c r="C398" t="s">
        <v>187</v>
      </c>
      <c r="E398" t="str">
        <f>"3491955643843"</f>
        <v>3491955643843</v>
      </c>
      <c r="H398" t="s">
        <v>879</v>
      </c>
      <c r="I398">
        <v>12</v>
      </c>
      <c r="J398">
        <v>2</v>
      </c>
      <c r="K398">
        <v>24</v>
      </c>
      <c r="L398">
        <v>2.7839999999999998</v>
      </c>
      <c r="M398">
        <v>2.5059999999999998</v>
      </c>
      <c r="N398">
        <v>0.875</v>
      </c>
      <c r="O398">
        <v>21</v>
      </c>
      <c r="P398">
        <v>2.06</v>
      </c>
      <c r="Q398">
        <v>49.44</v>
      </c>
    </row>
    <row r="399" spans="1:17" x14ac:dyDescent="0.25">
      <c r="A399">
        <v>18811061</v>
      </c>
      <c r="B399">
        <v>987030</v>
      </c>
      <c r="C399" t="s">
        <v>188</v>
      </c>
      <c r="E399" t="str">
        <f>"8712364584240"</f>
        <v>8712364584240</v>
      </c>
      <c r="H399" t="s">
        <v>874</v>
      </c>
      <c r="I399">
        <v>1</v>
      </c>
      <c r="J399">
        <v>60</v>
      </c>
      <c r="K399">
        <v>60</v>
      </c>
      <c r="L399">
        <v>1.8</v>
      </c>
      <c r="M399">
        <v>1.62</v>
      </c>
      <c r="N399">
        <v>0.17699999999999999</v>
      </c>
      <c r="O399">
        <v>10.62</v>
      </c>
      <c r="P399">
        <v>0.96</v>
      </c>
      <c r="Q399">
        <v>57.6</v>
      </c>
    </row>
    <row r="400" spans="1:17" x14ac:dyDescent="0.25">
      <c r="A400">
        <v>18811061</v>
      </c>
      <c r="B400">
        <v>904790</v>
      </c>
      <c r="C400" t="s">
        <v>189</v>
      </c>
      <c r="E400" t="str">
        <f>"3491955531447"</f>
        <v>3491955531447</v>
      </c>
      <c r="H400" t="s">
        <v>879</v>
      </c>
      <c r="I400">
        <v>1</v>
      </c>
      <c r="J400">
        <v>6</v>
      </c>
      <c r="K400">
        <v>6</v>
      </c>
      <c r="L400">
        <v>5.3579999999999997</v>
      </c>
      <c r="M400">
        <v>4.8230000000000004</v>
      </c>
      <c r="N400">
        <v>16.638000000000002</v>
      </c>
      <c r="O400">
        <v>99.828000000000003</v>
      </c>
      <c r="P400">
        <v>7.86</v>
      </c>
      <c r="Q400">
        <v>47.16</v>
      </c>
    </row>
    <row r="401" spans="1:17" x14ac:dyDescent="0.25">
      <c r="A401">
        <v>18811061</v>
      </c>
      <c r="B401">
        <v>953012</v>
      </c>
      <c r="C401" t="s">
        <v>190</v>
      </c>
      <c r="E401" t="str">
        <f>"3491955643805"</f>
        <v>3491955643805</v>
      </c>
      <c r="H401" t="s">
        <v>879</v>
      </c>
      <c r="I401">
        <v>6</v>
      </c>
      <c r="J401">
        <v>1</v>
      </c>
      <c r="K401">
        <v>6</v>
      </c>
      <c r="L401">
        <v>3.8460000000000001</v>
      </c>
      <c r="M401">
        <v>3.4609999999999999</v>
      </c>
      <c r="N401">
        <v>11.025</v>
      </c>
      <c r="O401">
        <v>66.150000000000006</v>
      </c>
      <c r="P401">
        <v>5.56</v>
      </c>
      <c r="Q401">
        <v>33.36</v>
      </c>
    </row>
    <row r="402" spans="1:17" x14ac:dyDescent="0.25">
      <c r="A402">
        <v>18811061</v>
      </c>
      <c r="B402">
        <v>1007802</v>
      </c>
      <c r="C402" t="s">
        <v>191</v>
      </c>
      <c r="E402" t="str">
        <f>"8712364577211"</f>
        <v>8712364577211</v>
      </c>
      <c r="H402" t="s">
        <v>838</v>
      </c>
      <c r="I402">
        <v>12</v>
      </c>
      <c r="J402">
        <v>4</v>
      </c>
      <c r="K402">
        <v>48</v>
      </c>
      <c r="L402">
        <v>12</v>
      </c>
      <c r="M402">
        <v>10.8</v>
      </c>
      <c r="N402">
        <v>3.6160000000000001</v>
      </c>
      <c r="O402">
        <v>173.56800000000001</v>
      </c>
      <c r="P402">
        <v>2.54</v>
      </c>
      <c r="Q402">
        <v>121.92</v>
      </c>
    </row>
    <row r="403" spans="1:17" x14ac:dyDescent="0.25">
      <c r="A403">
        <v>18811061</v>
      </c>
      <c r="B403">
        <v>987029</v>
      </c>
      <c r="C403" t="s">
        <v>192</v>
      </c>
      <c r="E403" t="str">
        <f>"8712364622508"</f>
        <v>8712364622508</v>
      </c>
      <c r="H403" t="s">
        <v>834</v>
      </c>
      <c r="I403">
        <v>1</v>
      </c>
      <c r="J403">
        <v>60</v>
      </c>
      <c r="K403">
        <v>60</v>
      </c>
      <c r="L403">
        <v>0.72</v>
      </c>
      <c r="M403">
        <v>0.64800000000000002</v>
      </c>
      <c r="N403">
        <v>0.22700000000000001</v>
      </c>
      <c r="O403">
        <v>13.62</v>
      </c>
      <c r="P403">
        <v>1.17</v>
      </c>
      <c r="Q403">
        <v>70.2</v>
      </c>
    </row>
    <row r="404" spans="1:17" x14ac:dyDescent="0.25">
      <c r="A404">
        <v>18811061</v>
      </c>
      <c r="B404">
        <v>987006</v>
      </c>
      <c r="C404" t="s">
        <v>193</v>
      </c>
      <c r="E404" t="str">
        <f>"8712364622553"</f>
        <v>8712364622553</v>
      </c>
      <c r="H404" t="s">
        <v>834</v>
      </c>
      <c r="I404">
        <v>1</v>
      </c>
      <c r="J404">
        <v>40</v>
      </c>
      <c r="K404">
        <v>40</v>
      </c>
      <c r="L404">
        <v>3.2</v>
      </c>
      <c r="M404">
        <v>2.88</v>
      </c>
      <c r="N404">
        <v>0.27</v>
      </c>
      <c r="O404">
        <v>10.8</v>
      </c>
      <c r="P404">
        <v>1.17</v>
      </c>
      <c r="Q404">
        <v>46.8</v>
      </c>
    </row>
    <row r="405" spans="1:17" x14ac:dyDescent="0.25">
      <c r="A405">
        <v>18816018</v>
      </c>
      <c r="B405">
        <v>337567</v>
      </c>
      <c r="C405" t="s">
        <v>194</v>
      </c>
      <c r="E405" t="str">
        <f>"8711293022670"</f>
        <v>8711293022670</v>
      </c>
      <c r="H405" t="s">
        <v>880</v>
      </c>
      <c r="I405">
        <v>1</v>
      </c>
      <c r="J405">
        <v>2</v>
      </c>
      <c r="K405">
        <v>2</v>
      </c>
      <c r="L405">
        <v>1.796</v>
      </c>
      <c r="M405">
        <v>1.6160000000000001</v>
      </c>
      <c r="N405">
        <v>3.64</v>
      </c>
      <c r="O405">
        <v>7.28</v>
      </c>
      <c r="P405">
        <v>2.5499999999999998</v>
      </c>
      <c r="Q405">
        <v>5.0999999999999996</v>
      </c>
    </row>
    <row r="406" spans="1:17" x14ac:dyDescent="0.25">
      <c r="A406">
        <v>18816018</v>
      </c>
      <c r="B406">
        <v>335767</v>
      </c>
      <c r="C406" t="s">
        <v>195</v>
      </c>
      <c r="E406" t="str">
        <f>"3700062110101"</f>
        <v>3700062110101</v>
      </c>
      <c r="H406" t="s">
        <v>881</v>
      </c>
      <c r="I406">
        <v>1</v>
      </c>
      <c r="J406">
        <v>2</v>
      </c>
      <c r="K406">
        <v>2</v>
      </c>
      <c r="L406">
        <v>3.6659999999999999</v>
      </c>
      <c r="M406">
        <v>3.2989999999999999</v>
      </c>
      <c r="N406">
        <v>20</v>
      </c>
      <c r="O406">
        <v>40</v>
      </c>
      <c r="P406">
        <v>4.04</v>
      </c>
      <c r="Q406">
        <v>8.08</v>
      </c>
    </row>
    <row r="407" spans="1:17" x14ac:dyDescent="0.25">
      <c r="A407">
        <v>18816018</v>
      </c>
      <c r="B407">
        <v>956345</v>
      </c>
      <c r="C407" t="s">
        <v>196</v>
      </c>
      <c r="E407" t="str">
        <f>"3491955560027"</f>
        <v>3491955560027</v>
      </c>
      <c r="H407" t="s">
        <v>882</v>
      </c>
      <c r="I407">
        <v>1</v>
      </c>
      <c r="J407">
        <v>3</v>
      </c>
      <c r="K407">
        <v>3</v>
      </c>
      <c r="L407">
        <v>1.6739999999999999</v>
      </c>
      <c r="M407">
        <v>1.5069999999999999</v>
      </c>
      <c r="N407">
        <v>7.2</v>
      </c>
      <c r="O407">
        <v>21.6</v>
      </c>
      <c r="P407">
        <v>3.14</v>
      </c>
      <c r="Q407">
        <v>9.42</v>
      </c>
    </row>
    <row r="408" spans="1:17" x14ac:dyDescent="0.25">
      <c r="A408">
        <v>18816018</v>
      </c>
      <c r="B408">
        <v>913659</v>
      </c>
      <c r="C408" t="s">
        <v>197</v>
      </c>
      <c r="E408" t="str">
        <f>"3491955560041"</f>
        <v>3491955560041</v>
      </c>
      <c r="H408" t="s">
        <v>831</v>
      </c>
      <c r="I408">
        <v>1</v>
      </c>
      <c r="J408">
        <v>3</v>
      </c>
      <c r="K408">
        <v>3</v>
      </c>
      <c r="L408">
        <v>1.095</v>
      </c>
      <c r="M408">
        <v>0.98599999999999999</v>
      </c>
      <c r="N408">
        <v>3.78</v>
      </c>
      <c r="O408">
        <v>11.34</v>
      </c>
      <c r="P408">
        <v>3.33</v>
      </c>
      <c r="Q408">
        <v>9.99</v>
      </c>
    </row>
    <row r="409" spans="1:17" x14ac:dyDescent="0.25">
      <c r="A409">
        <v>18816018</v>
      </c>
      <c r="B409">
        <v>711694</v>
      </c>
      <c r="C409" t="s">
        <v>198</v>
      </c>
      <c r="E409" t="str">
        <f>"3491953621294"</f>
        <v>3491953621294</v>
      </c>
      <c r="F409" t="str">
        <f>"3491955027964"</f>
        <v>3491955027964</v>
      </c>
      <c r="G409" t="str">
        <f>"3491955512545"</f>
        <v>3491955512545</v>
      </c>
      <c r="H409" t="s">
        <v>834</v>
      </c>
      <c r="I409">
        <v>1</v>
      </c>
      <c r="J409">
        <v>2</v>
      </c>
      <c r="K409">
        <v>2</v>
      </c>
      <c r="L409">
        <v>5.4279999999999999</v>
      </c>
      <c r="M409">
        <v>4.8849999999999998</v>
      </c>
      <c r="N409">
        <v>13.45</v>
      </c>
      <c r="O409">
        <v>26.9</v>
      </c>
      <c r="P409">
        <v>5.98</v>
      </c>
      <c r="Q409">
        <v>11.96</v>
      </c>
    </row>
    <row r="410" spans="1:17" x14ac:dyDescent="0.25">
      <c r="A410">
        <v>18816018</v>
      </c>
      <c r="B410">
        <v>216675</v>
      </c>
      <c r="C410" t="s">
        <v>199</v>
      </c>
      <c r="E410" t="str">
        <f>"5400351121921"</f>
        <v>5400351121921</v>
      </c>
      <c r="F410" t="str">
        <f>"3166780145533"</f>
        <v>3166780145533</v>
      </c>
      <c r="G410" t="str">
        <f>"5400351750121"</f>
        <v>5400351750121</v>
      </c>
      <c r="H410" t="s">
        <v>772</v>
      </c>
      <c r="I410">
        <v>1</v>
      </c>
      <c r="J410">
        <v>3</v>
      </c>
      <c r="K410">
        <v>7</v>
      </c>
      <c r="L410">
        <v>21.756</v>
      </c>
      <c r="M410">
        <v>19.579999999999998</v>
      </c>
      <c r="N410">
        <v>5.6</v>
      </c>
      <c r="O410">
        <v>39.200000000000003</v>
      </c>
      <c r="P410">
        <v>2.46</v>
      </c>
      <c r="Q410">
        <v>17.22</v>
      </c>
    </row>
    <row r="411" spans="1:17" x14ac:dyDescent="0.25">
      <c r="A411">
        <v>18816018</v>
      </c>
      <c r="B411">
        <v>980426</v>
      </c>
      <c r="C411" t="s">
        <v>201</v>
      </c>
      <c r="E411" t="str">
        <f>"3491955512521"</f>
        <v>3491955512521</v>
      </c>
      <c r="H411" t="s">
        <v>780</v>
      </c>
      <c r="I411">
        <v>1</v>
      </c>
      <c r="J411">
        <v>2</v>
      </c>
      <c r="K411">
        <v>2</v>
      </c>
      <c r="L411">
        <v>0.79</v>
      </c>
      <c r="M411">
        <v>0.71099999999999997</v>
      </c>
      <c r="N411">
        <v>7.1390000000000002</v>
      </c>
      <c r="O411">
        <v>14.278</v>
      </c>
      <c r="P411">
        <v>3.13</v>
      </c>
      <c r="Q411">
        <v>6.26</v>
      </c>
    </row>
    <row r="412" spans="1:17" x14ac:dyDescent="0.25">
      <c r="A412">
        <v>18816018</v>
      </c>
      <c r="B412">
        <v>650658</v>
      </c>
      <c r="C412" t="s">
        <v>202</v>
      </c>
      <c r="E412" t="str">
        <f>"3491955580872"</f>
        <v>3491955580872</v>
      </c>
      <c r="F412" t="str">
        <f>"8009404212868"</f>
        <v>8009404212868</v>
      </c>
      <c r="G412" t="str">
        <f>"8009404253083"</f>
        <v>8009404253083</v>
      </c>
      <c r="H412" t="s">
        <v>883</v>
      </c>
      <c r="I412">
        <v>1</v>
      </c>
      <c r="J412">
        <v>1</v>
      </c>
      <c r="K412">
        <v>1</v>
      </c>
      <c r="L412">
        <v>2.86</v>
      </c>
      <c r="M412">
        <v>2.5739999999999998</v>
      </c>
      <c r="N412">
        <v>79.92</v>
      </c>
      <c r="O412">
        <v>79.92</v>
      </c>
      <c r="P412">
        <v>12.03</v>
      </c>
      <c r="Q412">
        <v>12.03</v>
      </c>
    </row>
    <row r="413" spans="1:17" x14ac:dyDescent="0.25">
      <c r="A413">
        <v>18816018</v>
      </c>
      <c r="B413">
        <v>393014</v>
      </c>
      <c r="C413" t="s">
        <v>204</v>
      </c>
      <c r="E413" t="str">
        <f>"3234530002013"</f>
        <v>3234530002013</v>
      </c>
      <c r="H413" t="s">
        <v>884</v>
      </c>
      <c r="I413">
        <v>1</v>
      </c>
      <c r="J413">
        <v>2</v>
      </c>
      <c r="K413">
        <v>2</v>
      </c>
      <c r="L413">
        <v>5.32</v>
      </c>
      <c r="M413">
        <v>4.7880000000000003</v>
      </c>
      <c r="N413">
        <v>71.424000000000007</v>
      </c>
      <c r="O413">
        <v>142.84800000000001</v>
      </c>
      <c r="P413">
        <v>9.85</v>
      </c>
      <c r="Q413">
        <v>19.7</v>
      </c>
    </row>
    <row r="414" spans="1:17" x14ac:dyDescent="0.25">
      <c r="A414">
        <v>18816018</v>
      </c>
      <c r="B414">
        <v>382708</v>
      </c>
      <c r="C414" t="s">
        <v>205</v>
      </c>
      <c r="E414" t="str">
        <f>"2090000689013"</f>
        <v>2090000689013</v>
      </c>
      <c r="H414" t="s">
        <v>885</v>
      </c>
      <c r="I414">
        <v>1</v>
      </c>
      <c r="J414">
        <v>3</v>
      </c>
      <c r="K414">
        <v>3</v>
      </c>
      <c r="L414">
        <v>8.25</v>
      </c>
      <c r="M414">
        <v>7.4249999999999998</v>
      </c>
      <c r="N414">
        <v>60</v>
      </c>
      <c r="O414">
        <v>180</v>
      </c>
      <c r="P414">
        <v>15.34</v>
      </c>
      <c r="Q414">
        <v>46.02</v>
      </c>
    </row>
    <row r="415" spans="1:17" x14ac:dyDescent="0.25">
      <c r="A415">
        <v>18816018</v>
      </c>
      <c r="B415">
        <v>382720</v>
      </c>
      <c r="C415" t="s">
        <v>207</v>
      </c>
      <c r="E415" t="str">
        <f>"2090000689112"</f>
        <v>2090000689112</v>
      </c>
      <c r="H415" t="s">
        <v>885</v>
      </c>
      <c r="I415">
        <v>1</v>
      </c>
      <c r="J415">
        <v>3</v>
      </c>
      <c r="K415">
        <v>3</v>
      </c>
      <c r="L415">
        <v>10.199999999999999</v>
      </c>
      <c r="M415">
        <v>9.18</v>
      </c>
      <c r="N415">
        <v>60</v>
      </c>
      <c r="O415">
        <v>180</v>
      </c>
      <c r="P415">
        <v>18.48</v>
      </c>
      <c r="Q415">
        <v>55.44</v>
      </c>
    </row>
    <row r="416" spans="1:17" x14ac:dyDescent="0.25">
      <c r="A416">
        <v>18816018</v>
      </c>
      <c r="B416">
        <v>913655</v>
      </c>
      <c r="C416" t="s">
        <v>208</v>
      </c>
      <c r="E416" t="str">
        <f>"3491955560010"</f>
        <v>3491955560010</v>
      </c>
      <c r="H416" t="s">
        <v>882</v>
      </c>
      <c r="I416">
        <v>1</v>
      </c>
      <c r="J416">
        <v>3</v>
      </c>
      <c r="K416">
        <v>3</v>
      </c>
      <c r="L416">
        <v>1.7490000000000001</v>
      </c>
      <c r="M416">
        <v>1.5740000000000001</v>
      </c>
      <c r="N416">
        <v>6.16</v>
      </c>
      <c r="O416">
        <v>18.48</v>
      </c>
      <c r="P416">
        <v>3.16</v>
      </c>
      <c r="Q416">
        <v>9.48</v>
      </c>
    </row>
    <row r="417" spans="1:17" x14ac:dyDescent="0.25">
      <c r="A417">
        <v>18816018</v>
      </c>
      <c r="B417">
        <v>218778</v>
      </c>
      <c r="C417" t="s">
        <v>209</v>
      </c>
      <c r="E417" t="str">
        <f>"5601297411002"</f>
        <v>5601297411002</v>
      </c>
      <c r="F417" t="str">
        <f>"5400370862300"</f>
        <v>5400370862300</v>
      </c>
      <c r="G417" t="str">
        <f>"5400370014624"</f>
        <v>5400370014624</v>
      </c>
      <c r="H417" t="s">
        <v>886</v>
      </c>
      <c r="I417">
        <v>1</v>
      </c>
      <c r="J417">
        <v>2</v>
      </c>
      <c r="K417">
        <v>2</v>
      </c>
      <c r="L417">
        <v>0.90600000000000003</v>
      </c>
      <c r="M417">
        <v>0.81499999999999995</v>
      </c>
      <c r="N417">
        <v>9.0660000000000007</v>
      </c>
      <c r="O417">
        <v>18.132000000000001</v>
      </c>
      <c r="P417">
        <v>4.5</v>
      </c>
      <c r="Q417">
        <v>9</v>
      </c>
    </row>
    <row r="418" spans="1:17" x14ac:dyDescent="0.25">
      <c r="A418">
        <v>18816018</v>
      </c>
      <c r="B418">
        <v>967938</v>
      </c>
      <c r="C418" t="s">
        <v>210</v>
      </c>
      <c r="E418" t="str">
        <f>"3560239686439"</f>
        <v>3560239686439</v>
      </c>
      <c r="H418" t="s">
        <v>887</v>
      </c>
      <c r="I418">
        <v>1</v>
      </c>
      <c r="J418">
        <v>1</v>
      </c>
      <c r="K418">
        <v>1</v>
      </c>
      <c r="L418">
        <v>0.83799999999999997</v>
      </c>
      <c r="M418">
        <v>0.754</v>
      </c>
      <c r="N418">
        <v>5.3760000000000003</v>
      </c>
      <c r="O418">
        <v>5.3760000000000003</v>
      </c>
      <c r="P418">
        <v>4.82</v>
      </c>
      <c r="Q418">
        <v>4.82</v>
      </c>
    </row>
    <row r="419" spans="1:17" x14ac:dyDescent="0.25">
      <c r="A419">
        <v>18816018</v>
      </c>
      <c r="B419">
        <v>913660</v>
      </c>
      <c r="C419" t="s">
        <v>211</v>
      </c>
      <c r="E419" t="str">
        <f>"3491955560034"</f>
        <v>3491955560034</v>
      </c>
      <c r="H419" t="s">
        <v>831</v>
      </c>
      <c r="I419">
        <v>1</v>
      </c>
      <c r="J419">
        <v>3</v>
      </c>
      <c r="K419">
        <v>3</v>
      </c>
      <c r="L419">
        <v>1.113</v>
      </c>
      <c r="M419">
        <v>1.002</v>
      </c>
      <c r="N419">
        <v>3.78</v>
      </c>
      <c r="O419">
        <v>11.34</v>
      </c>
      <c r="P419">
        <v>3.33</v>
      </c>
      <c r="Q419">
        <v>9.99</v>
      </c>
    </row>
    <row r="420" spans="1:17" x14ac:dyDescent="0.25">
      <c r="A420">
        <v>18816018</v>
      </c>
      <c r="B420">
        <v>1006513</v>
      </c>
      <c r="C420" t="s">
        <v>212</v>
      </c>
      <c r="E420" t="str">
        <f>"5411397147806"</f>
        <v>5411397147806</v>
      </c>
      <c r="H420" t="s">
        <v>888</v>
      </c>
      <c r="I420">
        <v>1</v>
      </c>
      <c r="J420">
        <v>2</v>
      </c>
      <c r="K420">
        <v>2</v>
      </c>
      <c r="L420">
        <v>30</v>
      </c>
      <c r="M420">
        <v>27</v>
      </c>
      <c r="N420">
        <v>60</v>
      </c>
      <c r="O420">
        <v>120</v>
      </c>
      <c r="P420">
        <v>53.3</v>
      </c>
      <c r="Q420">
        <v>106.6</v>
      </c>
    </row>
    <row r="421" spans="1:17" x14ac:dyDescent="0.25">
      <c r="A421">
        <v>18817120</v>
      </c>
      <c r="B421">
        <v>951432</v>
      </c>
      <c r="C421" t="s">
        <v>213</v>
      </c>
      <c r="E421" t="str">
        <f>"195161618109"</f>
        <v>195161618109</v>
      </c>
      <c r="H421" t="s">
        <v>889</v>
      </c>
      <c r="I421">
        <v>1</v>
      </c>
      <c r="J421">
        <v>3</v>
      </c>
      <c r="K421">
        <v>3</v>
      </c>
      <c r="L421">
        <v>9</v>
      </c>
      <c r="M421">
        <v>8.1</v>
      </c>
      <c r="N421">
        <v>29.61</v>
      </c>
      <c r="O421">
        <v>88.83</v>
      </c>
      <c r="P421">
        <v>38.26</v>
      </c>
      <c r="Q421">
        <v>114.78</v>
      </c>
    </row>
    <row r="422" spans="1:17" x14ac:dyDescent="0.25">
      <c r="A422">
        <v>18817120</v>
      </c>
      <c r="B422">
        <v>904509</v>
      </c>
      <c r="C422" t="s">
        <v>214</v>
      </c>
      <c r="E422" t="str">
        <f>"3491955526993"</f>
        <v>3491955526993</v>
      </c>
      <c r="H422" t="s">
        <v>865</v>
      </c>
      <c r="I422">
        <v>6</v>
      </c>
      <c r="J422">
        <v>1</v>
      </c>
      <c r="K422">
        <v>6</v>
      </c>
      <c r="L422">
        <v>2.052</v>
      </c>
      <c r="M422">
        <v>1.847</v>
      </c>
      <c r="N422">
        <v>4.6550000000000002</v>
      </c>
      <c r="O422">
        <v>27.93</v>
      </c>
      <c r="P422">
        <v>4.79</v>
      </c>
      <c r="Q422">
        <v>28.74</v>
      </c>
    </row>
    <row r="423" spans="1:17" x14ac:dyDescent="0.25">
      <c r="A423">
        <v>18817120</v>
      </c>
      <c r="B423">
        <v>703384</v>
      </c>
      <c r="C423" t="s">
        <v>215</v>
      </c>
      <c r="E423" t="str">
        <f>"2000006810298"</f>
        <v>2000006810298</v>
      </c>
      <c r="H423" t="s">
        <v>890</v>
      </c>
      <c r="I423">
        <v>4</v>
      </c>
      <c r="J423">
        <v>1</v>
      </c>
      <c r="K423">
        <v>4</v>
      </c>
      <c r="L423">
        <v>0.52</v>
      </c>
      <c r="M423">
        <v>0.46800000000000003</v>
      </c>
      <c r="N423">
        <v>3.25</v>
      </c>
      <c r="O423">
        <v>13</v>
      </c>
      <c r="P423">
        <v>1.48</v>
      </c>
      <c r="Q423">
        <v>5.92</v>
      </c>
    </row>
    <row r="424" spans="1:17" x14ac:dyDescent="0.25">
      <c r="A424">
        <v>18817120</v>
      </c>
      <c r="B424">
        <v>948080</v>
      </c>
      <c r="C424" t="s">
        <v>216</v>
      </c>
      <c r="E424" t="str">
        <f>"3491955517793"</f>
        <v>3491955517793</v>
      </c>
      <c r="H424" t="s">
        <v>891</v>
      </c>
      <c r="I424">
        <v>1</v>
      </c>
      <c r="J424">
        <v>1</v>
      </c>
      <c r="K424">
        <v>1</v>
      </c>
      <c r="L424">
        <v>2.0329999999999999</v>
      </c>
      <c r="M424">
        <v>1.83</v>
      </c>
      <c r="N424">
        <v>15.551</v>
      </c>
      <c r="O424">
        <v>15.551</v>
      </c>
      <c r="P424">
        <v>11.88</v>
      </c>
      <c r="Q424">
        <v>11.88</v>
      </c>
    </row>
    <row r="425" spans="1:17" x14ac:dyDescent="0.25">
      <c r="A425">
        <v>18817120</v>
      </c>
      <c r="B425">
        <v>994409</v>
      </c>
      <c r="C425" t="s">
        <v>217</v>
      </c>
      <c r="E425" t="str">
        <f>"3523930099441"</f>
        <v>3523930099441</v>
      </c>
      <c r="H425" t="s">
        <v>758</v>
      </c>
      <c r="I425">
        <v>1</v>
      </c>
      <c r="J425">
        <v>2</v>
      </c>
      <c r="K425">
        <v>2</v>
      </c>
      <c r="L425">
        <v>4</v>
      </c>
      <c r="M425">
        <v>3.6</v>
      </c>
      <c r="N425">
        <v>16.965</v>
      </c>
      <c r="O425">
        <v>33.93</v>
      </c>
      <c r="P425">
        <v>14.9</v>
      </c>
      <c r="Q425">
        <v>29.8</v>
      </c>
    </row>
    <row r="426" spans="1:17" x14ac:dyDescent="0.25">
      <c r="A426">
        <v>18817120</v>
      </c>
      <c r="B426">
        <v>904595</v>
      </c>
      <c r="C426" t="s">
        <v>218</v>
      </c>
      <c r="E426" t="str">
        <f>"3491955341190"</f>
        <v>3491955341190</v>
      </c>
      <c r="H426" t="s">
        <v>838</v>
      </c>
      <c r="I426">
        <v>1</v>
      </c>
      <c r="J426">
        <v>1</v>
      </c>
      <c r="K426">
        <v>1</v>
      </c>
      <c r="L426">
        <v>2.2000000000000002</v>
      </c>
      <c r="M426">
        <v>1.98</v>
      </c>
      <c r="N426">
        <v>41.151000000000003</v>
      </c>
      <c r="O426">
        <v>41.151000000000003</v>
      </c>
      <c r="P426">
        <v>29.55</v>
      </c>
      <c r="Q426">
        <v>29.55</v>
      </c>
    </row>
    <row r="427" spans="1:17" x14ac:dyDescent="0.25">
      <c r="A427">
        <v>18817120</v>
      </c>
      <c r="B427">
        <v>950342</v>
      </c>
      <c r="C427" t="s">
        <v>219</v>
      </c>
      <c r="E427" t="str">
        <f>"3491955524579"</f>
        <v>3491955524579</v>
      </c>
      <c r="H427" t="s">
        <v>865</v>
      </c>
      <c r="I427">
        <v>1</v>
      </c>
      <c r="J427">
        <v>1</v>
      </c>
      <c r="K427">
        <v>1</v>
      </c>
      <c r="L427">
        <v>1.9</v>
      </c>
      <c r="M427">
        <v>1.71</v>
      </c>
      <c r="N427">
        <v>34.32</v>
      </c>
      <c r="O427">
        <v>34.32</v>
      </c>
      <c r="P427">
        <v>24.03</v>
      </c>
      <c r="Q427">
        <v>24.03</v>
      </c>
    </row>
    <row r="428" spans="1:17" x14ac:dyDescent="0.25">
      <c r="A428">
        <v>18817120</v>
      </c>
      <c r="B428">
        <v>985295</v>
      </c>
      <c r="C428" t="s">
        <v>220</v>
      </c>
      <c r="E428" t="str">
        <f>"3491955930486"</f>
        <v>3491955930486</v>
      </c>
      <c r="F428" t="str">
        <f>"3491955525460"</f>
        <v>3491955525460</v>
      </c>
      <c r="H428" t="s">
        <v>892</v>
      </c>
      <c r="I428">
        <v>3</v>
      </c>
      <c r="J428">
        <v>1</v>
      </c>
      <c r="K428">
        <v>3</v>
      </c>
      <c r="L428">
        <v>0.66900000000000004</v>
      </c>
      <c r="M428">
        <v>0.60199999999999998</v>
      </c>
      <c r="N428">
        <v>1.4</v>
      </c>
      <c r="O428">
        <v>4.2</v>
      </c>
      <c r="P428">
        <v>2.57</v>
      </c>
      <c r="Q428">
        <v>7.71</v>
      </c>
    </row>
    <row r="429" spans="1:17" x14ac:dyDescent="0.25">
      <c r="A429">
        <v>18817120</v>
      </c>
      <c r="B429">
        <v>653907</v>
      </c>
      <c r="C429" t="s">
        <v>221</v>
      </c>
      <c r="E429" t="str">
        <f>"3491955568429"</f>
        <v>3491955568429</v>
      </c>
      <c r="F429" t="str">
        <f>"3491953521679"</f>
        <v>3491953521679</v>
      </c>
      <c r="H429" t="s">
        <v>892</v>
      </c>
      <c r="I429">
        <v>3</v>
      </c>
      <c r="J429">
        <v>1</v>
      </c>
      <c r="K429">
        <v>3</v>
      </c>
      <c r="L429">
        <v>1.5</v>
      </c>
      <c r="M429">
        <v>1.35</v>
      </c>
      <c r="N429">
        <v>2.89</v>
      </c>
      <c r="O429">
        <v>8.67</v>
      </c>
      <c r="P429">
        <v>3.79</v>
      </c>
      <c r="Q429">
        <v>11.37</v>
      </c>
    </row>
    <row r="430" spans="1:17" x14ac:dyDescent="0.25">
      <c r="A430">
        <v>18817120</v>
      </c>
      <c r="B430">
        <v>909028</v>
      </c>
      <c r="C430" t="s">
        <v>222</v>
      </c>
      <c r="E430" t="str">
        <f>"3491955312749"</f>
        <v>3491955312749</v>
      </c>
      <c r="H430" t="s">
        <v>893</v>
      </c>
      <c r="I430">
        <v>3</v>
      </c>
      <c r="J430">
        <v>1</v>
      </c>
      <c r="K430">
        <v>3</v>
      </c>
      <c r="L430">
        <v>0.79800000000000004</v>
      </c>
      <c r="M430">
        <v>0.71799999999999997</v>
      </c>
      <c r="N430">
        <v>1.7849999999999999</v>
      </c>
      <c r="O430">
        <v>5.3550000000000004</v>
      </c>
      <c r="P430">
        <v>4.8899999999999997</v>
      </c>
      <c r="Q430">
        <v>14.67</v>
      </c>
    </row>
    <row r="431" spans="1:17" x14ac:dyDescent="0.25">
      <c r="A431">
        <v>18817120</v>
      </c>
      <c r="B431">
        <v>654110</v>
      </c>
      <c r="C431" t="s">
        <v>223</v>
      </c>
      <c r="E431" t="str">
        <f>"3491953886860"</f>
        <v>3491953886860</v>
      </c>
      <c r="H431" t="s">
        <v>894</v>
      </c>
      <c r="I431">
        <v>6</v>
      </c>
      <c r="J431">
        <v>1</v>
      </c>
      <c r="K431">
        <v>6</v>
      </c>
      <c r="L431">
        <v>1.6140000000000001</v>
      </c>
      <c r="M431">
        <v>1.4530000000000001</v>
      </c>
      <c r="N431">
        <v>2.9209999999999998</v>
      </c>
      <c r="O431">
        <v>17.526</v>
      </c>
      <c r="P431">
        <v>1.8</v>
      </c>
      <c r="Q431">
        <v>10.8</v>
      </c>
    </row>
    <row r="432" spans="1:17" x14ac:dyDescent="0.25">
      <c r="A432">
        <v>18817120</v>
      </c>
      <c r="B432">
        <v>382641</v>
      </c>
      <c r="C432" t="s">
        <v>224</v>
      </c>
      <c r="E432" t="str">
        <f>"3491954912353"</f>
        <v>3491954912353</v>
      </c>
      <c r="F432" t="str">
        <f>"2090000688030"</f>
        <v>2090000688030</v>
      </c>
      <c r="H432" t="s">
        <v>895</v>
      </c>
      <c r="I432">
        <v>12</v>
      </c>
      <c r="J432">
        <v>1</v>
      </c>
      <c r="K432">
        <v>12</v>
      </c>
      <c r="L432">
        <v>0.54</v>
      </c>
      <c r="M432">
        <v>0.48599999999999999</v>
      </c>
      <c r="N432">
        <v>0.73499999999999999</v>
      </c>
      <c r="O432">
        <v>8.82</v>
      </c>
      <c r="P432">
        <v>0.93</v>
      </c>
      <c r="Q432">
        <v>11.16</v>
      </c>
    </row>
    <row r="433" spans="1:17" x14ac:dyDescent="0.25">
      <c r="A433">
        <v>18817120</v>
      </c>
      <c r="B433">
        <v>708440</v>
      </c>
      <c r="C433" t="s">
        <v>225</v>
      </c>
      <c r="E433" t="str">
        <f>"3700866605568"</f>
        <v>3700866605568</v>
      </c>
      <c r="H433" t="s">
        <v>739</v>
      </c>
      <c r="I433">
        <v>12</v>
      </c>
      <c r="J433">
        <v>1</v>
      </c>
      <c r="K433">
        <v>12</v>
      </c>
      <c r="L433">
        <v>2.34</v>
      </c>
      <c r="M433">
        <v>2.1059999999999999</v>
      </c>
      <c r="N433">
        <v>1.2549999999999999</v>
      </c>
      <c r="O433">
        <v>15.06</v>
      </c>
      <c r="P433">
        <v>1.98</v>
      </c>
      <c r="Q433">
        <v>23.76</v>
      </c>
    </row>
    <row r="434" spans="1:17" x14ac:dyDescent="0.25">
      <c r="A434">
        <v>18817120</v>
      </c>
      <c r="B434">
        <v>1023486</v>
      </c>
      <c r="C434" t="s">
        <v>226</v>
      </c>
      <c r="E434" t="str">
        <f>"5413128351193"</f>
        <v>5413128351193</v>
      </c>
      <c r="H434" t="s">
        <v>896</v>
      </c>
      <c r="I434">
        <v>12</v>
      </c>
      <c r="J434">
        <v>1</v>
      </c>
      <c r="K434">
        <v>12</v>
      </c>
      <c r="L434">
        <v>3.3</v>
      </c>
      <c r="M434">
        <v>2.97</v>
      </c>
      <c r="N434">
        <v>2.7</v>
      </c>
      <c r="O434">
        <v>32.4</v>
      </c>
      <c r="P434">
        <v>2.5499999999999998</v>
      </c>
      <c r="Q434">
        <v>30.6</v>
      </c>
    </row>
    <row r="435" spans="1:17" x14ac:dyDescent="0.25">
      <c r="A435">
        <v>18817120</v>
      </c>
      <c r="B435">
        <v>923615</v>
      </c>
      <c r="C435" t="s">
        <v>227</v>
      </c>
      <c r="E435" t="str">
        <f>"778988394878"</f>
        <v>778988394878</v>
      </c>
      <c r="F435" t="str">
        <f>"778988416143"</f>
        <v>778988416143</v>
      </c>
      <c r="G435" t="str">
        <f>"778988297391"</f>
        <v>778988297391</v>
      </c>
      <c r="H435" t="s">
        <v>787</v>
      </c>
      <c r="I435">
        <v>1</v>
      </c>
      <c r="J435">
        <v>4</v>
      </c>
      <c r="K435">
        <v>4</v>
      </c>
      <c r="L435">
        <v>0.42399999999999999</v>
      </c>
      <c r="M435">
        <v>0.38200000000000001</v>
      </c>
      <c r="N435">
        <v>0.98099999999999998</v>
      </c>
      <c r="O435">
        <v>3.9239999999999999</v>
      </c>
      <c r="P435">
        <v>5.18</v>
      </c>
      <c r="Q435">
        <v>20.72</v>
      </c>
    </row>
    <row r="436" spans="1:17" x14ac:dyDescent="0.25">
      <c r="A436">
        <v>18817120</v>
      </c>
      <c r="B436">
        <v>958857</v>
      </c>
      <c r="C436" t="s">
        <v>228</v>
      </c>
      <c r="E436">
        <v>35051584049</v>
      </c>
      <c r="F436">
        <v>35051579564</v>
      </c>
      <c r="G436">
        <v>35051576662</v>
      </c>
      <c r="H436" t="s">
        <v>835</v>
      </c>
      <c r="I436">
        <v>4</v>
      </c>
      <c r="J436">
        <v>1</v>
      </c>
      <c r="K436">
        <v>4</v>
      </c>
      <c r="L436">
        <v>2</v>
      </c>
      <c r="M436">
        <v>1.8</v>
      </c>
      <c r="N436">
        <v>4.1040000000000001</v>
      </c>
      <c r="O436">
        <v>16.416</v>
      </c>
      <c r="P436">
        <v>13.95</v>
      </c>
      <c r="Q436">
        <v>55.8</v>
      </c>
    </row>
    <row r="437" spans="1:17" x14ac:dyDescent="0.25">
      <c r="A437">
        <v>18817120</v>
      </c>
      <c r="B437">
        <v>974943</v>
      </c>
      <c r="C437" t="s">
        <v>229</v>
      </c>
      <c r="E437" t="str">
        <f>"3491955816155"</f>
        <v>3491955816155</v>
      </c>
      <c r="H437" t="s">
        <v>897</v>
      </c>
      <c r="I437">
        <v>4</v>
      </c>
      <c r="J437">
        <v>1</v>
      </c>
      <c r="K437">
        <v>4</v>
      </c>
      <c r="L437">
        <v>2.5</v>
      </c>
      <c r="M437">
        <v>2.25</v>
      </c>
      <c r="N437">
        <v>3.5430000000000001</v>
      </c>
      <c r="O437">
        <v>14.172000000000001</v>
      </c>
      <c r="P437">
        <v>3.25</v>
      </c>
      <c r="Q437">
        <v>13</v>
      </c>
    </row>
    <row r="438" spans="1:17" x14ac:dyDescent="0.25">
      <c r="A438">
        <v>18817120</v>
      </c>
      <c r="B438">
        <v>988741</v>
      </c>
      <c r="C438" t="s">
        <v>230</v>
      </c>
      <c r="E438" t="str">
        <f>"3491955968717"</f>
        <v>3491955968717</v>
      </c>
      <c r="H438" t="s">
        <v>898</v>
      </c>
      <c r="I438">
        <v>6</v>
      </c>
      <c r="J438">
        <v>1</v>
      </c>
      <c r="K438">
        <v>6</v>
      </c>
      <c r="L438">
        <v>0.24</v>
      </c>
      <c r="M438">
        <v>0.216</v>
      </c>
      <c r="N438">
        <v>2.4889999999999999</v>
      </c>
      <c r="O438">
        <v>14.933999999999999</v>
      </c>
      <c r="P438">
        <v>1.61</v>
      </c>
      <c r="Q438">
        <v>9.66</v>
      </c>
    </row>
    <row r="439" spans="1:17" x14ac:dyDescent="0.25">
      <c r="A439">
        <v>18817120</v>
      </c>
      <c r="B439">
        <v>701335</v>
      </c>
      <c r="C439" t="s">
        <v>231</v>
      </c>
      <c r="E439" t="str">
        <f>"2000006810243"</f>
        <v>2000006810243</v>
      </c>
      <c r="H439" t="s">
        <v>890</v>
      </c>
      <c r="I439">
        <v>4</v>
      </c>
      <c r="J439">
        <v>2</v>
      </c>
      <c r="K439">
        <v>8</v>
      </c>
      <c r="L439">
        <v>0.32800000000000001</v>
      </c>
      <c r="M439">
        <v>0.29499999999999998</v>
      </c>
      <c r="N439">
        <v>1.363</v>
      </c>
      <c r="O439">
        <v>10.904</v>
      </c>
      <c r="P439">
        <v>0.42</v>
      </c>
      <c r="Q439">
        <v>3.36</v>
      </c>
    </row>
    <row r="440" spans="1:17" x14ac:dyDescent="0.25">
      <c r="A440">
        <v>18826346</v>
      </c>
      <c r="B440">
        <v>907329</v>
      </c>
      <c r="C440" t="s">
        <v>232</v>
      </c>
      <c r="E440" t="str">
        <f>"5420023187826"</f>
        <v>5420023187826</v>
      </c>
      <c r="H440" t="s">
        <v>872</v>
      </c>
      <c r="I440">
        <v>8</v>
      </c>
      <c r="J440">
        <v>1</v>
      </c>
      <c r="K440">
        <v>8</v>
      </c>
      <c r="L440">
        <v>7.4</v>
      </c>
      <c r="M440">
        <v>6.66</v>
      </c>
      <c r="N440">
        <v>14.663</v>
      </c>
      <c r="O440">
        <v>117.304</v>
      </c>
      <c r="P440">
        <v>5.71</v>
      </c>
      <c r="Q440">
        <v>45.68</v>
      </c>
    </row>
    <row r="441" spans="1:17" x14ac:dyDescent="0.25">
      <c r="A441">
        <v>18826346</v>
      </c>
      <c r="B441">
        <v>994918</v>
      </c>
      <c r="C441" t="s">
        <v>233</v>
      </c>
      <c r="E441" t="str">
        <f>"5050841682717"</f>
        <v>5050841682717</v>
      </c>
      <c r="H441" t="s">
        <v>837</v>
      </c>
      <c r="I441">
        <v>1</v>
      </c>
      <c r="J441">
        <v>2</v>
      </c>
      <c r="K441">
        <v>2</v>
      </c>
      <c r="L441">
        <v>1.716</v>
      </c>
      <c r="M441">
        <v>1.544</v>
      </c>
      <c r="N441">
        <v>0.90600000000000003</v>
      </c>
      <c r="O441">
        <v>1.8120000000000001</v>
      </c>
      <c r="P441">
        <v>8.32</v>
      </c>
      <c r="Q441">
        <v>16.64</v>
      </c>
    </row>
    <row r="442" spans="1:17" x14ac:dyDescent="0.25">
      <c r="A442">
        <v>18826346</v>
      </c>
      <c r="B442">
        <v>952858</v>
      </c>
      <c r="C442" t="s">
        <v>234</v>
      </c>
      <c r="E442" t="str">
        <f>"3491955629960"</f>
        <v>3491955629960</v>
      </c>
      <c r="F442" t="str">
        <f>"3491955544034"</f>
        <v>3491955544034</v>
      </c>
      <c r="H442" t="s">
        <v>899</v>
      </c>
      <c r="I442">
        <v>1</v>
      </c>
      <c r="J442">
        <v>3</v>
      </c>
      <c r="K442">
        <v>3</v>
      </c>
      <c r="L442">
        <v>21</v>
      </c>
      <c r="M442">
        <v>18.899999999999999</v>
      </c>
      <c r="N442">
        <v>35.712000000000003</v>
      </c>
      <c r="O442">
        <v>107.136</v>
      </c>
      <c r="P442">
        <v>24.19</v>
      </c>
      <c r="Q442">
        <v>72.569999999999993</v>
      </c>
    </row>
    <row r="443" spans="1:17" x14ac:dyDescent="0.25">
      <c r="A443">
        <v>18826346</v>
      </c>
      <c r="B443">
        <v>907330</v>
      </c>
      <c r="C443" t="s">
        <v>235</v>
      </c>
      <c r="E443" t="str">
        <f>"5420023187956"</f>
        <v>5420023187956</v>
      </c>
      <c r="H443" t="s">
        <v>872</v>
      </c>
      <c r="I443">
        <v>6</v>
      </c>
      <c r="J443">
        <v>1</v>
      </c>
      <c r="K443">
        <v>6</v>
      </c>
      <c r="L443">
        <v>8.4960000000000004</v>
      </c>
      <c r="M443">
        <v>7.6459999999999999</v>
      </c>
      <c r="N443">
        <v>19.466000000000001</v>
      </c>
      <c r="O443">
        <v>116.79600000000001</v>
      </c>
      <c r="P443">
        <v>3.76</v>
      </c>
      <c r="Q443">
        <v>22.56</v>
      </c>
    </row>
    <row r="444" spans="1:17" x14ac:dyDescent="0.25">
      <c r="A444">
        <v>18826346</v>
      </c>
      <c r="B444">
        <v>992372</v>
      </c>
      <c r="C444" t="s">
        <v>236</v>
      </c>
      <c r="E444" t="str">
        <f>"778988418314"</f>
        <v>778988418314</v>
      </c>
      <c r="H444" t="s">
        <v>900</v>
      </c>
      <c r="I444">
        <v>1</v>
      </c>
      <c r="J444">
        <v>4</v>
      </c>
      <c r="K444">
        <v>4</v>
      </c>
      <c r="L444">
        <v>2.2639999999999998</v>
      </c>
      <c r="M444">
        <v>2.0379999999999998</v>
      </c>
      <c r="N444">
        <v>6.63</v>
      </c>
      <c r="O444">
        <v>26.52</v>
      </c>
      <c r="P444">
        <v>13.88</v>
      </c>
      <c r="Q444">
        <v>55.52</v>
      </c>
    </row>
    <row r="445" spans="1:17" x14ac:dyDescent="0.25">
      <c r="A445">
        <v>18826346</v>
      </c>
      <c r="B445">
        <v>992380</v>
      </c>
      <c r="C445" t="s">
        <v>237</v>
      </c>
      <c r="E445" t="str">
        <f>"778988426074"</f>
        <v>778988426074</v>
      </c>
      <c r="H445" t="s">
        <v>900</v>
      </c>
      <c r="I445">
        <v>1</v>
      </c>
      <c r="J445">
        <v>4</v>
      </c>
      <c r="K445">
        <v>4</v>
      </c>
      <c r="L445">
        <v>1</v>
      </c>
      <c r="M445">
        <v>0.9</v>
      </c>
      <c r="N445">
        <v>2.73</v>
      </c>
      <c r="O445">
        <v>10.92</v>
      </c>
      <c r="P445">
        <v>8.2799999999999994</v>
      </c>
      <c r="Q445">
        <v>33.119999999999997</v>
      </c>
    </row>
    <row r="446" spans="1:17" x14ac:dyDescent="0.25">
      <c r="A446">
        <v>18826346</v>
      </c>
      <c r="B446">
        <v>904788</v>
      </c>
      <c r="C446" t="s">
        <v>238</v>
      </c>
      <c r="E446" t="str">
        <f>"3491955531287"</f>
        <v>3491955531287</v>
      </c>
      <c r="F446" t="str">
        <f>"3491955957391"</f>
        <v>3491955957391</v>
      </c>
      <c r="H446" t="s">
        <v>899</v>
      </c>
      <c r="I446">
        <v>1</v>
      </c>
      <c r="J446">
        <v>2</v>
      </c>
      <c r="K446">
        <v>2</v>
      </c>
      <c r="L446">
        <v>2.6</v>
      </c>
      <c r="M446">
        <v>2.34</v>
      </c>
      <c r="N446">
        <v>10.54</v>
      </c>
      <c r="O446">
        <v>21.08</v>
      </c>
      <c r="P446">
        <v>14.1</v>
      </c>
      <c r="Q446">
        <v>28.2</v>
      </c>
    </row>
    <row r="447" spans="1:17" x14ac:dyDescent="0.25">
      <c r="A447">
        <v>18826346</v>
      </c>
      <c r="B447">
        <v>907298</v>
      </c>
      <c r="C447" t="s">
        <v>239</v>
      </c>
      <c r="E447" t="str">
        <f>"5420023187642"</f>
        <v>5420023187642</v>
      </c>
      <c r="H447" t="s">
        <v>839</v>
      </c>
      <c r="I447">
        <v>1</v>
      </c>
      <c r="J447">
        <v>2</v>
      </c>
      <c r="K447">
        <v>2</v>
      </c>
      <c r="L447">
        <v>4.3</v>
      </c>
      <c r="M447">
        <v>3.87</v>
      </c>
      <c r="N447">
        <v>38.408999999999999</v>
      </c>
      <c r="O447">
        <v>76.817999999999998</v>
      </c>
      <c r="P447">
        <v>26.8</v>
      </c>
      <c r="Q447">
        <v>53.6</v>
      </c>
    </row>
    <row r="448" spans="1:17" x14ac:dyDescent="0.25">
      <c r="A448">
        <v>18826346</v>
      </c>
      <c r="B448">
        <v>1002963</v>
      </c>
      <c r="C448" t="s">
        <v>240</v>
      </c>
      <c r="E448" t="str">
        <f>"2018205446125"</f>
        <v>2018205446125</v>
      </c>
      <c r="F448" t="str">
        <f>"5420023193605"</f>
        <v>5420023193605</v>
      </c>
      <c r="H448" t="s">
        <v>837</v>
      </c>
      <c r="I448">
        <v>8</v>
      </c>
      <c r="J448">
        <v>1</v>
      </c>
      <c r="K448">
        <v>8</v>
      </c>
      <c r="L448">
        <v>1.8480000000000001</v>
      </c>
      <c r="M448">
        <v>1.663</v>
      </c>
      <c r="N448">
        <v>2.4390000000000001</v>
      </c>
      <c r="O448">
        <v>19.512</v>
      </c>
      <c r="P448">
        <v>1.74</v>
      </c>
      <c r="Q448">
        <v>13.92</v>
      </c>
    </row>
    <row r="449" spans="1:17" x14ac:dyDescent="0.25">
      <c r="A449">
        <v>18826346</v>
      </c>
      <c r="B449">
        <v>965227</v>
      </c>
      <c r="C449" t="s">
        <v>241</v>
      </c>
      <c r="E449" t="str">
        <f>"4891813881308"</f>
        <v>4891813881308</v>
      </c>
      <c r="F449" t="str">
        <f>"4891813880738"</f>
        <v>4891813880738</v>
      </c>
      <c r="G449" t="str">
        <f>"4891813881100"</f>
        <v>4891813881100</v>
      </c>
      <c r="H449" t="s">
        <v>839</v>
      </c>
      <c r="I449">
        <v>8</v>
      </c>
      <c r="J449">
        <v>1</v>
      </c>
      <c r="K449">
        <v>8</v>
      </c>
      <c r="L449">
        <v>1.256</v>
      </c>
      <c r="M449">
        <v>1.1299999999999999</v>
      </c>
      <c r="N449">
        <v>1.2250000000000001</v>
      </c>
      <c r="O449">
        <v>9.8000000000000007</v>
      </c>
      <c r="P449">
        <v>5.08</v>
      </c>
      <c r="Q449">
        <v>40.64</v>
      </c>
    </row>
    <row r="450" spans="1:17" x14ac:dyDescent="0.25">
      <c r="A450">
        <v>18826346</v>
      </c>
      <c r="B450">
        <v>757125</v>
      </c>
      <c r="C450" t="s">
        <v>242</v>
      </c>
      <c r="E450" t="str">
        <f>"5420023188243"</f>
        <v>5420023188243</v>
      </c>
      <c r="F450" t="str">
        <f>"2000006849038"</f>
        <v>2000006849038</v>
      </c>
      <c r="H450" t="s">
        <v>872</v>
      </c>
      <c r="I450">
        <v>6</v>
      </c>
      <c r="J450">
        <v>1</v>
      </c>
      <c r="K450">
        <v>6</v>
      </c>
      <c r="L450">
        <v>0.69599999999999995</v>
      </c>
      <c r="M450">
        <v>0.626</v>
      </c>
      <c r="N450">
        <v>1.86</v>
      </c>
      <c r="O450">
        <v>11.16</v>
      </c>
      <c r="P450">
        <v>2.58</v>
      </c>
      <c r="Q450">
        <v>15.48</v>
      </c>
    </row>
    <row r="451" spans="1:17" x14ac:dyDescent="0.25">
      <c r="A451">
        <v>18826346</v>
      </c>
      <c r="B451">
        <v>992382</v>
      </c>
      <c r="C451" t="s">
        <v>243</v>
      </c>
      <c r="E451" t="str">
        <f>"778988424803"</f>
        <v>778988424803</v>
      </c>
      <c r="F451" t="str">
        <f>"778988345863"</f>
        <v>778988345863</v>
      </c>
      <c r="H451" t="s">
        <v>901</v>
      </c>
      <c r="I451">
        <v>6</v>
      </c>
      <c r="J451">
        <v>1</v>
      </c>
      <c r="K451">
        <v>6</v>
      </c>
      <c r="L451">
        <v>2.04</v>
      </c>
      <c r="M451">
        <v>1.8360000000000001</v>
      </c>
      <c r="N451">
        <v>0.77400000000000002</v>
      </c>
      <c r="O451">
        <v>4.6440000000000001</v>
      </c>
      <c r="P451">
        <v>7.76</v>
      </c>
      <c r="Q451">
        <v>46.56</v>
      </c>
    </row>
    <row r="452" spans="1:17" x14ac:dyDescent="0.25">
      <c r="A452">
        <v>18826346</v>
      </c>
      <c r="B452">
        <v>962853</v>
      </c>
      <c r="C452" t="s">
        <v>244</v>
      </c>
      <c r="E452" t="str">
        <f>"778988375402"</f>
        <v>778988375402</v>
      </c>
      <c r="H452" t="s">
        <v>902</v>
      </c>
      <c r="I452">
        <v>4</v>
      </c>
      <c r="J452">
        <v>1</v>
      </c>
      <c r="K452">
        <v>4</v>
      </c>
      <c r="L452">
        <v>1.8</v>
      </c>
      <c r="M452">
        <v>1.62</v>
      </c>
      <c r="N452">
        <v>3.8719999999999999</v>
      </c>
      <c r="O452">
        <v>15.488</v>
      </c>
      <c r="P452">
        <v>15.98</v>
      </c>
      <c r="Q452">
        <v>63.92</v>
      </c>
    </row>
    <row r="453" spans="1:17" x14ac:dyDescent="0.25">
      <c r="A453">
        <v>18826346</v>
      </c>
      <c r="B453">
        <v>992365</v>
      </c>
      <c r="C453" t="s">
        <v>245</v>
      </c>
      <c r="E453" t="str">
        <f>"778988380314"</f>
        <v>778988380314</v>
      </c>
      <c r="H453" t="s">
        <v>902</v>
      </c>
      <c r="I453">
        <v>4</v>
      </c>
      <c r="J453">
        <v>1</v>
      </c>
      <c r="K453">
        <v>4</v>
      </c>
      <c r="L453">
        <v>1.8</v>
      </c>
      <c r="M453">
        <v>1.62</v>
      </c>
      <c r="N453">
        <v>3.8719999999999999</v>
      </c>
      <c r="O453">
        <v>15.488</v>
      </c>
      <c r="P453">
        <v>15.98</v>
      </c>
      <c r="Q453">
        <v>63.92</v>
      </c>
    </row>
    <row r="454" spans="1:17" x14ac:dyDescent="0.25">
      <c r="A454">
        <v>18826346</v>
      </c>
      <c r="B454">
        <v>992381</v>
      </c>
      <c r="C454" t="s">
        <v>246</v>
      </c>
      <c r="E454" t="str">
        <f>"778988380307"</f>
        <v>778988380307</v>
      </c>
      <c r="H454" t="s">
        <v>902</v>
      </c>
      <c r="I454">
        <v>4</v>
      </c>
      <c r="J454">
        <v>1</v>
      </c>
      <c r="K454">
        <v>4</v>
      </c>
      <c r="L454">
        <v>1.8</v>
      </c>
      <c r="M454">
        <v>1.62</v>
      </c>
      <c r="N454">
        <v>3.8719999999999999</v>
      </c>
      <c r="O454">
        <v>15.488</v>
      </c>
      <c r="P454">
        <v>15.98</v>
      </c>
      <c r="Q454">
        <v>63.92</v>
      </c>
    </row>
    <row r="455" spans="1:17" x14ac:dyDescent="0.25">
      <c r="A455">
        <v>18826346</v>
      </c>
      <c r="B455">
        <v>1007228</v>
      </c>
      <c r="C455" t="s">
        <v>247</v>
      </c>
      <c r="E455" t="str">
        <f>"820650555312"</f>
        <v>820650555312</v>
      </c>
      <c r="H455" t="s">
        <v>840</v>
      </c>
      <c r="I455">
        <v>6</v>
      </c>
      <c r="J455">
        <v>2</v>
      </c>
      <c r="K455">
        <v>12</v>
      </c>
      <c r="L455">
        <v>1.992</v>
      </c>
      <c r="M455">
        <v>1.7929999999999999</v>
      </c>
      <c r="N455">
        <v>3.5840000000000001</v>
      </c>
      <c r="O455">
        <v>43.008000000000003</v>
      </c>
      <c r="P455">
        <v>13.06</v>
      </c>
      <c r="Q455">
        <v>156.72</v>
      </c>
    </row>
    <row r="456" spans="1:17" x14ac:dyDescent="0.25">
      <c r="A456">
        <v>18826346</v>
      </c>
      <c r="B456">
        <v>759346</v>
      </c>
      <c r="C456" t="s">
        <v>248</v>
      </c>
      <c r="E456" t="str">
        <f>"3491953973492"</f>
        <v>3491953973492</v>
      </c>
      <c r="F456" t="str">
        <f>"8710675063027"</f>
        <v>8710675063027</v>
      </c>
      <c r="G456" t="str">
        <f>"8710675212395"</f>
        <v>8710675212395</v>
      </c>
      <c r="H456" t="s">
        <v>843</v>
      </c>
      <c r="I456">
        <v>60</v>
      </c>
      <c r="J456">
        <v>1</v>
      </c>
      <c r="K456">
        <v>60</v>
      </c>
      <c r="L456">
        <v>6.24</v>
      </c>
      <c r="M456">
        <v>5.6159999999999997</v>
      </c>
      <c r="N456">
        <v>0.79200000000000004</v>
      </c>
      <c r="O456">
        <v>47.52</v>
      </c>
      <c r="P456">
        <v>0.23</v>
      </c>
      <c r="Q456">
        <v>13.8</v>
      </c>
    </row>
    <row r="457" spans="1:17" x14ac:dyDescent="0.25">
      <c r="A457">
        <v>18834498</v>
      </c>
      <c r="B457">
        <v>907272</v>
      </c>
      <c r="C457" t="s">
        <v>249</v>
      </c>
      <c r="E457" t="str">
        <f>"5420023168207"</f>
        <v>5420023168207</v>
      </c>
      <c r="H457" t="s">
        <v>787</v>
      </c>
      <c r="I457">
        <v>1</v>
      </c>
      <c r="J457">
        <v>4</v>
      </c>
      <c r="K457">
        <v>4</v>
      </c>
      <c r="L457">
        <v>3.3319999999999999</v>
      </c>
      <c r="M457">
        <v>2.9990000000000001</v>
      </c>
      <c r="N457">
        <v>11.292999999999999</v>
      </c>
      <c r="O457">
        <v>45.171999999999997</v>
      </c>
      <c r="P457">
        <v>7.41</v>
      </c>
      <c r="Q457">
        <v>29.64</v>
      </c>
    </row>
    <row r="458" spans="1:17" x14ac:dyDescent="0.25">
      <c r="A458">
        <v>18834498</v>
      </c>
      <c r="B458">
        <v>991740</v>
      </c>
      <c r="C458" t="s">
        <v>250</v>
      </c>
      <c r="E458" t="str">
        <f>"3491955954888"</f>
        <v>3491955954888</v>
      </c>
      <c r="H458" t="s">
        <v>903</v>
      </c>
      <c r="I458">
        <v>1</v>
      </c>
      <c r="J458">
        <v>2</v>
      </c>
      <c r="K458">
        <v>2</v>
      </c>
      <c r="L458">
        <v>2.1</v>
      </c>
      <c r="M458">
        <v>1.89</v>
      </c>
      <c r="N458">
        <v>0.41699999999999998</v>
      </c>
      <c r="O458">
        <v>0.83399999999999996</v>
      </c>
      <c r="P458">
        <v>5.38</v>
      </c>
      <c r="Q458">
        <v>10.76</v>
      </c>
    </row>
    <row r="459" spans="1:17" x14ac:dyDescent="0.25">
      <c r="A459">
        <v>18834498</v>
      </c>
      <c r="B459">
        <v>1007939</v>
      </c>
      <c r="C459" t="s">
        <v>251</v>
      </c>
      <c r="E459" t="str">
        <f>"8411865025442"</f>
        <v>8411865025442</v>
      </c>
      <c r="H459" t="s">
        <v>786</v>
      </c>
      <c r="I459">
        <v>1</v>
      </c>
      <c r="J459">
        <v>3</v>
      </c>
      <c r="K459">
        <v>3</v>
      </c>
      <c r="L459">
        <v>1.8</v>
      </c>
      <c r="M459">
        <v>1.62</v>
      </c>
      <c r="N459">
        <v>7.7279999999999998</v>
      </c>
      <c r="O459">
        <v>23.184000000000001</v>
      </c>
      <c r="P459">
        <v>6.09</v>
      </c>
      <c r="Q459">
        <v>18.27</v>
      </c>
    </row>
    <row r="460" spans="1:17" x14ac:dyDescent="0.25">
      <c r="A460">
        <v>18834498</v>
      </c>
      <c r="B460">
        <v>952880</v>
      </c>
      <c r="C460" t="s">
        <v>252</v>
      </c>
      <c r="E460" t="str">
        <f>"3491955643447"</f>
        <v>3491955643447</v>
      </c>
      <c r="H460" t="s">
        <v>837</v>
      </c>
      <c r="I460">
        <v>6</v>
      </c>
      <c r="J460">
        <v>2</v>
      </c>
      <c r="K460">
        <v>12</v>
      </c>
      <c r="L460">
        <v>11.4</v>
      </c>
      <c r="M460">
        <v>10.26</v>
      </c>
      <c r="N460">
        <v>7.48</v>
      </c>
      <c r="O460">
        <v>89.76</v>
      </c>
      <c r="P460">
        <v>4.6100000000000003</v>
      </c>
      <c r="Q460">
        <v>55.32</v>
      </c>
    </row>
    <row r="461" spans="1:17" x14ac:dyDescent="0.25">
      <c r="A461">
        <v>18834498</v>
      </c>
      <c r="B461">
        <v>994369</v>
      </c>
      <c r="C461" t="s">
        <v>253</v>
      </c>
      <c r="E461" t="str">
        <f>"4891813810124"</f>
        <v>4891813810124</v>
      </c>
      <c r="H461" t="s">
        <v>839</v>
      </c>
      <c r="I461">
        <v>1</v>
      </c>
      <c r="J461">
        <v>2</v>
      </c>
      <c r="K461">
        <v>2</v>
      </c>
      <c r="L461">
        <v>2.2919999999999998</v>
      </c>
      <c r="M461">
        <v>2.0630000000000002</v>
      </c>
      <c r="N461">
        <v>17.100000000000001</v>
      </c>
      <c r="O461">
        <v>34.200000000000003</v>
      </c>
      <c r="P461">
        <v>20.25</v>
      </c>
      <c r="Q461">
        <v>40.5</v>
      </c>
    </row>
    <row r="462" spans="1:17" x14ac:dyDescent="0.25">
      <c r="A462">
        <v>18834498</v>
      </c>
      <c r="B462">
        <v>907292</v>
      </c>
      <c r="C462" t="s">
        <v>254</v>
      </c>
      <c r="E462" t="str">
        <f>"5420023188090"</f>
        <v>5420023188090</v>
      </c>
      <c r="H462" t="s">
        <v>904</v>
      </c>
      <c r="I462">
        <v>6</v>
      </c>
      <c r="J462">
        <v>1</v>
      </c>
      <c r="K462">
        <v>6</v>
      </c>
      <c r="L462">
        <v>12</v>
      </c>
      <c r="M462">
        <v>10.8</v>
      </c>
      <c r="N462">
        <v>14.933</v>
      </c>
      <c r="O462">
        <v>89.597999999999999</v>
      </c>
      <c r="P462">
        <v>4.76</v>
      </c>
      <c r="Q462">
        <v>28.56</v>
      </c>
    </row>
    <row r="463" spans="1:17" x14ac:dyDescent="0.25">
      <c r="A463">
        <v>18834498</v>
      </c>
      <c r="B463">
        <v>907285</v>
      </c>
      <c r="C463" t="s">
        <v>255</v>
      </c>
      <c r="E463" t="str">
        <f>"5420023187253"</f>
        <v>5420023187253</v>
      </c>
      <c r="H463" t="s">
        <v>786</v>
      </c>
      <c r="I463">
        <v>1</v>
      </c>
      <c r="J463">
        <v>2</v>
      </c>
      <c r="K463">
        <v>2</v>
      </c>
      <c r="L463">
        <v>1.244</v>
      </c>
      <c r="M463">
        <v>1.1200000000000001</v>
      </c>
      <c r="N463">
        <v>7.492</v>
      </c>
      <c r="O463">
        <v>14.984</v>
      </c>
      <c r="P463">
        <v>5.0199999999999996</v>
      </c>
      <c r="Q463">
        <v>10.039999999999999</v>
      </c>
    </row>
    <row r="464" spans="1:17" x14ac:dyDescent="0.25">
      <c r="A464">
        <v>18834498</v>
      </c>
      <c r="B464">
        <v>991742</v>
      </c>
      <c r="C464" t="s">
        <v>256</v>
      </c>
      <c r="E464" t="str">
        <f>"341955947744"</f>
        <v>341955947744</v>
      </c>
      <c r="F464" t="str">
        <f>"3491955947743"</f>
        <v>3491955947743</v>
      </c>
      <c r="H464" t="s">
        <v>904</v>
      </c>
      <c r="I464">
        <v>1</v>
      </c>
      <c r="J464">
        <v>2</v>
      </c>
      <c r="K464">
        <v>2</v>
      </c>
      <c r="L464">
        <v>1.6</v>
      </c>
      <c r="M464">
        <v>1.44</v>
      </c>
      <c r="N464">
        <v>2.403</v>
      </c>
      <c r="O464">
        <v>4.806</v>
      </c>
      <c r="P464">
        <v>4.8499999999999996</v>
      </c>
      <c r="Q464">
        <v>9.6999999999999993</v>
      </c>
    </row>
    <row r="465" spans="1:17" x14ac:dyDescent="0.25">
      <c r="A465">
        <v>18834498</v>
      </c>
      <c r="B465">
        <v>907286</v>
      </c>
      <c r="C465" t="s">
        <v>257</v>
      </c>
      <c r="E465" t="str">
        <f>"5420023187376"</f>
        <v>5420023187376</v>
      </c>
      <c r="F465" t="str">
        <f>"5420023190772"</f>
        <v>5420023190772</v>
      </c>
      <c r="H465" t="s">
        <v>839</v>
      </c>
      <c r="I465">
        <v>1</v>
      </c>
      <c r="J465">
        <v>3</v>
      </c>
      <c r="K465">
        <v>3</v>
      </c>
      <c r="L465">
        <v>2.5499999999999998</v>
      </c>
      <c r="M465">
        <v>2.2949999999999999</v>
      </c>
      <c r="N465">
        <v>10.125999999999999</v>
      </c>
      <c r="O465">
        <v>30.378</v>
      </c>
      <c r="P465">
        <v>11.15</v>
      </c>
      <c r="Q465">
        <v>33.450000000000003</v>
      </c>
    </row>
    <row r="466" spans="1:17" x14ac:dyDescent="0.25">
      <c r="A466">
        <v>18834498</v>
      </c>
      <c r="B466">
        <v>982522</v>
      </c>
      <c r="C466" t="s">
        <v>258</v>
      </c>
      <c r="E466" t="str">
        <f>"887961612042"</f>
        <v>887961612042</v>
      </c>
      <c r="H466" t="s">
        <v>837</v>
      </c>
      <c r="I466">
        <v>2</v>
      </c>
      <c r="J466">
        <v>1</v>
      </c>
      <c r="K466">
        <v>2</v>
      </c>
      <c r="L466">
        <v>1.5</v>
      </c>
      <c r="M466">
        <v>1.35</v>
      </c>
      <c r="N466">
        <v>15.282999999999999</v>
      </c>
      <c r="O466">
        <v>30.565999999999999</v>
      </c>
      <c r="P466">
        <v>16.329999999999998</v>
      </c>
      <c r="Q466">
        <v>32.659999999999997</v>
      </c>
    </row>
    <row r="467" spans="1:17" x14ac:dyDescent="0.25">
      <c r="A467">
        <v>18834498</v>
      </c>
      <c r="B467">
        <v>991741</v>
      </c>
      <c r="C467" t="s">
        <v>259</v>
      </c>
      <c r="E467" t="str">
        <f>"3491955658076"</f>
        <v>3491955658076</v>
      </c>
      <c r="H467" t="s">
        <v>837</v>
      </c>
      <c r="I467">
        <v>1</v>
      </c>
      <c r="J467">
        <v>2</v>
      </c>
      <c r="K467">
        <v>2</v>
      </c>
      <c r="L467">
        <v>1.1539999999999999</v>
      </c>
      <c r="M467">
        <v>1.0389999999999999</v>
      </c>
      <c r="N467">
        <v>3.9</v>
      </c>
      <c r="O467">
        <v>7.8</v>
      </c>
      <c r="P467">
        <v>5.37</v>
      </c>
      <c r="Q467">
        <v>10.74</v>
      </c>
    </row>
    <row r="468" spans="1:17" x14ac:dyDescent="0.25">
      <c r="A468">
        <v>18834498</v>
      </c>
      <c r="B468">
        <v>909861</v>
      </c>
      <c r="C468" t="s">
        <v>260</v>
      </c>
      <c r="E468" t="str">
        <f>"8711808310308"</f>
        <v>8711808310308</v>
      </c>
      <c r="H468" t="s">
        <v>837</v>
      </c>
      <c r="I468">
        <v>1</v>
      </c>
      <c r="J468">
        <v>2</v>
      </c>
      <c r="K468">
        <v>2</v>
      </c>
      <c r="L468">
        <v>1.4</v>
      </c>
      <c r="M468">
        <v>1.26</v>
      </c>
      <c r="N468">
        <v>9.6</v>
      </c>
      <c r="O468">
        <v>19.2</v>
      </c>
      <c r="P468">
        <v>12.58</v>
      </c>
      <c r="Q468">
        <v>25.16</v>
      </c>
    </row>
    <row r="469" spans="1:17" x14ac:dyDescent="0.25">
      <c r="A469">
        <v>18834498</v>
      </c>
      <c r="B469">
        <v>956079</v>
      </c>
      <c r="C469" t="s">
        <v>261</v>
      </c>
      <c r="E469" t="str">
        <f>"8411865055401"</f>
        <v>8411865055401</v>
      </c>
      <c r="F469" t="str">
        <f>"3491954955558"</f>
        <v>3491954955558</v>
      </c>
      <c r="H469" t="s">
        <v>786</v>
      </c>
      <c r="I469">
        <v>1</v>
      </c>
      <c r="J469">
        <v>2</v>
      </c>
      <c r="K469">
        <v>2</v>
      </c>
      <c r="L469">
        <v>1.44</v>
      </c>
      <c r="M469">
        <v>1.296</v>
      </c>
      <c r="N469">
        <v>9.7200000000000006</v>
      </c>
      <c r="O469">
        <v>19.440000000000001</v>
      </c>
      <c r="P469">
        <v>7.61</v>
      </c>
      <c r="Q469">
        <v>15.22</v>
      </c>
    </row>
    <row r="470" spans="1:17" x14ac:dyDescent="0.25">
      <c r="A470">
        <v>18834498</v>
      </c>
      <c r="B470">
        <v>907265</v>
      </c>
      <c r="C470" t="s">
        <v>262</v>
      </c>
      <c r="E470" t="str">
        <f>"5420023187918"</f>
        <v>5420023187918</v>
      </c>
      <c r="H470" t="s">
        <v>787</v>
      </c>
      <c r="I470">
        <v>1</v>
      </c>
      <c r="J470">
        <v>2</v>
      </c>
      <c r="K470">
        <v>2</v>
      </c>
      <c r="L470">
        <v>1.222</v>
      </c>
      <c r="M470">
        <v>1.1000000000000001</v>
      </c>
      <c r="N470">
        <v>5.7350000000000003</v>
      </c>
      <c r="O470">
        <v>11.47</v>
      </c>
      <c r="P470">
        <v>4.51</v>
      </c>
      <c r="Q470">
        <v>9.02</v>
      </c>
    </row>
    <row r="471" spans="1:17" x14ac:dyDescent="0.25">
      <c r="A471">
        <v>18834498</v>
      </c>
      <c r="B471">
        <v>991751</v>
      </c>
      <c r="C471" t="s">
        <v>263</v>
      </c>
      <c r="E471" t="str">
        <f>"3491955953812"</f>
        <v>3491955953812</v>
      </c>
      <c r="F471" t="str">
        <f>"3491955952815"</f>
        <v>3491955952815</v>
      </c>
      <c r="H471" t="s">
        <v>904</v>
      </c>
      <c r="I471">
        <v>1</v>
      </c>
      <c r="J471">
        <v>2</v>
      </c>
      <c r="K471">
        <v>2</v>
      </c>
      <c r="L471">
        <v>0.64400000000000002</v>
      </c>
      <c r="M471">
        <v>0.57999999999999996</v>
      </c>
      <c r="N471">
        <v>0.85</v>
      </c>
      <c r="O471">
        <v>1.7</v>
      </c>
      <c r="P471">
        <v>3.07</v>
      </c>
      <c r="Q471">
        <v>6.14</v>
      </c>
    </row>
    <row r="472" spans="1:17" x14ac:dyDescent="0.25">
      <c r="A472">
        <v>18834498</v>
      </c>
      <c r="B472">
        <v>976055</v>
      </c>
      <c r="C472" t="s">
        <v>264</v>
      </c>
      <c r="E472" t="str">
        <f>"5420023187161"</f>
        <v>5420023187161</v>
      </c>
      <c r="H472" t="s">
        <v>872</v>
      </c>
      <c r="I472">
        <v>1</v>
      </c>
      <c r="J472">
        <v>2</v>
      </c>
      <c r="K472">
        <v>2</v>
      </c>
      <c r="L472">
        <v>1.32</v>
      </c>
      <c r="M472">
        <v>1.1879999999999999</v>
      </c>
      <c r="N472">
        <v>11.506</v>
      </c>
      <c r="O472">
        <v>23.012</v>
      </c>
      <c r="P472">
        <v>9.83</v>
      </c>
      <c r="Q472">
        <v>19.66</v>
      </c>
    </row>
    <row r="473" spans="1:17" x14ac:dyDescent="0.25">
      <c r="A473">
        <v>18834498</v>
      </c>
      <c r="B473">
        <v>392025</v>
      </c>
      <c r="C473" t="s">
        <v>265</v>
      </c>
      <c r="E473" t="str">
        <f>"5420023188175"</f>
        <v>5420023188175</v>
      </c>
      <c r="F473" t="str">
        <f>"6918110300115"</f>
        <v>6918110300115</v>
      </c>
      <c r="G473" t="str">
        <f>"2090001145846"</f>
        <v>2090001145846</v>
      </c>
      <c r="H473" t="s">
        <v>837</v>
      </c>
      <c r="I473">
        <v>6</v>
      </c>
      <c r="J473">
        <v>1</v>
      </c>
      <c r="K473">
        <v>6</v>
      </c>
      <c r="L473">
        <v>3</v>
      </c>
      <c r="M473">
        <v>2.7</v>
      </c>
      <c r="N473">
        <v>7.093</v>
      </c>
      <c r="O473">
        <v>42.558</v>
      </c>
      <c r="P473">
        <v>4.1900000000000004</v>
      </c>
      <c r="Q473">
        <v>25.14</v>
      </c>
    </row>
    <row r="474" spans="1:17" x14ac:dyDescent="0.25">
      <c r="A474">
        <v>18834498</v>
      </c>
      <c r="B474">
        <v>1007952</v>
      </c>
      <c r="C474" t="s">
        <v>266</v>
      </c>
      <c r="E474" t="str">
        <f>"8411865026920"</f>
        <v>8411865026920</v>
      </c>
      <c r="H474" t="s">
        <v>786</v>
      </c>
      <c r="I474">
        <v>1</v>
      </c>
      <c r="J474">
        <v>2</v>
      </c>
      <c r="K474">
        <v>2</v>
      </c>
      <c r="L474">
        <v>2</v>
      </c>
      <c r="M474">
        <v>1.8</v>
      </c>
      <c r="N474">
        <v>8.0640000000000001</v>
      </c>
      <c r="O474">
        <v>16.128</v>
      </c>
      <c r="P474">
        <v>6.09</v>
      </c>
      <c r="Q474">
        <v>12.18</v>
      </c>
    </row>
    <row r="475" spans="1:17" x14ac:dyDescent="0.25">
      <c r="A475">
        <v>18834498</v>
      </c>
      <c r="B475">
        <v>991735</v>
      </c>
      <c r="C475" t="s">
        <v>267</v>
      </c>
      <c r="E475" t="str">
        <f>"3491955954406"</f>
        <v>3491955954406</v>
      </c>
      <c r="H475" t="s">
        <v>903</v>
      </c>
      <c r="I475">
        <v>1</v>
      </c>
      <c r="J475">
        <v>2</v>
      </c>
      <c r="K475">
        <v>2</v>
      </c>
      <c r="L475">
        <v>0.96599999999999997</v>
      </c>
      <c r="M475">
        <v>0.86899999999999999</v>
      </c>
      <c r="N475">
        <v>2.6059999999999999</v>
      </c>
      <c r="O475">
        <v>5.2119999999999997</v>
      </c>
      <c r="P475">
        <v>6.11</v>
      </c>
      <c r="Q475">
        <v>12.22</v>
      </c>
    </row>
    <row r="476" spans="1:17" x14ac:dyDescent="0.25">
      <c r="A476">
        <v>18834498</v>
      </c>
      <c r="B476">
        <v>952873</v>
      </c>
      <c r="C476" t="s">
        <v>268</v>
      </c>
      <c r="E476" t="str">
        <f>"3491955635411"</f>
        <v>3491955635411</v>
      </c>
      <c r="H476" t="s">
        <v>905</v>
      </c>
      <c r="I476">
        <v>6</v>
      </c>
      <c r="J476">
        <v>1</v>
      </c>
      <c r="K476">
        <v>6</v>
      </c>
      <c r="L476">
        <v>18.995999999999999</v>
      </c>
      <c r="M476">
        <v>17.096</v>
      </c>
      <c r="N476">
        <v>23.74</v>
      </c>
      <c r="O476">
        <v>142.44</v>
      </c>
      <c r="P476">
        <v>20.59</v>
      </c>
      <c r="Q476">
        <v>123.54</v>
      </c>
    </row>
    <row r="477" spans="1:17" x14ac:dyDescent="0.25">
      <c r="A477">
        <v>18834498</v>
      </c>
      <c r="B477">
        <v>1005564</v>
      </c>
      <c r="C477" t="s">
        <v>269</v>
      </c>
      <c r="E477" t="str">
        <f>"8410446311172"</f>
        <v>8410446311172</v>
      </c>
      <c r="H477" t="s">
        <v>906</v>
      </c>
      <c r="I477">
        <v>1</v>
      </c>
      <c r="J477">
        <v>2</v>
      </c>
      <c r="K477">
        <v>2</v>
      </c>
      <c r="L477">
        <v>1.6659999999999999</v>
      </c>
      <c r="M477">
        <v>1.4990000000000001</v>
      </c>
      <c r="N477">
        <v>3.5</v>
      </c>
      <c r="O477">
        <v>7</v>
      </c>
      <c r="P477">
        <v>14.72</v>
      </c>
      <c r="Q477">
        <v>29.44</v>
      </c>
    </row>
    <row r="478" spans="1:17" x14ac:dyDescent="0.25">
      <c r="A478">
        <v>18834498</v>
      </c>
      <c r="B478">
        <v>991750</v>
      </c>
      <c r="C478" t="s">
        <v>270</v>
      </c>
      <c r="E478" t="str">
        <f>"3491955954192"</f>
        <v>3491955954192</v>
      </c>
      <c r="H478" t="s">
        <v>903</v>
      </c>
      <c r="I478">
        <v>1</v>
      </c>
      <c r="J478">
        <v>2</v>
      </c>
      <c r="K478">
        <v>2</v>
      </c>
      <c r="L478">
        <v>1.3</v>
      </c>
      <c r="M478">
        <v>1.17</v>
      </c>
      <c r="N478">
        <v>4.0949999999999998</v>
      </c>
      <c r="O478">
        <v>8.19</v>
      </c>
      <c r="P478">
        <v>5.53</v>
      </c>
      <c r="Q478">
        <v>11.06</v>
      </c>
    </row>
    <row r="479" spans="1:17" x14ac:dyDescent="0.25">
      <c r="A479">
        <v>18834498</v>
      </c>
      <c r="B479">
        <v>907323</v>
      </c>
      <c r="C479" t="s">
        <v>271</v>
      </c>
      <c r="E479" t="str">
        <f>"5420023187802"</f>
        <v>5420023187802</v>
      </c>
      <c r="H479" t="s">
        <v>787</v>
      </c>
      <c r="I479">
        <v>1</v>
      </c>
      <c r="J479">
        <v>4</v>
      </c>
      <c r="K479">
        <v>4</v>
      </c>
      <c r="L479">
        <v>0.33200000000000002</v>
      </c>
      <c r="M479">
        <v>0.29899999999999999</v>
      </c>
      <c r="N479">
        <v>8.1370000000000005</v>
      </c>
      <c r="O479">
        <v>32.548000000000002</v>
      </c>
      <c r="P479">
        <v>7.97</v>
      </c>
      <c r="Q479">
        <v>31.88</v>
      </c>
    </row>
    <row r="480" spans="1:17" x14ac:dyDescent="0.25">
      <c r="A480">
        <v>18834498</v>
      </c>
      <c r="B480">
        <v>952877</v>
      </c>
      <c r="C480" t="s">
        <v>272</v>
      </c>
      <c r="E480" t="str">
        <f>"3491955658038"</f>
        <v>3491955658038</v>
      </c>
      <c r="H480" t="s">
        <v>787</v>
      </c>
      <c r="I480">
        <v>1</v>
      </c>
      <c r="J480">
        <v>6</v>
      </c>
      <c r="K480">
        <v>6</v>
      </c>
      <c r="L480">
        <v>3.996</v>
      </c>
      <c r="M480">
        <v>3.5960000000000001</v>
      </c>
      <c r="N480">
        <v>2.625</v>
      </c>
      <c r="O480">
        <v>15.75</v>
      </c>
      <c r="P480">
        <v>5.52</v>
      </c>
      <c r="Q480">
        <v>33.119999999999997</v>
      </c>
    </row>
    <row r="481" spans="1:17" x14ac:dyDescent="0.25">
      <c r="A481">
        <v>18834498</v>
      </c>
      <c r="B481">
        <v>712678</v>
      </c>
      <c r="C481" t="s">
        <v>273</v>
      </c>
      <c r="E481" t="str">
        <f>"8008324091621"</f>
        <v>8008324091621</v>
      </c>
      <c r="F481" t="str">
        <f>"8008324066315"</f>
        <v>8008324066315</v>
      </c>
      <c r="G481" t="str">
        <f>"8008324080502"</f>
        <v>8008324080502</v>
      </c>
      <c r="H481" t="s">
        <v>907</v>
      </c>
      <c r="I481">
        <v>6</v>
      </c>
      <c r="J481">
        <v>1</v>
      </c>
      <c r="K481">
        <v>6</v>
      </c>
      <c r="L481">
        <v>2.9580000000000002</v>
      </c>
      <c r="M481">
        <v>2.6619999999999999</v>
      </c>
      <c r="N481">
        <v>11.76</v>
      </c>
      <c r="O481">
        <v>70.56</v>
      </c>
      <c r="P481">
        <v>6.6</v>
      </c>
      <c r="Q481">
        <v>39.6</v>
      </c>
    </row>
    <row r="482" spans="1:17" x14ac:dyDescent="0.25">
      <c r="A482">
        <v>18834498</v>
      </c>
      <c r="B482">
        <v>952312</v>
      </c>
      <c r="C482" t="s">
        <v>274</v>
      </c>
      <c r="E482" t="str">
        <f>"3491955658434"</f>
        <v>3491955658434</v>
      </c>
      <c r="F482" t="str">
        <f>"3491955541507"</f>
        <v>3491955541507</v>
      </c>
      <c r="H482" t="s">
        <v>837</v>
      </c>
      <c r="I482">
        <v>3</v>
      </c>
      <c r="J482">
        <v>1</v>
      </c>
      <c r="K482">
        <v>3</v>
      </c>
      <c r="L482">
        <v>4.5</v>
      </c>
      <c r="M482">
        <v>4.05</v>
      </c>
      <c r="N482">
        <v>13.708</v>
      </c>
      <c r="O482">
        <v>41.124000000000002</v>
      </c>
      <c r="P482">
        <v>11.54</v>
      </c>
      <c r="Q482">
        <v>34.619999999999997</v>
      </c>
    </row>
    <row r="483" spans="1:17" x14ac:dyDescent="0.25">
      <c r="A483">
        <v>18834498</v>
      </c>
      <c r="B483">
        <v>907260</v>
      </c>
      <c r="C483" t="s">
        <v>275</v>
      </c>
      <c r="E483" t="str">
        <f>"5420023188304"</f>
        <v>5420023188304</v>
      </c>
      <c r="H483" t="s">
        <v>899</v>
      </c>
      <c r="I483">
        <v>6</v>
      </c>
      <c r="J483">
        <v>1</v>
      </c>
      <c r="K483">
        <v>6</v>
      </c>
      <c r="L483">
        <v>2.1</v>
      </c>
      <c r="M483">
        <v>1.89</v>
      </c>
      <c r="N483">
        <v>4.8</v>
      </c>
      <c r="O483">
        <v>28.8</v>
      </c>
      <c r="P483">
        <v>4.66</v>
      </c>
      <c r="Q483">
        <v>27.96</v>
      </c>
    </row>
    <row r="484" spans="1:17" x14ac:dyDescent="0.25">
      <c r="A484">
        <v>18834498</v>
      </c>
      <c r="B484">
        <v>907271</v>
      </c>
      <c r="C484" t="s">
        <v>276</v>
      </c>
      <c r="E484" t="str">
        <f>"5420023187260"</f>
        <v>5420023187260</v>
      </c>
      <c r="H484" t="s">
        <v>787</v>
      </c>
      <c r="I484">
        <v>6</v>
      </c>
      <c r="J484">
        <v>1</v>
      </c>
      <c r="K484">
        <v>6</v>
      </c>
      <c r="L484">
        <v>3.996</v>
      </c>
      <c r="M484">
        <v>3.5960000000000001</v>
      </c>
      <c r="N484">
        <v>7.02</v>
      </c>
      <c r="O484">
        <v>42.12</v>
      </c>
      <c r="P484">
        <v>5.52</v>
      </c>
      <c r="Q484">
        <v>33.119999999999997</v>
      </c>
    </row>
    <row r="485" spans="1:17" x14ac:dyDescent="0.25">
      <c r="A485">
        <v>18834498</v>
      </c>
      <c r="B485">
        <v>612306</v>
      </c>
      <c r="C485" t="s">
        <v>277</v>
      </c>
      <c r="E485" t="str">
        <f>"2000006761767"</f>
        <v>2000006761767</v>
      </c>
      <c r="F485" t="str">
        <f>"6919060730168"</f>
        <v>6919060730168</v>
      </c>
      <c r="G485" t="str">
        <f>"5420023186935"</f>
        <v>5420023186935</v>
      </c>
      <c r="H485" t="s">
        <v>787</v>
      </c>
      <c r="I485">
        <v>6</v>
      </c>
      <c r="J485">
        <v>1</v>
      </c>
      <c r="K485">
        <v>6</v>
      </c>
      <c r="L485">
        <v>10.398</v>
      </c>
      <c r="M485">
        <v>9.3580000000000005</v>
      </c>
      <c r="N485">
        <v>7.6</v>
      </c>
      <c r="O485">
        <v>45.6</v>
      </c>
      <c r="P485">
        <v>5.38</v>
      </c>
      <c r="Q485">
        <v>32.28</v>
      </c>
    </row>
    <row r="486" spans="1:17" x14ac:dyDescent="0.25">
      <c r="A486">
        <v>18834698</v>
      </c>
      <c r="B486">
        <v>919927</v>
      </c>
      <c r="C486" t="s">
        <v>278</v>
      </c>
      <c r="E486" t="str">
        <f>"3395503109969"</f>
        <v>3395503109969</v>
      </c>
      <c r="H486" t="s">
        <v>908</v>
      </c>
      <c r="I486">
        <v>1</v>
      </c>
      <c r="J486">
        <v>14</v>
      </c>
      <c r="K486">
        <v>14</v>
      </c>
      <c r="L486">
        <v>28</v>
      </c>
      <c r="M486">
        <v>25.2</v>
      </c>
      <c r="N486">
        <v>10.101000000000001</v>
      </c>
      <c r="O486">
        <v>141.41399999999999</v>
      </c>
      <c r="P486">
        <v>0.71</v>
      </c>
      <c r="Q486">
        <v>9.94</v>
      </c>
    </row>
    <row r="487" spans="1:17" x14ac:dyDescent="0.25">
      <c r="A487">
        <v>18834698</v>
      </c>
      <c r="B487">
        <v>275282</v>
      </c>
      <c r="C487" t="s">
        <v>279</v>
      </c>
      <c r="E487" t="str">
        <f>"5413548280585"</f>
        <v>5413548280585</v>
      </c>
      <c r="F487" t="str">
        <f>"5413548283128"</f>
        <v>5413548283128</v>
      </c>
      <c r="H487" t="s">
        <v>909</v>
      </c>
      <c r="I487">
        <v>1</v>
      </c>
      <c r="J487">
        <v>1</v>
      </c>
      <c r="K487">
        <v>27</v>
      </c>
      <c r="L487">
        <v>6.0209999999999999</v>
      </c>
      <c r="M487">
        <v>5.4189999999999996</v>
      </c>
      <c r="N487">
        <v>1.333</v>
      </c>
      <c r="O487">
        <v>35.991</v>
      </c>
      <c r="P487">
        <v>2.5099999999999998</v>
      </c>
      <c r="Q487">
        <v>67.77</v>
      </c>
    </row>
    <row r="488" spans="1:17" x14ac:dyDescent="0.25">
      <c r="A488">
        <v>18834698</v>
      </c>
      <c r="B488">
        <v>381193</v>
      </c>
      <c r="C488" t="s">
        <v>280</v>
      </c>
      <c r="E488" t="str">
        <f>"4008400202525"</f>
        <v>4008400202525</v>
      </c>
      <c r="F488">
        <v>80177609</v>
      </c>
      <c r="H488" t="s">
        <v>910</v>
      </c>
      <c r="I488">
        <v>1</v>
      </c>
      <c r="J488">
        <v>1</v>
      </c>
      <c r="K488">
        <v>30</v>
      </c>
      <c r="L488">
        <v>1.8</v>
      </c>
      <c r="M488">
        <v>1.62</v>
      </c>
      <c r="N488">
        <v>9.9000000000000005E-2</v>
      </c>
      <c r="O488">
        <v>2.97</v>
      </c>
      <c r="P488">
        <v>0.45</v>
      </c>
      <c r="Q488">
        <v>13.5</v>
      </c>
    </row>
    <row r="489" spans="1:17" x14ac:dyDescent="0.25">
      <c r="A489">
        <v>18834698</v>
      </c>
      <c r="B489">
        <v>397282</v>
      </c>
      <c r="C489" t="s">
        <v>281</v>
      </c>
      <c r="E489" t="str">
        <f>"8000500141601"</f>
        <v>8000500141601</v>
      </c>
      <c r="H489" t="s">
        <v>911</v>
      </c>
      <c r="I489">
        <v>1</v>
      </c>
      <c r="J489">
        <v>1</v>
      </c>
      <c r="K489">
        <v>24</v>
      </c>
      <c r="L489">
        <v>4.2</v>
      </c>
      <c r="M489">
        <v>3.78</v>
      </c>
      <c r="N489">
        <v>0.309</v>
      </c>
      <c r="O489">
        <v>7.4160000000000004</v>
      </c>
      <c r="P489">
        <v>1.48</v>
      </c>
      <c r="Q489">
        <v>35.520000000000003</v>
      </c>
    </row>
    <row r="490" spans="1:17" x14ac:dyDescent="0.25">
      <c r="A490">
        <v>18834698</v>
      </c>
      <c r="B490">
        <v>625297</v>
      </c>
      <c r="C490" t="s">
        <v>282</v>
      </c>
      <c r="E490" t="str">
        <f>"4008400240527"</f>
        <v>4008400240527</v>
      </c>
      <c r="H490" t="s">
        <v>912</v>
      </c>
      <c r="I490">
        <v>1</v>
      </c>
      <c r="J490">
        <v>1</v>
      </c>
      <c r="K490">
        <v>40</v>
      </c>
      <c r="L490">
        <v>6.92</v>
      </c>
      <c r="M490">
        <v>6.2279999999999998</v>
      </c>
      <c r="N490">
        <v>1.5169999999999999</v>
      </c>
      <c r="O490">
        <v>60.68</v>
      </c>
      <c r="P490">
        <v>2.73</v>
      </c>
      <c r="Q490">
        <v>109.2</v>
      </c>
    </row>
    <row r="491" spans="1:17" x14ac:dyDescent="0.25">
      <c r="A491">
        <v>18834698</v>
      </c>
      <c r="B491">
        <v>681025</v>
      </c>
      <c r="C491" t="s">
        <v>283</v>
      </c>
      <c r="E491" t="str">
        <f>"8000500026731"</f>
        <v>8000500026731</v>
      </c>
      <c r="H491" t="s">
        <v>911</v>
      </c>
      <c r="I491">
        <v>1</v>
      </c>
      <c r="J491">
        <v>1</v>
      </c>
      <c r="K491">
        <v>64</v>
      </c>
      <c r="L491">
        <v>3.7759999999999998</v>
      </c>
      <c r="M491">
        <v>3.3980000000000001</v>
      </c>
      <c r="N491">
        <v>0.44800000000000001</v>
      </c>
      <c r="O491">
        <v>28.672000000000001</v>
      </c>
      <c r="P491">
        <v>2.06</v>
      </c>
      <c r="Q491">
        <v>131.84</v>
      </c>
    </row>
    <row r="492" spans="1:17" x14ac:dyDescent="0.25">
      <c r="A492">
        <v>18834698</v>
      </c>
      <c r="B492">
        <v>913426</v>
      </c>
      <c r="C492" t="s">
        <v>284</v>
      </c>
      <c r="E492" t="str">
        <f>"4008400280127"</f>
        <v>4008400280127</v>
      </c>
      <c r="F492">
        <v>80846116</v>
      </c>
      <c r="H492" t="s">
        <v>912</v>
      </c>
      <c r="I492">
        <v>1</v>
      </c>
      <c r="J492">
        <v>1</v>
      </c>
      <c r="K492">
        <v>14</v>
      </c>
      <c r="L492">
        <v>2.3940000000000001</v>
      </c>
      <c r="M492">
        <v>2.1549999999999998</v>
      </c>
      <c r="N492">
        <v>1.954</v>
      </c>
      <c r="O492">
        <v>27.356000000000002</v>
      </c>
      <c r="P492">
        <v>3.54</v>
      </c>
      <c r="Q492">
        <v>49.56</v>
      </c>
    </row>
    <row r="493" spans="1:17" x14ac:dyDescent="0.25">
      <c r="A493">
        <v>18834698</v>
      </c>
      <c r="B493">
        <v>917555</v>
      </c>
      <c r="C493" t="s">
        <v>285</v>
      </c>
      <c r="E493" t="str">
        <f>"4008400511528"</f>
        <v>4008400511528</v>
      </c>
      <c r="H493" t="s">
        <v>913</v>
      </c>
      <c r="I493">
        <v>1</v>
      </c>
      <c r="J493">
        <v>1</v>
      </c>
      <c r="K493">
        <v>52</v>
      </c>
      <c r="L493">
        <v>2.028</v>
      </c>
      <c r="M493">
        <v>1.825</v>
      </c>
      <c r="N493">
        <v>0.47799999999999998</v>
      </c>
      <c r="O493">
        <v>24.856000000000002</v>
      </c>
      <c r="P493">
        <v>1.34</v>
      </c>
      <c r="Q493">
        <v>69.680000000000007</v>
      </c>
    </row>
    <row r="494" spans="1:17" x14ac:dyDescent="0.25">
      <c r="A494">
        <v>18834698</v>
      </c>
      <c r="B494">
        <v>1015840</v>
      </c>
      <c r="C494" t="s">
        <v>286</v>
      </c>
      <c r="E494">
        <v>80969112</v>
      </c>
      <c r="H494" t="s">
        <v>913</v>
      </c>
      <c r="I494">
        <v>1</v>
      </c>
      <c r="J494">
        <v>1</v>
      </c>
      <c r="K494">
        <v>36</v>
      </c>
      <c r="L494">
        <v>1.8</v>
      </c>
      <c r="M494">
        <v>1.62</v>
      </c>
      <c r="N494">
        <v>0.32500000000000001</v>
      </c>
      <c r="O494">
        <v>11.7</v>
      </c>
      <c r="P494">
        <v>0.86</v>
      </c>
      <c r="Q494">
        <v>30.96</v>
      </c>
    </row>
    <row r="495" spans="1:17" x14ac:dyDescent="0.25">
      <c r="A495">
        <v>18834698</v>
      </c>
      <c r="B495">
        <v>717595</v>
      </c>
      <c r="C495" t="s">
        <v>287</v>
      </c>
      <c r="E495">
        <v>80809180</v>
      </c>
      <c r="H495" t="s">
        <v>914</v>
      </c>
      <c r="I495">
        <v>64</v>
      </c>
      <c r="J495">
        <v>1</v>
      </c>
      <c r="K495">
        <v>64</v>
      </c>
      <c r="L495">
        <v>4.5439999999999996</v>
      </c>
      <c r="M495">
        <v>4.09</v>
      </c>
      <c r="N495">
        <v>0.125</v>
      </c>
      <c r="O495">
        <v>8</v>
      </c>
      <c r="P495">
        <v>0.54</v>
      </c>
      <c r="Q495">
        <v>34.56</v>
      </c>
    </row>
    <row r="496" spans="1:17" x14ac:dyDescent="0.25">
      <c r="A496">
        <v>18834698</v>
      </c>
      <c r="B496">
        <v>591389</v>
      </c>
      <c r="C496" t="s">
        <v>288</v>
      </c>
      <c r="E496" t="str">
        <f>"4008613005432"</f>
        <v>4008613005432</v>
      </c>
      <c r="H496" t="s">
        <v>915</v>
      </c>
      <c r="I496">
        <v>32</v>
      </c>
      <c r="J496">
        <v>1</v>
      </c>
      <c r="K496">
        <v>32</v>
      </c>
      <c r="L496">
        <v>4.992</v>
      </c>
      <c r="M496">
        <v>4.4930000000000003</v>
      </c>
      <c r="N496">
        <v>0.93700000000000006</v>
      </c>
      <c r="O496">
        <v>29.984000000000002</v>
      </c>
      <c r="P496">
        <v>0.72</v>
      </c>
      <c r="Q496">
        <v>23.04</v>
      </c>
    </row>
    <row r="497" spans="1:17" x14ac:dyDescent="0.25">
      <c r="A497">
        <v>18834698</v>
      </c>
      <c r="B497">
        <v>777168</v>
      </c>
      <c r="C497" t="s">
        <v>289</v>
      </c>
      <c r="E497" t="str">
        <f>"4008400230726"</f>
        <v>4008400230726</v>
      </c>
      <c r="H497" t="s">
        <v>912</v>
      </c>
      <c r="I497">
        <v>1</v>
      </c>
      <c r="J497">
        <v>1</v>
      </c>
      <c r="K497">
        <v>36</v>
      </c>
      <c r="L497">
        <v>6.8760000000000003</v>
      </c>
      <c r="M497">
        <v>6.1879999999999997</v>
      </c>
      <c r="N497">
        <v>1.4690000000000001</v>
      </c>
      <c r="O497">
        <v>52.884</v>
      </c>
      <c r="P497">
        <v>4.2699999999999996</v>
      </c>
      <c r="Q497">
        <v>153.72</v>
      </c>
    </row>
    <row r="498" spans="1:17" x14ac:dyDescent="0.25">
      <c r="A498">
        <v>18834698</v>
      </c>
      <c r="B498">
        <v>777170</v>
      </c>
      <c r="C498" t="s">
        <v>290</v>
      </c>
      <c r="E498" t="str">
        <f>"4008400270326"</f>
        <v>4008400270326</v>
      </c>
      <c r="H498" t="s">
        <v>916</v>
      </c>
      <c r="I498">
        <v>1</v>
      </c>
      <c r="J498">
        <v>1</v>
      </c>
      <c r="K498">
        <v>16</v>
      </c>
      <c r="L498">
        <v>5.12</v>
      </c>
      <c r="M498">
        <v>4.6079999999999997</v>
      </c>
      <c r="N498">
        <v>4.5</v>
      </c>
      <c r="O498">
        <v>72</v>
      </c>
      <c r="P498">
        <v>6.1</v>
      </c>
      <c r="Q498">
        <v>97.6</v>
      </c>
    </row>
    <row r="499" spans="1:17" x14ac:dyDescent="0.25">
      <c r="A499">
        <v>18834698</v>
      </c>
      <c r="B499">
        <v>1015783</v>
      </c>
      <c r="C499" t="s">
        <v>291</v>
      </c>
      <c r="E499" t="str">
        <f>"8000500391440"</f>
        <v>8000500391440</v>
      </c>
      <c r="H499" t="s">
        <v>912</v>
      </c>
      <c r="I499">
        <v>1</v>
      </c>
      <c r="J499">
        <v>1</v>
      </c>
      <c r="K499">
        <v>8</v>
      </c>
      <c r="L499">
        <v>1.528</v>
      </c>
      <c r="M499">
        <v>1.375</v>
      </c>
      <c r="N499">
        <v>1.734</v>
      </c>
      <c r="O499">
        <v>13.872</v>
      </c>
      <c r="P499">
        <v>4.91</v>
      </c>
      <c r="Q499">
        <v>39.28</v>
      </c>
    </row>
    <row r="500" spans="1:17" x14ac:dyDescent="0.25">
      <c r="A500">
        <v>18834698</v>
      </c>
      <c r="B500">
        <v>1015799</v>
      </c>
      <c r="C500" t="s">
        <v>292</v>
      </c>
      <c r="E500" t="str">
        <f>"8000500392379"</f>
        <v>8000500392379</v>
      </c>
      <c r="H500" t="s">
        <v>916</v>
      </c>
      <c r="I500">
        <v>1</v>
      </c>
      <c r="J500">
        <v>1</v>
      </c>
      <c r="K500">
        <v>18</v>
      </c>
      <c r="L500">
        <v>3.6720000000000002</v>
      </c>
      <c r="M500">
        <v>3.3050000000000002</v>
      </c>
      <c r="N500">
        <v>1.4359999999999999</v>
      </c>
      <c r="O500">
        <v>25.847999999999999</v>
      </c>
      <c r="P500">
        <v>5.26</v>
      </c>
      <c r="Q500">
        <v>94.68</v>
      </c>
    </row>
    <row r="501" spans="1:17" x14ac:dyDescent="0.25">
      <c r="A501">
        <v>18834698</v>
      </c>
      <c r="B501">
        <v>1015838</v>
      </c>
      <c r="C501" t="s">
        <v>293</v>
      </c>
      <c r="E501">
        <v>80935179</v>
      </c>
      <c r="H501" t="s">
        <v>916</v>
      </c>
      <c r="I501">
        <v>1</v>
      </c>
      <c r="J501">
        <v>1</v>
      </c>
      <c r="K501">
        <v>18</v>
      </c>
      <c r="L501">
        <v>14.4</v>
      </c>
      <c r="M501">
        <v>12.96</v>
      </c>
      <c r="N501">
        <v>1.4359999999999999</v>
      </c>
      <c r="O501">
        <v>25.847999999999999</v>
      </c>
      <c r="P501">
        <v>2.1800000000000002</v>
      </c>
      <c r="Q501">
        <v>39.24</v>
      </c>
    </row>
    <row r="502" spans="1:17" x14ac:dyDescent="0.25">
      <c r="A502">
        <v>18834698</v>
      </c>
      <c r="B502">
        <v>1015839</v>
      </c>
      <c r="C502" t="s">
        <v>294</v>
      </c>
      <c r="E502" t="str">
        <f>"8000500266564"</f>
        <v>8000500266564</v>
      </c>
      <c r="H502" t="s">
        <v>912</v>
      </c>
      <c r="I502">
        <v>1</v>
      </c>
      <c r="J502">
        <v>1</v>
      </c>
      <c r="K502">
        <v>6</v>
      </c>
      <c r="L502">
        <v>1.32</v>
      </c>
      <c r="M502">
        <v>1.1879999999999999</v>
      </c>
      <c r="N502">
        <v>0.432</v>
      </c>
      <c r="O502">
        <v>2.5920000000000001</v>
      </c>
      <c r="P502">
        <v>8.42</v>
      </c>
      <c r="Q502">
        <v>50.52</v>
      </c>
    </row>
    <row r="503" spans="1:17" x14ac:dyDescent="0.25">
      <c r="A503">
        <v>18838562</v>
      </c>
      <c r="B503">
        <v>963073</v>
      </c>
      <c r="C503" t="s">
        <v>295</v>
      </c>
      <c r="E503" t="str">
        <f>"7622201784843"</f>
        <v>7622201784843</v>
      </c>
      <c r="F503" t="str">
        <f>"7622201784904"</f>
        <v>7622201784904</v>
      </c>
      <c r="H503" t="s">
        <v>917</v>
      </c>
      <c r="I503">
        <v>14</v>
      </c>
      <c r="J503">
        <v>1</v>
      </c>
      <c r="K503">
        <v>14</v>
      </c>
      <c r="L503">
        <v>2.6880000000000002</v>
      </c>
      <c r="M503">
        <v>2.419</v>
      </c>
      <c r="N503">
        <v>1.85</v>
      </c>
      <c r="O503">
        <v>25.9</v>
      </c>
      <c r="P503">
        <v>2.1</v>
      </c>
      <c r="Q503">
        <v>29.4</v>
      </c>
    </row>
    <row r="504" spans="1:17" x14ac:dyDescent="0.25">
      <c r="A504">
        <v>18838562</v>
      </c>
      <c r="B504">
        <v>777178</v>
      </c>
      <c r="C504" t="s">
        <v>297</v>
      </c>
      <c r="E504" t="str">
        <f>"5411446006047"</f>
        <v>5411446006047</v>
      </c>
      <c r="H504" t="s">
        <v>793</v>
      </c>
      <c r="I504">
        <v>30</v>
      </c>
      <c r="J504">
        <v>2</v>
      </c>
      <c r="K504">
        <v>60</v>
      </c>
      <c r="L504">
        <v>2.52</v>
      </c>
      <c r="M504">
        <v>2.2679999999999998</v>
      </c>
      <c r="N504">
        <v>0.184</v>
      </c>
      <c r="O504">
        <v>11.04</v>
      </c>
      <c r="P504">
        <v>0.36</v>
      </c>
      <c r="Q504">
        <v>21.6</v>
      </c>
    </row>
    <row r="505" spans="1:17" x14ac:dyDescent="0.25">
      <c r="A505">
        <v>18838562</v>
      </c>
      <c r="B505">
        <v>724084</v>
      </c>
      <c r="C505" t="s">
        <v>298</v>
      </c>
      <c r="E505" t="str">
        <f>"5411446001103"</f>
        <v>5411446001103</v>
      </c>
      <c r="H505" t="s">
        <v>793</v>
      </c>
      <c r="I505">
        <v>24</v>
      </c>
      <c r="J505">
        <v>2</v>
      </c>
      <c r="K505">
        <v>48</v>
      </c>
      <c r="L505">
        <v>11.76</v>
      </c>
      <c r="M505">
        <v>10.584</v>
      </c>
      <c r="N505">
        <v>1.2410000000000001</v>
      </c>
      <c r="O505">
        <v>59.567999999999998</v>
      </c>
      <c r="P505">
        <v>1.05</v>
      </c>
      <c r="Q505">
        <v>50.4</v>
      </c>
    </row>
    <row r="506" spans="1:17" x14ac:dyDescent="0.25">
      <c r="A506">
        <v>18840388</v>
      </c>
      <c r="B506">
        <v>1003544</v>
      </c>
      <c r="C506" t="s">
        <v>299</v>
      </c>
      <c r="E506" t="str">
        <f>"3491955963668"</f>
        <v>3491955963668</v>
      </c>
      <c r="F506" t="str">
        <f>"3491956020131"</f>
        <v>3491956020131</v>
      </c>
      <c r="H506" t="s">
        <v>918</v>
      </c>
      <c r="I506">
        <v>4</v>
      </c>
      <c r="J506">
        <v>1</v>
      </c>
      <c r="K506">
        <v>4</v>
      </c>
      <c r="L506">
        <v>13</v>
      </c>
      <c r="M506">
        <v>11.7</v>
      </c>
      <c r="N506">
        <v>21.527999999999999</v>
      </c>
      <c r="O506">
        <v>86.111999999999995</v>
      </c>
      <c r="P506">
        <v>10.02</v>
      </c>
      <c r="Q506">
        <v>40.08</v>
      </c>
    </row>
    <row r="507" spans="1:17" x14ac:dyDescent="0.25">
      <c r="A507">
        <v>18840388</v>
      </c>
      <c r="B507">
        <v>986213</v>
      </c>
      <c r="C507" t="s">
        <v>300</v>
      </c>
      <c r="E507" t="str">
        <f>"3491955927479"</f>
        <v>3491955927479</v>
      </c>
      <c r="H507" t="s">
        <v>838</v>
      </c>
      <c r="I507">
        <v>1</v>
      </c>
      <c r="J507">
        <v>4</v>
      </c>
      <c r="K507">
        <v>4</v>
      </c>
      <c r="L507">
        <v>2</v>
      </c>
      <c r="M507">
        <v>1.8</v>
      </c>
      <c r="N507">
        <v>7.2</v>
      </c>
      <c r="O507">
        <v>28.8</v>
      </c>
      <c r="P507">
        <v>8.09</v>
      </c>
      <c r="Q507">
        <v>32.36</v>
      </c>
    </row>
    <row r="508" spans="1:17" x14ac:dyDescent="0.25">
      <c r="A508">
        <v>18840388</v>
      </c>
      <c r="B508">
        <v>950232</v>
      </c>
      <c r="C508" t="s">
        <v>301</v>
      </c>
      <c r="E508" t="str">
        <f>"3491955968649"</f>
        <v>3491955968649</v>
      </c>
      <c r="F508" t="str">
        <f>"3491955680992"</f>
        <v>3491955680992</v>
      </c>
      <c r="H508" t="s">
        <v>919</v>
      </c>
      <c r="I508">
        <v>3</v>
      </c>
      <c r="J508">
        <v>2</v>
      </c>
      <c r="K508">
        <v>6</v>
      </c>
      <c r="L508">
        <v>2.04</v>
      </c>
      <c r="M508">
        <v>1.8360000000000001</v>
      </c>
      <c r="N508">
        <v>2.4500000000000002</v>
      </c>
      <c r="O508">
        <v>14.7</v>
      </c>
      <c r="P508">
        <v>11.8</v>
      </c>
      <c r="Q508">
        <v>70.8</v>
      </c>
    </row>
    <row r="509" spans="1:17" x14ac:dyDescent="0.25">
      <c r="A509">
        <v>18840388</v>
      </c>
      <c r="B509">
        <v>950453</v>
      </c>
      <c r="C509" t="s">
        <v>302</v>
      </c>
      <c r="E509" t="str">
        <f>"3491955634384"</f>
        <v>3491955634384</v>
      </c>
      <c r="H509" t="s">
        <v>865</v>
      </c>
      <c r="I509">
        <v>1</v>
      </c>
      <c r="J509">
        <v>3</v>
      </c>
      <c r="K509">
        <v>3</v>
      </c>
      <c r="L509">
        <v>2.25</v>
      </c>
      <c r="M509">
        <v>2.0249999999999999</v>
      </c>
      <c r="N509">
        <v>8.9250000000000007</v>
      </c>
      <c r="O509">
        <v>26.774999999999999</v>
      </c>
      <c r="P509">
        <v>18.23</v>
      </c>
      <c r="Q509">
        <v>54.69</v>
      </c>
    </row>
    <row r="510" spans="1:17" x14ac:dyDescent="0.25">
      <c r="A510">
        <v>18840388</v>
      </c>
      <c r="B510">
        <v>986221</v>
      </c>
      <c r="C510" t="s">
        <v>303</v>
      </c>
      <c r="E510" t="str">
        <f>"3491955927677"</f>
        <v>3491955927677</v>
      </c>
      <c r="H510" t="s">
        <v>838</v>
      </c>
      <c r="I510">
        <v>1</v>
      </c>
      <c r="J510">
        <v>3</v>
      </c>
      <c r="K510">
        <v>3</v>
      </c>
      <c r="L510">
        <v>1.7849999999999999</v>
      </c>
      <c r="M510">
        <v>1.607</v>
      </c>
      <c r="N510">
        <v>5.25</v>
      </c>
      <c r="O510">
        <v>15.75</v>
      </c>
      <c r="P510">
        <v>5.67</v>
      </c>
      <c r="Q510">
        <v>17.010000000000002</v>
      </c>
    </row>
    <row r="511" spans="1:17" x14ac:dyDescent="0.25">
      <c r="A511">
        <v>18840388</v>
      </c>
      <c r="B511">
        <v>986220</v>
      </c>
      <c r="C511" t="s">
        <v>304</v>
      </c>
      <c r="E511" t="str">
        <f>"3491955927608"</f>
        <v>3491955927608</v>
      </c>
      <c r="H511" t="s">
        <v>838</v>
      </c>
      <c r="I511">
        <v>3</v>
      </c>
      <c r="J511">
        <v>2</v>
      </c>
      <c r="K511">
        <v>6</v>
      </c>
      <c r="L511">
        <v>4.8</v>
      </c>
      <c r="M511">
        <v>4.32</v>
      </c>
      <c r="N511">
        <v>10.176</v>
      </c>
      <c r="O511">
        <v>61.055999999999997</v>
      </c>
      <c r="P511">
        <v>12.91</v>
      </c>
      <c r="Q511">
        <v>77.459999999999994</v>
      </c>
    </row>
    <row r="512" spans="1:17" x14ac:dyDescent="0.25">
      <c r="A512">
        <v>18840388</v>
      </c>
      <c r="B512">
        <v>986214</v>
      </c>
      <c r="C512" t="s">
        <v>305</v>
      </c>
      <c r="E512" t="str">
        <f>"3491955927707"</f>
        <v>3491955927707</v>
      </c>
      <c r="H512" t="s">
        <v>838</v>
      </c>
      <c r="I512">
        <v>4</v>
      </c>
      <c r="J512">
        <v>1</v>
      </c>
      <c r="K512">
        <v>4</v>
      </c>
      <c r="L512">
        <v>6.4</v>
      </c>
      <c r="M512">
        <v>5.76</v>
      </c>
      <c r="N512">
        <v>11.137</v>
      </c>
      <c r="O512">
        <v>44.548000000000002</v>
      </c>
      <c r="P512">
        <v>16.11</v>
      </c>
      <c r="Q512">
        <v>64.44</v>
      </c>
    </row>
    <row r="513" spans="1:17" x14ac:dyDescent="0.25">
      <c r="A513">
        <v>18840388</v>
      </c>
      <c r="B513">
        <v>950447</v>
      </c>
      <c r="C513" t="s">
        <v>306</v>
      </c>
      <c r="E513" t="str">
        <f>"3491955526566"</f>
        <v>3491955526566</v>
      </c>
      <c r="H513" t="s">
        <v>865</v>
      </c>
      <c r="I513">
        <v>2</v>
      </c>
      <c r="J513">
        <v>2</v>
      </c>
      <c r="K513">
        <v>4</v>
      </c>
      <c r="L513">
        <v>17.72</v>
      </c>
      <c r="M513">
        <v>15.948</v>
      </c>
      <c r="N513">
        <v>29.6</v>
      </c>
      <c r="O513">
        <v>118.4</v>
      </c>
      <c r="P513">
        <v>22.81</v>
      </c>
      <c r="Q513">
        <v>91.24</v>
      </c>
    </row>
    <row r="514" spans="1:17" x14ac:dyDescent="0.25">
      <c r="A514">
        <v>18840388</v>
      </c>
      <c r="B514">
        <v>986206</v>
      </c>
      <c r="C514" t="s">
        <v>307</v>
      </c>
      <c r="E514" t="str">
        <f>"3491955927622"</f>
        <v>3491955927622</v>
      </c>
      <c r="H514" t="s">
        <v>838</v>
      </c>
      <c r="I514">
        <v>6</v>
      </c>
      <c r="J514">
        <v>2</v>
      </c>
      <c r="K514">
        <v>12</v>
      </c>
      <c r="L514">
        <v>3.24</v>
      </c>
      <c r="M514">
        <v>2.9159999999999999</v>
      </c>
      <c r="N514">
        <v>3.1030000000000002</v>
      </c>
      <c r="O514">
        <v>37.235999999999997</v>
      </c>
      <c r="P514">
        <v>2.23</v>
      </c>
      <c r="Q514">
        <v>26.76</v>
      </c>
    </row>
    <row r="515" spans="1:17" x14ac:dyDescent="0.25">
      <c r="A515">
        <v>18840388</v>
      </c>
      <c r="B515">
        <v>986216</v>
      </c>
      <c r="C515" t="s">
        <v>308</v>
      </c>
      <c r="E515" t="str">
        <f>"3491955927691"</f>
        <v>3491955927691</v>
      </c>
      <c r="H515" t="s">
        <v>838</v>
      </c>
      <c r="I515">
        <v>1</v>
      </c>
      <c r="J515">
        <v>3</v>
      </c>
      <c r="K515">
        <v>3</v>
      </c>
      <c r="L515">
        <v>1.887</v>
      </c>
      <c r="M515">
        <v>1.698</v>
      </c>
      <c r="N515">
        <v>5.25</v>
      </c>
      <c r="O515">
        <v>15.75</v>
      </c>
      <c r="P515">
        <v>5.96</v>
      </c>
      <c r="Q515">
        <v>17.88</v>
      </c>
    </row>
    <row r="516" spans="1:17" x14ac:dyDescent="0.25">
      <c r="A516">
        <v>18840388</v>
      </c>
      <c r="B516">
        <v>986204</v>
      </c>
      <c r="C516" t="s">
        <v>309</v>
      </c>
      <c r="E516" t="str">
        <f>"3491955927301"</f>
        <v>3491955927301</v>
      </c>
      <c r="H516" t="s">
        <v>838</v>
      </c>
      <c r="I516">
        <v>1</v>
      </c>
      <c r="J516">
        <v>4</v>
      </c>
      <c r="K516">
        <v>4</v>
      </c>
      <c r="L516">
        <v>2.0640000000000001</v>
      </c>
      <c r="M516">
        <v>1.8580000000000001</v>
      </c>
      <c r="N516">
        <v>6.2329999999999997</v>
      </c>
      <c r="O516">
        <v>24.931999999999999</v>
      </c>
      <c r="P516">
        <v>5.43</v>
      </c>
      <c r="Q516">
        <v>21.72</v>
      </c>
    </row>
    <row r="517" spans="1:17" x14ac:dyDescent="0.25">
      <c r="A517">
        <v>18840388</v>
      </c>
      <c r="B517">
        <v>654135</v>
      </c>
      <c r="C517" t="s">
        <v>310</v>
      </c>
      <c r="E517" t="str">
        <f>"3491955929664"</f>
        <v>3491955929664</v>
      </c>
      <c r="F517" t="str">
        <f>"3491953661221"</f>
        <v>3491953661221</v>
      </c>
      <c r="H517" t="s">
        <v>838</v>
      </c>
      <c r="I517">
        <v>6</v>
      </c>
      <c r="J517">
        <v>2</v>
      </c>
      <c r="K517">
        <v>12</v>
      </c>
      <c r="L517">
        <v>2.94</v>
      </c>
      <c r="M517">
        <v>2.6459999999999999</v>
      </c>
      <c r="N517">
        <v>2.097</v>
      </c>
      <c r="O517">
        <v>25.164000000000001</v>
      </c>
      <c r="P517">
        <v>1.83</v>
      </c>
      <c r="Q517">
        <v>21.96</v>
      </c>
    </row>
    <row r="518" spans="1:17" x14ac:dyDescent="0.25">
      <c r="A518">
        <v>18840388</v>
      </c>
      <c r="B518">
        <v>799545</v>
      </c>
      <c r="C518" t="s">
        <v>311</v>
      </c>
      <c r="E518" t="str">
        <f>"3491955932787"</f>
        <v>3491955932787</v>
      </c>
      <c r="F518" t="str">
        <f>"3491955525897"</f>
        <v>3491955525897</v>
      </c>
      <c r="H518" t="s">
        <v>838</v>
      </c>
      <c r="I518">
        <v>12</v>
      </c>
      <c r="J518">
        <v>1</v>
      </c>
      <c r="K518">
        <v>12</v>
      </c>
      <c r="L518">
        <v>0.80400000000000005</v>
      </c>
      <c r="M518">
        <v>0.72399999999999998</v>
      </c>
      <c r="N518">
        <v>1.1679999999999999</v>
      </c>
      <c r="O518">
        <v>14.016</v>
      </c>
      <c r="P518">
        <v>1.82</v>
      </c>
      <c r="Q518">
        <v>21.84</v>
      </c>
    </row>
    <row r="519" spans="1:17" x14ac:dyDescent="0.25">
      <c r="A519">
        <v>18840388</v>
      </c>
      <c r="B519">
        <v>986210</v>
      </c>
      <c r="C519" t="s">
        <v>312</v>
      </c>
      <c r="E519" t="str">
        <f>"3491955524524"</f>
        <v>3491955524524</v>
      </c>
      <c r="H519" t="s">
        <v>920</v>
      </c>
      <c r="I519">
        <v>24</v>
      </c>
      <c r="J519">
        <v>1</v>
      </c>
      <c r="K519">
        <v>24</v>
      </c>
      <c r="L519">
        <v>3</v>
      </c>
      <c r="M519">
        <v>2.7</v>
      </c>
      <c r="N519">
        <v>2.7090000000000001</v>
      </c>
      <c r="O519">
        <v>65.016000000000005</v>
      </c>
      <c r="P519">
        <v>2.1</v>
      </c>
      <c r="Q519">
        <v>50.4</v>
      </c>
    </row>
    <row r="520" spans="1:17" x14ac:dyDescent="0.25">
      <c r="A520">
        <v>18840388</v>
      </c>
      <c r="B520">
        <v>986212</v>
      </c>
      <c r="C520" t="s">
        <v>313</v>
      </c>
      <c r="E520" t="str">
        <f>"3491955927448"</f>
        <v>3491955927448</v>
      </c>
      <c r="H520" t="s">
        <v>838</v>
      </c>
      <c r="I520">
        <v>1</v>
      </c>
      <c r="J520">
        <v>4</v>
      </c>
      <c r="K520">
        <v>4</v>
      </c>
      <c r="L520">
        <v>1.6639999999999999</v>
      </c>
      <c r="M520">
        <v>1.498</v>
      </c>
      <c r="N520">
        <v>5.3259999999999996</v>
      </c>
      <c r="O520">
        <v>21.303999999999998</v>
      </c>
      <c r="P520">
        <v>6.45</v>
      </c>
      <c r="Q520">
        <v>25.8</v>
      </c>
    </row>
    <row r="521" spans="1:17" x14ac:dyDescent="0.25">
      <c r="A521">
        <v>18840388</v>
      </c>
      <c r="B521">
        <v>986189</v>
      </c>
      <c r="C521" t="s">
        <v>314</v>
      </c>
      <c r="E521" t="str">
        <f>"3491955927455"</f>
        <v>3491955927455</v>
      </c>
      <c r="H521" t="s">
        <v>838</v>
      </c>
      <c r="I521">
        <v>1</v>
      </c>
      <c r="J521">
        <v>4</v>
      </c>
      <c r="K521">
        <v>4</v>
      </c>
      <c r="L521">
        <v>1.3320000000000001</v>
      </c>
      <c r="M521">
        <v>1.1990000000000001</v>
      </c>
      <c r="N521">
        <v>8.2319999999999993</v>
      </c>
      <c r="O521">
        <v>32.927999999999997</v>
      </c>
      <c r="P521">
        <v>6.45</v>
      </c>
      <c r="Q521">
        <v>25.8</v>
      </c>
    </row>
    <row r="522" spans="1:17" x14ac:dyDescent="0.25">
      <c r="A522">
        <v>18840388</v>
      </c>
      <c r="B522">
        <v>751147</v>
      </c>
      <c r="C522" t="s">
        <v>315</v>
      </c>
      <c r="E522" t="str">
        <f>"3491954636822"</f>
        <v>3491954636822</v>
      </c>
      <c r="F522" t="str">
        <f>"3491955968670"</f>
        <v>3491955968670</v>
      </c>
      <c r="H522" t="s">
        <v>921</v>
      </c>
      <c r="I522">
        <v>24</v>
      </c>
      <c r="J522">
        <v>1</v>
      </c>
      <c r="K522">
        <v>24</v>
      </c>
      <c r="L522">
        <v>9.9600000000000009</v>
      </c>
      <c r="M522">
        <v>8.9640000000000004</v>
      </c>
      <c r="N522">
        <v>1.577</v>
      </c>
      <c r="O522">
        <v>37.847999999999999</v>
      </c>
      <c r="P522">
        <v>1.23</v>
      </c>
      <c r="Q522">
        <v>29.52</v>
      </c>
    </row>
    <row r="523" spans="1:17" x14ac:dyDescent="0.25">
      <c r="A523">
        <v>18840388</v>
      </c>
      <c r="B523">
        <v>904594</v>
      </c>
      <c r="C523" t="s">
        <v>316</v>
      </c>
      <c r="E523" t="str">
        <f>"3491955341169"</f>
        <v>3491955341169</v>
      </c>
      <c r="H523" t="s">
        <v>838</v>
      </c>
      <c r="I523">
        <v>1</v>
      </c>
      <c r="J523">
        <v>3</v>
      </c>
      <c r="K523">
        <v>3</v>
      </c>
      <c r="L523">
        <v>6.96</v>
      </c>
      <c r="M523">
        <v>6.2640000000000002</v>
      </c>
      <c r="N523">
        <v>39.904000000000003</v>
      </c>
      <c r="O523">
        <v>119.712</v>
      </c>
      <c r="P523">
        <v>29.56</v>
      </c>
      <c r="Q523">
        <v>88.68</v>
      </c>
    </row>
    <row r="524" spans="1:17" x14ac:dyDescent="0.25">
      <c r="A524">
        <v>18840388</v>
      </c>
      <c r="B524">
        <v>799445</v>
      </c>
      <c r="C524" t="s">
        <v>317</v>
      </c>
      <c r="E524" t="str">
        <f>"3491955932404"</f>
        <v>3491955932404</v>
      </c>
      <c r="F524" t="str">
        <f>"3491955331276"</f>
        <v>3491955331276</v>
      </c>
      <c r="H524" t="s">
        <v>838</v>
      </c>
      <c r="I524">
        <v>18</v>
      </c>
      <c r="J524">
        <v>1</v>
      </c>
      <c r="K524">
        <v>18</v>
      </c>
      <c r="L524">
        <v>0.93600000000000005</v>
      </c>
      <c r="M524">
        <v>0.84199999999999997</v>
      </c>
      <c r="N524">
        <v>0.44400000000000001</v>
      </c>
      <c r="O524">
        <v>7.992</v>
      </c>
      <c r="P524">
        <v>0.96</v>
      </c>
      <c r="Q524">
        <v>17.28</v>
      </c>
    </row>
    <row r="525" spans="1:17" x14ac:dyDescent="0.25">
      <c r="A525">
        <v>18840388</v>
      </c>
      <c r="B525">
        <v>904609</v>
      </c>
      <c r="C525" t="s">
        <v>318</v>
      </c>
      <c r="E525" t="str">
        <f>"3491955933135"</f>
        <v>3491955933135</v>
      </c>
      <c r="F525" t="str">
        <f>"3491955531775"</f>
        <v>3491955531775</v>
      </c>
      <c r="H525" t="s">
        <v>838</v>
      </c>
      <c r="I525">
        <v>12</v>
      </c>
      <c r="J525">
        <v>1</v>
      </c>
      <c r="K525">
        <v>12</v>
      </c>
      <c r="L525">
        <v>0.39600000000000002</v>
      </c>
      <c r="M525">
        <v>0.35599999999999998</v>
      </c>
      <c r="N525">
        <v>0.23699999999999999</v>
      </c>
      <c r="O525">
        <v>2.8439999999999999</v>
      </c>
      <c r="P525">
        <v>0.55000000000000004</v>
      </c>
      <c r="Q525">
        <v>6.6</v>
      </c>
    </row>
    <row r="526" spans="1:17" x14ac:dyDescent="0.25">
      <c r="A526">
        <v>18844010</v>
      </c>
      <c r="B526">
        <v>757126</v>
      </c>
      <c r="C526" t="s">
        <v>319</v>
      </c>
      <c r="E526" t="str">
        <f>"5420023187017"</f>
        <v>5420023187017</v>
      </c>
      <c r="F526" t="str">
        <f>"2000006849045"</f>
        <v>2000006849045</v>
      </c>
      <c r="H526" t="s">
        <v>837</v>
      </c>
      <c r="I526">
        <v>8</v>
      </c>
      <c r="J526">
        <v>1</v>
      </c>
      <c r="K526">
        <v>8</v>
      </c>
      <c r="L526">
        <v>4.6959999999999997</v>
      </c>
      <c r="M526">
        <v>4.226</v>
      </c>
      <c r="N526">
        <v>8.64</v>
      </c>
      <c r="O526">
        <v>69.12</v>
      </c>
      <c r="P526">
        <v>4.59</v>
      </c>
      <c r="Q526">
        <v>36.72</v>
      </c>
    </row>
    <row r="527" spans="1:17" x14ac:dyDescent="0.25">
      <c r="A527">
        <v>18844010</v>
      </c>
      <c r="B527">
        <v>907287</v>
      </c>
      <c r="C527" t="s">
        <v>320</v>
      </c>
      <c r="E527" t="str">
        <f>"5420023187352"</f>
        <v>5420023187352</v>
      </c>
      <c r="H527" t="s">
        <v>837</v>
      </c>
      <c r="I527">
        <v>1</v>
      </c>
      <c r="J527">
        <v>3</v>
      </c>
      <c r="K527">
        <v>3</v>
      </c>
      <c r="L527">
        <v>8.94</v>
      </c>
      <c r="M527">
        <v>8.0459999999999994</v>
      </c>
      <c r="N527">
        <v>45.432000000000002</v>
      </c>
      <c r="O527">
        <v>136.29599999999999</v>
      </c>
      <c r="P527">
        <v>25.01</v>
      </c>
      <c r="Q527">
        <v>75.03</v>
      </c>
    </row>
    <row r="528" spans="1:17" x14ac:dyDescent="0.25">
      <c r="A528">
        <v>18844010</v>
      </c>
      <c r="B528">
        <v>907289</v>
      </c>
      <c r="C528" t="s">
        <v>321</v>
      </c>
      <c r="E528" t="str">
        <f>"5420023188991"</f>
        <v>5420023188991</v>
      </c>
      <c r="F528" t="str">
        <f>"2018203963099"</f>
        <v>2018203963099</v>
      </c>
      <c r="H528" t="s">
        <v>835</v>
      </c>
      <c r="I528">
        <v>6</v>
      </c>
      <c r="J528">
        <v>1</v>
      </c>
      <c r="K528">
        <v>6</v>
      </c>
      <c r="L528">
        <v>8.298</v>
      </c>
      <c r="M528">
        <v>7.468</v>
      </c>
      <c r="N528">
        <v>22.331</v>
      </c>
      <c r="O528">
        <v>133.98599999999999</v>
      </c>
      <c r="P528">
        <v>7.86</v>
      </c>
      <c r="Q528">
        <v>47.16</v>
      </c>
    </row>
    <row r="529" spans="1:17" x14ac:dyDescent="0.25">
      <c r="A529">
        <v>18769449</v>
      </c>
      <c r="B529">
        <v>708351</v>
      </c>
      <c r="C529" t="s">
        <v>18</v>
      </c>
      <c r="E529" t="str">
        <f>"887961660029"</f>
        <v>887961660029</v>
      </c>
      <c r="H529" t="s">
        <v>835</v>
      </c>
      <c r="I529">
        <v>1</v>
      </c>
      <c r="J529">
        <v>2</v>
      </c>
      <c r="K529">
        <v>2</v>
      </c>
      <c r="L529">
        <v>0.8</v>
      </c>
      <c r="M529">
        <v>0.72</v>
      </c>
      <c r="N529">
        <v>4.8959999999999999</v>
      </c>
      <c r="O529">
        <v>9.7919999999999998</v>
      </c>
      <c r="P529">
        <v>9.67</v>
      </c>
      <c r="Q529">
        <v>19.34</v>
      </c>
    </row>
    <row r="530" spans="1:17" x14ac:dyDescent="0.25">
      <c r="A530">
        <v>18769449</v>
      </c>
      <c r="B530">
        <v>764821</v>
      </c>
      <c r="C530" t="s">
        <v>26</v>
      </c>
      <c r="E530" t="str">
        <f>"887961683820"</f>
        <v>887961683820</v>
      </c>
      <c r="H530" t="s">
        <v>835</v>
      </c>
      <c r="I530">
        <v>1</v>
      </c>
      <c r="J530">
        <v>2</v>
      </c>
      <c r="K530">
        <v>2</v>
      </c>
      <c r="L530">
        <v>0.84599999999999997</v>
      </c>
      <c r="M530">
        <v>0.76100000000000001</v>
      </c>
      <c r="N530">
        <v>5.3040000000000003</v>
      </c>
      <c r="O530">
        <v>10.608000000000001</v>
      </c>
      <c r="P530">
        <v>17.75</v>
      </c>
      <c r="Q530">
        <v>35.5</v>
      </c>
    </row>
    <row r="531" spans="1:17" x14ac:dyDescent="0.25">
      <c r="A531">
        <v>18769449</v>
      </c>
      <c r="B531">
        <v>347843</v>
      </c>
      <c r="C531" t="s">
        <v>25</v>
      </c>
      <c r="E531" t="str">
        <f>"4006592532000"</f>
        <v>4006592532000</v>
      </c>
      <c r="H531" t="s">
        <v>787</v>
      </c>
      <c r="I531">
        <v>1</v>
      </c>
      <c r="J531">
        <v>2</v>
      </c>
      <c r="K531">
        <v>2</v>
      </c>
      <c r="L531">
        <v>1.3</v>
      </c>
      <c r="M531">
        <v>1.17</v>
      </c>
      <c r="N531">
        <v>9.7200000000000006</v>
      </c>
      <c r="O531">
        <v>19.440000000000001</v>
      </c>
      <c r="P531">
        <v>9.57</v>
      </c>
      <c r="Q531">
        <v>19.14</v>
      </c>
    </row>
    <row r="532" spans="1:17" x14ac:dyDescent="0.25">
      <c r="A532">
        <v>18769449</v>
      </c>
      <c r="B532">
        <v>754990</v>
      </c>
      <c r="C532" t="s">
        <v>24</v>
      </c>
      <c r="E532" t="str">
        <f>"3491955528942"</f>
        <v>3491955528942</v>
      </c>
      <c r="F532" t="str">
        <f>"3491953864158"</f>
        <v>3491953864158</v>
      </c>
      <c r="H532" t="s">
        <v>837</v>
      </c>
      <c r="I532">
        <v>12</v>
      </c>
      <c r="J532">
        <v>1</v>
      </c>
      <c r="K532">
        <v>12</v>
      </c>
      <c r="L532">
        <v>4.1159999999999997</v>
      </c>
      <c r="M532">
        <v>3.7040000000000002</v>
      </c>
      <c r="N532">
        <v>7.9359999999999999</v>
      </c>
      <c r="O532">
        <v>95.231999999999999</v>
      </c>
      <c r="P532">
        <v>4.41</v>
      </c>
      <c r="Q532">
        <v>52.92</v>
      </c>
    </row>
    <row r="533" spans="1:17" x14ac:dyDescent="0.25">
      <c r="A533">
        <v>18769449</v>
      </c>
      <c r="B533">
        <v>994930</v>
      </c>
      <c r="C533" t="s">
        <v>23</v>
      </c>
      <c r="E533" t="str">
        <f>"8713219446041"</f>
        <v>8713219446041</v>
      </c>
      <c r="H533" t="s">
        <v>836</v>
      </c>
      <c r="I533">
        <v>1</v>
      </c>
      <c r="J533">
        <v>2</v>
      </c>
      <c r="K533">
        <v>2</v>
      </c>
      <c r="L533">
        <v>0.54200000000000004</v>
      </c>
      <c r="M533">
        <v>0.48799999999999999</v>
      </c>
      <c r="N533">
        <v>4.7119999999999997</v>
      </c>
      <c r="O533">
        <v>9.4239999999999995</v>
      </c>
      <c r="P533">
        <v>3.81</v>
      </c>
      <c r="Q533">
        <v>7.62</v>
      </c>
    </row>
    <row r="534" spans="1:17" x14ac:dyDescent="0.25">
      <c r="A534">
        <v>18769449</v>
      </c>
      <c r="B534">
        <v>907274</v>
      </c>
      <c r="C534" t="s">
        <v>22</v>
      </c>
      <c r="E534" t="str">
        <f>"5420023187154"</f>
        <v>5420023187154</v>
      </c>
      <c r="H534" t="s">
        <v>837</v>
      </c>
      <c r="I534">
        <v>1</v>
      </c>
      <c r="J534">
        <v>2</v>
      </c>
      <c r="K534">
        <v>2</v>
      </c>
      <c r="L534">
        <v>2.1659999999999999</v>
      </c>
      <c r="M534">
        <v>1.9490000000000001</v>
      </c>
      <c r="N534">
        <v>16.875</v>
      </c>
      <c r="O534">
        <v>33.75</v>
      </c>
      <c r="P534">
        <v>8.39</v>
      </c>
      <c r="Q534">
        <v>16.78</v>
      </c>
    </row>
    <row r="535" spans="1:17" x14ac:dyDescent="0.25">
      <c r="A535">
        <v>18769449</v>
      </c>
      <c r="B535">
        <v>760038</v>
      </c>
      <c r="C535" t="s">
        <v>21</v>
      </c>
      <c r="E535" t="str">
        <f>"194735007677"</f>
        <v>194735007677</v>
      </c>
      <c r="F535" t="str">
        <f>"887961690781"</f>
        <v>887961690781</v>
      </c>
      <c r="H535" t="s">
        <v>835</v>
      </c>
      <c r="I535">
        <v>2</v>
      </c>
      <c r="J535">
        <v>1</v>
      </c>
      <c r="K535">
        <v>2</v>
      </c>
      <c r="L535">
        <v>3.71</v>
      </c>
      <c r="M535">
        <v>3.339</v>
      </c>
      <c r="N535">
        <v>24.948</v>
      </c>
      <c r="O535">
        <v>49.896000000000001</v>
      </c>
      <c r="P535">
        <v>29.78</v>
      </c>
      <c r="Q535">
        <v>59.56</v>
      </c>
    </row>
    <row r="536" spans="1:17" x14ac:dyDescent="0.25">
      <c r="A536">
        <v>18769449</v>
      </c>
      <c r="B536">
        <v>718148</v>
      </c>
      <c r="C536" t="s">
        <v>39</v>
      </c>
      <c r="E536" t="str">
        <f>"3296580397457"</f>
        <v>3296580397457</v>
      </c>
      <c r="F536" t="str">
        <f>"3701405800376"</f>
        <v>3701405800376</v>
      </c>
      <c r="H536" t="s">
        <v>835</v>
      </c>
      <c r="I536">
        <v>1</v>
      </c>
      <c r="J536">
        <v>2</v>
      </c>
      <c r="K536">
        <v>2</v>
      </c>
      <c r="L536">
        <v>0.46</v>
      </c>
      <c r="M536">
        <v>0.41399999999999998</v>
      </c>
      <c r="N536">
        <v>2.677</v>
      </c>
      <c r="O536">
        <v>5.3540000000000001</v>
      </c>
      <c r="P536">
        <v>12.94</v>
      </c>
      <c r="Q536">
        <v>25.88</v>
      </c>
    </row>
    <row r="537" spans="1:17" x14ac:dyDescent="0.25">
      <c r="A537">
        <v>18769449</v>
      </c>
      <c r="B537">
        <v>617949</v>
      </c>
      <c r="C537" t="s">
        <v>19</v>
      </c>
      <c r="E537" t="str">
        <f>"4006592585655"</f>
        <v>4006592585655</v>
      </c>
      <c r="H537" t="s">
        <v>835</v>
      </c>
      <c r="I537">
        <v>1</v>
      </c>
      <c r="J537">
        <v>2</v>
      </c>
      <c r="K537">
        <v>2</v>
      </c>
      <c r="L537">
        <v>1.29</v>
      </c>
      <c r="M537">
        <v>1.161</v>
      </c>
      <c r="N537">
        <v>7.2290000000000001</v>
      </c>
      <c r="O537">
        <v>14.458</v>
      </c>
      <c r="P537">
        <v>8.65</v>
      </c>
      <c r="Q537">
        <v>17.3</v>
      </c>
    </row>
    <row r="538" spans="1:17" x14ac:dyDescent="0.25">
      <c r="A538">
        <v>18769449</v>
      </c>
      <c r="B538">
        <v>755833</v>
      </c>
      <c r="C538" t="s">
        <v>33</v>
      </c>
      <c r="E538" t="str">
        <f>"3491954469567"</f>
        <v>3491954469567</v>
      </c>
      <c r="H538" t="s">
        <v>835</v>
      </c>
      <c r="I538">
        <v>8</v>
      </c>
      <c r="J538">
        <v>1</v>
      </c>
      <c r="K538">
        <v>8</v>
      </c>
      <c r="L538">
        <v>8.6959999999999997</v>
      </c>
      <c r="M538">
        <v>7.8259999999999996</v>
      </c>
      <c r="N538">
        <v>19.440000000000001</v>
      </c>
      <c r="O538">
        <v>155.52000000000001</v>
      </c>
      <c r="P538">
        <v>12.79</v>
      </c>
      <c r="Q538">
        <v>102.32</v>
      </c>
    </row>
    <row r="539" spans="1:17" x14ac:dyDescent="0.25">
      <c r="A539">
        <v>18769449</v>
      </c>
      <c r="B539">
        <v>1000284</v>
      </c>
      <c r="C539" t="s">
        <v>34</v>
      </c>
      <c r="E539" t="str">
        <f>"5413247006325"</f>
        <v>5413247006325</v>
      </c>
      <c r="H539" t="s">
        <v>838</v>
      </c>
      <c r="I539">
        <v>12</v>
      </c>
      <c r="J539">
        <v>1</v>
      </c>
      <c r="K539">
        <v>12</v>
      </c>
      <c r="L539">
        <v>1.0680000000000001</v>
      </c>
      <c r="M539">
        <v>0.96099999999999997</v>
      </c>
      <c r="N539">
        <v>1.0309999999999999</v>
      </c>
      <c r="O539">
        <v>12.372</v>
      </c>
      <c r="P539">
        <v>1.37</v>
      </c>
      <c r="Q539">
        <v>16.440000000000001</v>
      </c>
    </row>
    <row r="540" spans="1:17" x14ac:dyDescent="0.25">
      <c r="A540">
        <v>18769449</v>
      </c>
      <c r="B540">
        <v>952379</v>
      </c>
      <c r="C540" t="s">
        <v>35</v>
      </c>
      <c r="E540" t="str">
        <f>"3491955640507"</f>
        <v>3491955640507</v>
      </c>
      <c r="H540" t="s">
        <v>835</v>
      </c>
      <c r="I540">
        <v>4</v>
      </c>
      <c r="J540">
        <v>2</v>
      </c>
      <c r="K540">
        <v>8</v>
      </c>
      <c r="L540">
        <v>3.448</v>
      </c>
      <c r="M540">
        <v>3.1030000000000002</v>
      </c>
      <c r="N540">
        <v>7.02</v>
      </c>
      <c r="O540">
        <v>56.16</v>
      </c>
      <c r="P540">
        <v>4.5999999999999996</v>
      </c>
      <c r="Q540">
        <v>36.799999999999997</v>
      </c>
    </row>
    <row r="541" spans="1:17" x14ac:dyDescent="0.25">
      <c r="A541">
        <v>18769449</v>
      </c>
      <c r="B541">
        <v>1015895</v>
      </c>
      <c r="C541" t="s">
        <v>32</v>
      </c>
      <c r="E541" t="str">
        <f>"194735028634"</f>
        <v>194735028634</v>
      </c>
      <c r="F541" t="str">
        <f>"194735007189"</f>
        <v>194735007189</v>
      </c>
      <c r="H541" t="s">
        <v>787</v>
      </c>
      <c r="I541">
        <v>6</v>
      </c>
      <c r="J541">
        <v>2</v>
      </c>
      <c r="K541">
        <v>12</v>
      </c>
      <c r="L541">
        <v>3.8759999999999999</v>
      </c>
      <c r="M541">
        <v>3.488</v>
      </c>
      <c r="N541">
        <v>3.4350000000000001</v>
      </c>
      <c r="O541">
        <v>41.22</v>
      </c>
      <c r="P541">
        <v>7.87</v>
      </c>
      <c r="Q541">
        <v>94.44</v>
      </c>
    </row>
    <row r="542" spans="1:17" x14ac:dyDescent="0.25">
      <c r="A542">
        <v>18769449</v>
      </c>
      <c r="B542">
        <v>1000258</v>
      </c>
      <c r="C542" t="s">
        <v>36</v>
      </c>
      <c r="E542" t="str">
        <f>"5413247013736"</f>
        <v>5413247013736</v>
      </c>
      <c r="H542" t="s">
        <v>835</v>
      </c>
      <c r="I542">
        <v>1</v>
      </c>
      <c r="J542">
        <v>4</v>
      </c>
      <c r="K542">
        <v>4</v>
      </c>
      <c r="L542">
        <v>0.85599999999999998</v>
      </c>
      <c r="M542">
        <v>0.77</v>
      </c>
      <c r="N542">
        <v>2.677</v>
      </c>
      <c r="O542">
        <v>10.708</v>
      </c>
      <c r="P542">
        <v>3.43</v>
      </c>
      <c r="Q542">
        <v>13.72</v>
      </c>
    </row>
    <row r="543" spans="1:17" x14ac:dyDescent="0.25">
      <c r="A543">
        <v>18769449</v>
      </c>
      <c r="B543">
        <v>764117</v>
      </c>
      <c r="C543" t="s">
        <v>20</v>
      </c>
      <c r="E543" t="str">
        <f>"887961625790"</f>
        <v>887961625790</v>
      </c>
      <c r="F543" t="str">
        <f>"887961625769"</f>
        <v>887961625769</v>
      </c>
      <c r="G543" t="str">
        <f>"887961625776"</f>
        <v>887961625776</v>
      </c>
      <c r="H543" t="s">
        <v>836</v>
      </c>
      <c r="I543">
        <v>1</v>
      </c>
      <c r="J543">
        <v>2</v>
      </c>
      <c r="K543">
        <v>2</v>
      </c>
      <c r="L543">
        <v>1.8</v>
      </c>
      <c r="M543">
        <v>1.62</v>
      </c>
      <c r="N543">
        <v>11.88</v>
      </c>
      <c r="O543">
        <v>23.76</v>
      </c>
      <c r="P543">
        <v>14.31</v>
      </c>
      <c r="Q543">
        <v>28.62</v>
      </c>
    </row>
    <row r="544" spans="1:17" x14ac:dyDescent="0.25">
      <c r="A544">
        <v>18769449</v>
      </c>
      <c r="B544">
        <v>764731</v>
      </c>
      <c r="C544" t="s">
        <v>37</v>
      </c>
      <c r="E544" t="str">
        <f>"887961632309"</f>
        <v>887961632309</v>
      </c>
      <c r="H544" t="s">
        <v>835</v>
      </c>
      <c r="I544">
        <v>3</v>
      </c>
      <c r="J544">
        <v>1</v>
      </c>
      <c r="K544">
        <v>3</v>
      </c>
      <c r="L544">
        <v>3.3090000000000002</v>
      </c>
      <c r="M544">
        <v>2.9780000000000002</v>
      </c>
      <c r="N544">
        <v>12.6</v>
      </c>
      <c r="O544">
        <v>37.799999999999997</v>
      </c>
      <c r="P544">
        <v>20.88</v>
      </c>
      <c r="Q544">
        <v>62.64</v>
      </c>
    </row>
    <row r="545" spans="1:17" x14ac:dyDescent="0.25">
      <c r="A545">
        <v>18769449</v>
      </c>
      <c r="B545">
        <v>667921</v>
      </c>
      <c r="C545" t="s">
        <v>27</v>
      </c>
      <c r="E545" t="str">
        <f>"3491953867197"</f>
        <v>3491953867197</v>
      </c>
      <c r="F545" t="str">
        <f>"3491955640231"</f>
        <v>3491955640231</v>
      </c>
      <c r="H545" t="s">
        <v>835</v>
      </c>
      <c r="I545">
        <v>6</v>
      </c>
      <c r="J545">
        <v>1</v>
      </c>
      <c r="K545">
        <v>6</v>
      </c>
      <c r="L545">
        <v>8.64</v>
      </c>
      <c r="M545">
        <v>7.7759999999999998</v>
      </c>
      <c r="N545">
        <v>32.735999999999997</v>
      </c>
      <c r="O545">
        <v>196.416</v>
      </c>
      <c r="P545">
        <v>4.17</v>
      </c>
      <c r="Q545">
        <v>25.02</v>
      </c>
    </row>
    <row r="546" spans="1:17" x14ac:dyDescent="0.25">
      <c r="A546">
        <v>18769449</v>
      </c>
      <c r="B546">
        <v>953062</v>
      </c>
      <c r="C546" t="s">
        <v>38</v>
      </c>
      <c r="E546" t="str">
        <f>"2018205183587"</f>
        <v>2018205183587</v>
      </c>
      <c r="F546" t="str">
        <f>"5420023190819"</f>
        <v>5420023190819</v>
      </c>
      <c r="H546" t="s">
        <v>836</v>
      </c>
      <c r="I546">
        <v>1</v>
      </c>
      <c r="J546">
        <v>6</v>
      </c>
      <c r="K546">
        <v>6</v>
      </c>
      <c r="L546">
        <v>0.78600000000000003</v>
      </c>
      <c r="M546">
        <v>0.70699999999999996</v>
      </c>
      <c r="N546">
        <v>1.7689999999999999</v>
      </c>
      <c r="O546">
        <v>10.614000000000001</v>
      </c>
      <c r="P546">
        <v>1.44</v>
      </c>
      <c r="Q546">
        <v>8.64</v>
      </c>
    </row>
    <row r="547" spans="1:17" x14ac:dyDescent="0.25">
      <c r="A547">
        <v>18769449</v>
      </c>
      <c r="B547">
        <v>667930</v>
      </c>
      <c r="C547" t="s">
        <v>30</v>
      </c>
      <c r="E547" t="str">
        <f>"3491953645023"</f>
        <v>3491953645023</v>
      </c>
      <c r="F547" t="str">
        <f>"3491955935900"</f>
        <v>3491955935900</v>
      </c>
      <c r="H547" t="s">
        <v>837</v>
      </c>
      <c r="I547">
        <v>6</v>
      </c>
      <c r="J547">
        <v>1</v>
      </c>
      <c r="K547">
        <v>6</v>
      </c>
      <c r="L547">
        <v>10.997999999999999</v>
      </c>
      <c r="M547">
        <v>9.8979999999999997</v>
      </c>
      <c r="N547">
        <v>43.68</v>
      </c>
      <c r="O547">
        <v>262.08</v>
      </c>
      <c r="P547">
        <v>18.16</v>
      </c>
      <c r="Q547">
        <v>108.96</v>
      </c>
    </row>
    <row r="548" spans="1:17" x14ac:dyDescent="0.25">
      <c r="A548">
        <v>18769449</v>
      </c>
      <c r="B548">
        <v>754975</v>
      </c>
      <c r="C548" t="s">
        <v>31</v>
      </c>
      <c r="E548" t="str">
        <f>"3491953644989"</f>
        <v>3491953644989</v>
      </c>
      <c r="H548" t="s">
        <v>787</v>
      </c>
      <c r="I548">
        <v>6</v>
      </c>
      <c r="J548">
        <v>1</v>
      </c>
      <c r="K548">
        <v>6</v>
      </c>
      <c r="L548">
        <v>8.7959999999999994</v>
      </c>
      <c r="M548">
        <v>7.9160000000000004</v>
      </c>
      <c r="N548">
        <v>38.688000000000002</v>
      </c>
      <c r="O548">
        <v>232.12799999999999</v>
      </c>
      <c r="P548">
        <v>11.15</v>
      </c>
      <c r="Q548">
        <v>66.900000000000006</v>
      </c>
    </row>
    <row r="549" spans="1:17" x14ac:dyDescent="0.25">
      <c r="A549">
        <v>18769449</v>
      </c>
      <c r="B549">
        <v>982543</v>
      </c>
      <c r="C549" t="s">
        <v>29</v>
      </c>
      <c r="E549" t="str">
        <f>"887961928068"</f>
        <v>887961928068</v>
      </c>
      <c r="H549" t="s">
        <v>835</v>
      </c>
      <c r="I549">
        <v>4</v>
      </c>
      <c r="J549">
        <v>1</v>
      </c>
      <c r="K549">
        <v>4</v>
      </c>
      <c r="L549">
        <v>1.3</v>
      </c>
      <c r="M549">
        <v>1.17</v>
      </c>
      <c r="N549">
        <v>4.8620000000000001</v>
      </c>
      <c r="O549">
        <v>19.448</v>
      </c>
      <c r="P549">
        <v>10.53</v>
      </c>
      <c r="Q549">
        <v>42.12</v>
      </c>
    </row>
    <row r="550" spans="1:17" x14ac:dyDescent="0.25">
      <c r="A550">
        <v>18769449</v>
      </c>
      <c r="B550">
        <v>962472</v>
      </c>
      <c r="C550" t="s">
        <v>40</v>
      </c>
      <c r="E550" t="str">
        <f>"5413247092496"</f>
        <v>5413247092496</v>
      </c>
      <c r="H550" t="s">
        <v>836</v>
      </c>
      <c r="I550">
        <v>1</v>
      </c>
      <c r="J550">
        <v>2</v>
      </c>
      <c r="K550">
        <v>2</v>
      </c>
      <c r="L550">
        <v>1.208</v>
      </c>
      <c r="M550">
        <v>1.087</v>
      </c>
      <c r="N550">
        <v>6.0970000000000004</v>
      </c>
      <c r="O550">
        <v>12.194000000000001</v>
      </c>
      <c r="P550">
        <v>6.28</v>
      </c>
      <c r="Q550">
        <v>12.56</v>
      </c>
    </row>
    <row r="551" spans="1:17" x14ac:dyDescent="0.25">
      <c r="A551">
        <v>18769449</v>
      </c>
      <c r="B551">
        <v>986358</v>
      </c>
      <c r="C551" t="s">
        <v>41</v>
      </c>
      <c r="E551" t="str">
        <f>"887961954555"</f>
        <v>887961954555</v>
      </c>
      <c r="H551" t="s">
        <v>835</v>
      </c>
      <c r="I551">
        <v>2</v>
      </c>
      <c r="J551">
        <v>1</v>
      </c>
      <c r="K551">
        <v>2</v>
      </c>
      <c r="L551">
        <v>2.16</v>
      </c>
      <c r="M551">
        <v>1.944</v>
      </c>
      <c r="N551">
        <v>15.96</v>
      </c>
      <c r="O551">
        <v>31.92</v>
      </c>
      <c r="P551">
        <v>18.489999999999998</v>
      </c>
      <c r="Q551">
        <v>36.979999999999997</v>
      </c>
    </row>
    <row r="552" spans="1:17" x14ac:dyDescent="0.25">
      <c r="A552">
        <v>18769449</v>
      </c>
      <c r="B552">
        <v>754989</v>
      </c>
      <c r="C552" t="s">
        <v>28</v>
      </c>
      <c r="E552" t="str">
        <f>"3491953501732"</f>
        <v>3491953501732</v>
      </c>
      <c r="F552" t="str">
        <f>"3491955528904"</f>
        <v>3491955528904</v>
      </c>
      <c r="H552" t="s">
        <v>837</v>
      </c>
      <c r="I552">
        <v>1</v>
      </c>
      <c r="J552">
        <v>6</v>
      </c>
      <c r="K552">
        <v>6</v>
      </c>
      <c r="L552">
        <v>3.048</v>
      </c>
      <c r="M552">
        <v>2.7429999999999999</v>
      </c>
      <c r="N552">
        <v>11.55</v>
      </c>
      <c r="O552">
        <v>69.3</v>
      </c>
      <c r="P552">
        <v>7.27</v>
      </c>
      <c r="Q552">
        <v>43.62</v>
      </c>
    </row>
    <row r="553" spans="1:17" x14ac:dyDescent="0.25">
      <c r="A553">
        <v>18769449</v>
      </c>
      <c r="B553">
        <v>991609</v>
      </c>
      <c r="C553" t="s">
        <v>42</v>
      </c>
      <c r="E553" t="str">
        <f>"3491955640491"</f>
        <v>3491955640491</v>
      </c>
      <c r="H553" t="s">
        <v>837</v>
      </c>
      <c r="I553">
        <v>4</v>
      </c>
      <c r="J553">
        <v>1</v>
      </c>
      <c r="K553">
        <v>4</v>
      </c>
      <c r="L553">
        <v>2.3319999999999999</v>
      </c>
      <c r="M553">
        <v>2.0990000000000002</v>
      </c>
      <c r="N553">
        <v>4.8330000000000002</v>
      </c>
      <c r="O553">
        <v>19.332000000000001</v>
      </c>
      <c r="P553">
        <v>5.47</v>
      </c>
      <c r="Q553">
        <v>21.88</v>
      </c>
    </row>
    <row r="554" spans="1:17" x14ac:dyDescent="0.25">
      <c r="A554">
        <v>18770082</v>
      </c>
      <c r="B554">
        <v>1001975</v>
      </c>
      <c r="C554" t="s">
        <v>84</v>
      </c>
      <c r="E554" t="str">
        <f>"5055114295892"</f>
        <v>5055114295892</v>
      </c>
      <c r="F554" t="str">
        <f>"5055114295939"</f>
        <v>5055114295939</v>
      </c>
      <c r="G554" t="str">
        <f>"5055114296066"</f>
        <v>5055114296066</v>
      </c>
      <c r="H554" t="s">
        <v>847</v>
      </c>
      <c r="I554">
        <v>12</v>
      </c>
      <c r="J554">
        <v>1</v>
      </c>
      <c r="K554">
        <v>12</v>
      </c>
      <c r="L554">
        <v>1.944</v>
      </c>
      <c r="M554">
        <v>1.75</v>
      </c>
      <c r="N554">
        <v>0.65400000000000003</v>
      </c>
      <c r="O554">
        <v>7.8479999999999999</v>
      </c>
      <c r="P554">
        <v>1.35</v>
      </c>
      <c r="Q554">
        <v>16.2</v>
      </c>
    </row>
    <row r="555" spans="1:17" x14ac:dyDescent="0.25">
      <c r="A555">
        <v>18770082</v>
      </c>
      <c r="B555">
        <v>938436</v>
      </c>
      <c r="C555" t="s">
        <v>75</v>
      </c>
      <c r="E555" t="str">
        <f>"4891813542131"</f>
        <v>4891813542131</v>
      </c>
      <c r="H555" t="s">
        <v>839</v>
      </c>
      <c r="I555">
        <v>1</v>
      </c>
      <c r="J555">
        <v>4</v>
      </c>
      <c r="K555">
        <v>4</v>
      </c>
      <c r="L555">
        <v>3.1640000000000001</v>
      </c>
      <c r="M555">
        <v>2.8479999999999999</v>
      </c>
      <c r="N555">
        <v>8.91</v>
      </c>
      <c r="O555">
        <v>35.64</v>
      </c>
      <c r="P555">
        <v>14.08</v>
      </c>
      <c r="Q555">
        <v>56.32</v>
      </c>
    </row>
    <row r="556" spans="1:17" x14ac:dyDescent="0.25">
      <c r="A556">
        <v>18770082</v>
      </c>
      <c r="B556">
        <v>999691</v>
      </c>
      <c r="C556" t="s">
        <v>73</v>
      </c>
      <c r="E556" t="str">
        <f>"5425002415846"</f>
        <v>5425002415846</v>
      </c>
      <c r="H556" t="s">
        <v>839</v>
      </c>
      <c r="I556">
        <v>1</v>
      </c>
      <c r="J556">
        <v>2</v>
      </c>
      <c r="K556">
        <v>2</v>
      </c>
      <c r="L556">
        <v>0.79400000000000004</v>
      </c>
      <c r="M556">
        <v>0.71499999999999997</v>
      </c>
      <c r="N556">
        <v>4.1040000000000001</v>
      </c>
      <c r="O556">
        <v>8.2080000000000002</v>
      </c>
      <c r="P556">
        <v>9.09</v>
      </c>
      <c r="Q556">
        <v>18.18</v>
      </c>
    </row>
    <row r="557" spans="1:17" x14ac:dyDescent="0.25">
      <c r="A557">
        <v>18770082</v>
      </c>
      <c r="B557">
        <v>916259</v>
      </c>
      <c r="C557" t="s">
        <v>65</v>
      </c>
      <c r="E557" t="str">
        <f>"5425002415075"</f>
        <v>5425002415075</v>
      </c>
      <c r="H557" t="s">
        <v>836</v>
      </c>
      <c r="I557">
        <v>1</v>
      </c>
      <c r="J557">
        <v>3</v>
      </c>
      <c r="K557">
        <v>3</v>
      </c>
      <c r="L557">
        <v>1.74</v>
      </c>
      <c r="M557">
        <v>1.5660000000000001</v>
      </c>
      <c r="N557">
        <v>7.6029999999999998</v>
      </c>
      <c r="O557">
        <v>22.809000000000001</v>
      </c>
      <c r="P557">
        <v>8.94</v>
      </c>
      <c r="Q557">
        <v>26.82</v>
      </c>
    </row>
    <row r="558" spans="1:17" x14ac:dyDescent="0.25">
      <c r="A558">
        <v>18770082</v>
      </c>
      <c r="B558">
        <v>907295</v>
      </c>
      <c r="C558" t="s">
        <v>76</v>
      </c>
      <c r="E558" t="str">
        <f>"5420023187901"</f>
        <v>5420023187901</v>
      </c>
      <c r="H558" t="s">
        <v>839</v>
      </c>
      <c r="I558">
        <v>1</v>
      </c>
      <c r="J558">
        <v>4</v>
      </c>
      <c r="K558">
        <v>4</v>
      </c>
      <c r="L558">
        <v>1.4319999999999999</v>
      </c>
      <c r="M558">
        <v>1.2889999999999999</v>
      </c>
      <c r="N558">
        <v>5.1749999999999998</v>
      </c>
      <c r="O558">
        <v>20.7</v>
      </c>
      <c r="P558">
        <v>3.16</v>
      </c>
      <c r="Q558">
        <v>12.64</v>
      </c>
    </row>
    <row r="559" spans="1:17" x14ac:dyDescent="0.25">
      <c r="A559">
        <v>18770082</v>
      </c>
      <c r="B559">
        <v>953042</v>
      </c>
      <c r="C559" t="s">
        <v>77</v>
      </c>
      <c r="E559" t="str">
        <f>"5420023190376"</f>
        <v>5420023190376</v>
      </c>
      <c r="H559" t="s">
        <v>839</v>
      </c>
      <c r="I559">
        <v>6</v>
      </c>
      <c r="J559">
        <v>1</v>
      </c>
      <c r="K559">
        <v>6</v>
      </c>
      <c r="L559">
        <v>2.1</v>
      </c>
      <c r="M559">
        <v>1.89</v>
      </c>
      <c r="N559">
        <v>2.6659999999999999</v>
      </c>
      <c r="O559">
        <v>15.996</v>
      </c>
      <c r="P559">
        <v>2.4700000000000002</v>
      </c>
      <c r="Q559">
        <v>14.82</v>
      </c>
    </row>
    <row r="560" spans="1:17" x14ac:dyDescent="0.25">
      <c r="A560">
        <v>18770082</v>
      </c>
      <c r="B560">
        <v>999688</v>
      </c>
      <c r="C560" t="s">
        <v>93</v>
      </c>
      <c r="E560" t="str">
        <f>"5425002416065"</f>
        <v>5425002416065</v>
      </c>
      <c r="H560" t="s">
        <v>836</v>
      </c>
      <c r="I560">
        <v>1</v>
      </c>
      <c r="J560">
        <v>2</v>
      </c>
      <c r="K560">
        <v>2</v>
      </c>
      <c r="L560">
        <v>0.7</v>
      </c>
      <c r="M560">
        <v>0.63</v>
      </c>
      <c r="N560">
        <v>3.7719999999999998</v>
      </c>
      <c r="O560">
        <v>7.5439999999999996</v>
      </c>
      <c r="P560">
        <v>5.84</v>
      </c>
      <c r="Q560">
        <v>11.68</v>
      </c>
    </row>
    <row r="561" spans="1:17" x14ac:dyDescent="0.25">
      <c r="A561">
        <v>18770082</v>
      </c>
      <c r="B561">
        <v>953039</v>
      </c>
      <c r="C561" t="s">
        <v>92</v>
      </c>
      <c r="E561" t="str">
        <f>"5420023190581"</f>
        <v>5420023190581</v>
      </c>
      <c r="H561" t="s">
        <v>839</v>
      </c>
      <c r="I561">
        <v>1</v>
      </c>
      <c r="J561">
        <v>2</v>
      </c>
      <c r="K561">
        <v>2</v>
      </c>
      <c r="L561">
        <v>1.5660000000000001</v>
      </c>
      <c r="M561">
        <v>1.409</v>
      </c>
      <c r="N561">
        <v>10.936999999999999</v>
      </c>
      <c r="O561">
        <v>21.873999999999999</v>
      </c>
      <c r="P561">
        <v>6.42</v>
      </c>
      <c r="Q561">
        <v>12.84</v>
      </c>
    </row>
    <row r="562" spans="1:17" x14ac:dyDescent="0.25">
      <c r="A562">
        <v>18770082</v>
      </c>
      <c r="B562">
        <v>999677</v>
      </c>
      <c r="C562" t="s">
        <v>90</v>
      </c>
      <c r="E562" t="str">
        <f>"4891813547242"</f>
        <v>4891813547242</v>
      </c>
      <c r="H562" t="s">
        <v>839</v>
      </c>
      <c r="I562">
        <v>1</v>
      </c>
      <c r="J562">
        <v>2</v>
      </c>
      <c r="K562">
        <v>2</v>
      </c>
      <c r="L562">
        <v>0.65</v>
      </c>
      <c r="M562">
        <v>0.58499999999999996</v>
      </c>
      <c r="N562">
        <v>3.141</v>
      </c>
      <c r="O562">
        <v>6.282</v>
      </c>
      <c r="P562">
        <v>9.2899999999999991</v>
      </c>
      <c r="Q562">
        <v>18.579999999999998</v>
      </c>
    </row>
    <row r="563" spans="1:17" x14ac:dyDescent="0.25">
      <c r="A563">
        <v>18770082</v>
      </c>
      <c r="B563">
        <v>953056</v>
      </c>
      <c r="C563" t="s">
        <v>91</v>
      </c>
      <c r="E563" t="str">
        <f>"5420023190505"</f>
        <v>5420023190505</v>
      </c>
      <c r="H563" t="s">
        <v>839</v>
      </c>
      <c r="I563">
        <v>1</v>
      </c>
      <c r="J563">
        <v>2</v>
      </c>
      <c r="K563">
        <v>2</v>
      </c>
      <c r="L563">
        <v>1.25</v>
      </c>
      <c r="M563">
        <v>1.125</v>
      </c>
      <c r="N563">
        <v>9.798</v>
      </c>
      <c r="O563">
        <v>19.596</v>
      </c>
      <c r="P563">
        <v>8.99</v>
      </c>
      <c r="Q563">
        <v>17.98</v>
      </c>
    </row>
    <row r="564" spans="1:17" x14ac:dyDescent="0.25">
      <c r="A564">
        <v>18770082</v>
      </c>
      <c r="B564">
        <v>994919</v>
      </c>
      <c r="C564" t="s">
        <v>62</v>
      </c>
      <c r="E564" t="str">
        <f>"8713219385630"</f>
        <v>8713219385630</v>
      </c>
      <c r="H564" t="s">
        <v>787</v>
      </c>
      <c r="I564">
        <v>1</v>
      </c>
      <c r="J564">
        <v>4</v>
      </c>
      <c r="K564">
        <v>4</v>
      </c>
      <c r="L564">
        <v>0.97599999999999998</v>
      </c>
      <c r="M564">
        <v>0.878</v>
      </c>
      <c r="N564">
        <v>2.8</v>
      </c>
      <c r="O564">
        <v>11.2</v>
      </c>
      <c r="P564">
        <v>4.28</v>
      </c>
      <c r="Q564">
        <v>17.12</v>
      </c>
    </row>
    <row r="565" spans="1:17" x14ac:dyDescent="0.25">
      <c r="A565">
        <v>18770082</v>
      </c>
      <c r="B565">
        <v>756957</v>
      </c>
      <c r="C565" t="s">
        <v>43</v>
      </c>
      <c r="E565" t="str">
        <f>"5420023188212"</f>
        <v>5420023188212</v>
      </c>
      <c r="F565" t="str">
        <f>"2000006848857"</f>
        <v>2000006848857</v>
      </c>
      <c r="H565" t="s">
        <v>839</v>
      </c>
      <c r="I565">
        <v>1</v>
      </c>
      <c r="J565">
        <v>2</v>
      </c>
      <c r="K565">
        <v>2</v>
      </c>
      <c r="L565">
        <v>0.38200000000000001</v>
      </c>
      <c r="M565">
        <v>0.34399999999999997</v>
      </c>
      <c r="N565">
        <v>2.64</v>
      </c>
      <c r="O565">
        <v>5.28</v>
      </c>
      <c r="P565">
        <v>3.89</v>
      </c>
      <c r="Q565">
        <v>7.78</v>
      </c>
    </row>
    <row r="566" spans="1:17" x14ac:dyDescent="0.25">
      <c r="A566">
        <v>18770082</v>
      </c>
      <c r="B566">
        <v>786962</v>
      </c>
      <c r="C566" t="s">
        <v>56</v>
      </c>
      <c r="E566" t="str">
        <f>"778988278659"</f>
        <v>778988278659</v>
      </c>
      <c r="H566" t="s">
        <v>839</v>
      </c>
      <c r="I566">
        <v>2</v>
      </c>
      <c r="J566">
        <v>1</v>
      </c>
      <c r="K566">
        <v>2</v>
      </c>
      <c r="L566">
        <v>1.4</v>
      </c>
      <c r="M566">
        <v>1.26</v>
      </c>
      <c r="N566">
        <v>8.4239999999999995</v>
      </c>
      <c r="O566">
        <v>16.847999999999999</v>
      </c>
      <c r="P566">
        <v>21.41</v>
      </c>
      <c r="Q566">
        <v>42.82</v>
      </c>
    </row>
    <row r="567" spans="1:17" x14ac:dyDescent="0.25">
      <c r="A567">
        <v>18770082</v>
      </c>
      <c r="B567">
        <v>953050</v>
      </c>
      <c r="C567" t="s">
        <v>61</v>
      </c>
      <c r="E567" t="str">
        <f>"5420023190383"</f>
        <v>5420023190383</v>
      </c>
      <c r="H567" t="s">
        <v>839</v>
      </c>
      <c r="I567">
        <v>1</v>
      </c>
      <c r="J567">
        <v>2</v>
      </c>
      <c r="K567">
        <v>2</v>
      </c>
      <c r="L567">
        <v>3.05</v>
      </c>
      <c r="M567">
        <v>2.7450000000000001</v>
      </c>
      <c r="N567">
        <v>20.7</v>
      </c>
      <c r="O567">
        <v>41.4</v>
      </c>
      <c r="P567">
        <v>13.23</v>
      </c>
      <c r="Q567">
        <v>26.46</v>
      </c>
    </row>
    <row r="568" spans="1:17" x14ac:dyDescent="0.25">
      <c r="A568">
        <v>18770082</v>
      </c>
      <c r="B568">
        <v>953027</v>
      </c>
      <c r="C568" t="s">
        <v>74</v>
      </c>
      <c r="E568" t="str">
        <f>"5420023187949"</f>
        <v>5420023187949</v>
      </c>
      <c r="H568" t="s">
        <v>839</v>
      </c>
      <c r="I568">
        <v>1</v>
      </c>
      <c r="J568">
        <v>2</v>
      </c>
      <c r="K568">
        <v>2</v>
      </c>
      <c r="L568">
        <v>2.7240000000000002</v>
      </c>
      <c r="M568">
        <v>2.452</v>
      </c>
      <c r="N568">
        <v>16.8</v>
      </c>
      <c r="O568">
        <v>33.6</v>
      </c>
      <c r="P568">
        <v>10.69</v>
      </c>
      <c r="Q568">
        <v>21.38</v>
      </c>
    </row>
    <row r="569" spans="1:17" x14ac:dyDescent="0.25">
      <c r="A569">
        <v>18770082</v>
      </c>
      <c r="B569">
        <v>1002458</v>
      </c>
      <c r="C569" t="s">
        <v>63</v>
      </c>
      <c r="E569" t="str">
        <f>"3296580428007"</f>
        <v>3296580428007</v>
      </c>
      <c r="H569" t="s">
        <v>837</v>
      </c>
      <c r="I569">
        <v>1</v>
      </c>
      <c r="J569">
        <v>2</v>
      </c>
      <c r="K569">
        <v>2</v>
      </c>
      <c r="L569">
        <v>0.83199999999999996</v>
      </c>
      <c r="M569">
        <v>0.749</v>
      </c>
      <c r="N569">
        <v>0.90600000000000003</v>
      </c>
      <c r="O569">
        <v>1.8120000000000001</v>
      </c>
      <c r="P569">
        <v>12.94</v>
      </c>
      <c r="Q569">
        <v>25.88</v>
      </c>
    </row>
    <row r="570" spans="1:17" x14ac:dyDescent="0.25">
      <c r="A570">
        <v>18770082</v>
      </c>
      <c r="B570">
        <v>771176</v>
      </c>
      <c r="C570" t="s">
        <v>64</v>
      </c>
      <c r="E570" t="str">
        <f>"4891813836902"</f>
        <v>4891813836902</v>
      </c>
      <c r="H570" t="s">
        <v>839</v>
      </c>
      <c r="I570">
        <v>1</v>
      </c>
      <c r="J570">
        <v>2</v>
      </c>
      <c r="K570">
        <v>2</v>
      </c>
      <c r="L570">
        <v>0.6</v>
      </c>
      <c r="M570">
        <v>0.54</v>
      </c>
      <c r="N570">
        <v>1.204</v>
      </c>
      <c r="O570">
        <v>2.4079999999999999</v>
      </c>
      <c r="P570">
        <v>3.75</v>
      </c>
      <c r="Q570">
        <v>7.5</v>
      </c>
    </row>
    <row r="571" spans="1:17" x14ac:dyDescent="0.25">
      <c r="A571">
        <v>18770082</v>
      </c>
      <c r="B571">
        <v>235101</v>
      </c>
      <c r="C571" t="s">
        <v>52</v>
      </c>
      <c r="E571" t="str">
        <f>"8710675085272"</f>
        <v>8710675085272</v>
      </c>
      <c r="F571" t="str">
        <f>"4005264182116"</f>
        <v>4005264182116</v>
      </c>
      <c r="G571" t="str">
        <f>"8710675056395"</f>
        <v>8710675056395</v>
      </c>
      <c r="H571" t="s">
        <v>843</v>
      </c>
      <c r="I571">
        <v>60</v>
      </c>
      <c r="J571">
        <v>1</v>
      </c>
      <c r="K571">
        <v>60</v>
      </c>
      <c r="L571">
        <v>6.06</v>
      </c>
      <c r="M571">
        <v>5.4539999999999997</v>
      </c>
      <c r="N571">
        <v>1.2190000000000001</v>
      </c>
      <c r="O571">
        <v>73.14</v>
      </c>
      <c r="P571">
        <v>0.42</v>
      </c>
      <c r="Q571">
        <v>25.2</v>
      </c>
    </row>
    <row r="572" spans="1:17" x14ac:dyDescent="0.25">
      <c r="A572">
        <v>18770082</v>
      </c>
      <c r="B572">
        <v>200994</v>
      </c>
      <c r="C572" t="s">
        <v>59</v>
      </c>
      <c r="E572" t="str">
        <f>"4005264294123"</f>
        <v>4005264294123</v>
      </c>
      <c r="F572" t="str">
        <f>"4005264130131"</f>
        <v>4005264130131</v>
      </c>
      <c r="G572" t="str">
        <f>"5420042188798"</f>
        <v>5420042188798</v>
      </c>
      <c r="H572" t="s">
        <v>843</v>
      </c>
      <c r="I572">
        <v>60</v>
      </c>
      <c r="J572">
        <v>1</v>
      </c>
      <c r="K572">
        <v>60</v>
      </c>
      <c r="L572">
        <v>6.6</v>
      </c>
      <c r="M572">
        <v>5.94</v>
      </c>
      <c r="N572">
        <v>1.1910000000000001</v>
      </c>
      <c r="O572">
        <v>71.459999999999994</v>
      </c>
      <c r="P572">
        <v>0.3</v>
      </c>
      <c r="Q572">
        <v>18</v>
      </c>
    </row>
    <row r="573" spans="1:17" x14ac:dyDescent="0.25">
      <c r="A573">
        <v>18770082</v>
      </c>
      <c r="B573">
        <v>916586</v>
      </c>
      <c r="C573" t="s">
        <v>58</v>
      </c>
      <c r="E573" t="str">
        <f>"4058653101540"</f>
        <v>4058653101540</v>
      </c>
      <c r="F573" t="str">
        <f>"4058653101359"</f>
        <v>4058653101359</v>
      </c>
      <c r="H573" t="s">
        <v>843</v>
      </c>
      <c r="I573">
        <v>25</v>
      </c>
      <c r="J573">
        <v>1</v>
      </c>
      <c r="K573">
        <v>25</v>
      </c>
      <c r="L573">
        <v>5</v>
      </c>
      <c r="M573">
        <v>4.5</v>
      </c>
      <c r="N573">
        <v>1.9950000000000001</v>
      </c>
      <c r="O573">
        <v>49.875</v>
      </c>
      <c r="P573">
        <v>1.91</v>
      </c>
      <c r="Q573">
        <v>47.75</v>
      </c>
    </row>
    <row r="574" spans="1:17" x14ac:dyDescent="0.25">
      <c r="A574">
        <v>18770082</v>
      </c>
      <c r="B574">
        <v>369191</v>
      </c>
      <c r="C574" t="s">
        <v>57</v>
      </c>
      <c r="E574" t="str">
        <f>"8710675085289"</f>
        <v>8710675085289</v>
      </c>
      <c r="F574" t="str">
        <f>"8710675160061"</f>
        <v>8710675160061</v>
      </c>
      <c r="H574" t="s">
        <v>845</v>
      </c>
      <c r="I574">
        <v>45</v>
      </c>
      <c r="J574">
        <v>1</v>
      </c>
      <c r="K574">
        <v>45</v>
      </c>
      <c r="L574">
        <v>9.7650000000000006</v>
      </c>
      <c r="M574">
        <v>8.7889999999999997</v>
      </c>
      <c r="N574">
        <v>1.056</v>
      </c>
      <c r="O574">
        <v>47.52</v>
      </c>
      <c r="P574">
        <v>0.68</v>
      </c>
      <c r="Q574">
        <v>30.6</v>
      </c>
    </row>
    <row r="575" spans="1:17" x14ac:dyDescent="0.25">
      <c r="A575">
        <v>18770082</v>
      </c>
      <c r="B575">
        <v>916596</v>
      </c>
      <c r="C575" t="s">
        <v>53</v>
      </c>
      <c r="E575" t="str">
        <f>"4058653100529"</f>
        <v>4058653100529</v>
      </c>
      <c r="H575" t="s">
        <v>844</v>
      </c>
      <c r="I575">
        <v>10</v>
      </c>
      <c r="J575">
        <v>1</v>
      </c>
      <c r="K575">
        <v>10</v>
      </c>
      <c r="L575">
        <v>1.66</v>
      </c>
      <c r="M575">
        <v>1.494</v>
      </c>
      <c r="N575">
        <v>0.6</v>
      </c>
      <c r="O575">
        <v>6</v>
      </c>
      <c r="P575">
        <v>0.3</v>
      </c>
      <c r="Q575">
        <v>3</v>
      </c>
    </row>
    <row r="576" spans="1:17" x14ac:dyDescent="0.25">
      <c r="A576">
        <v>18770082</v>
      </c>
      <c r="B576">
        <v>907296</v>
      </c>
      <c r="C576" t="s">
        <v>60</v>
      </c>
      <c r="E576" t="str">
        <f>"5420023187734"</f>
        <v>5420023187734</v>
      </c>
      <c r="H576" t="s">
        <v>839</v>
      </c>
      <c r="I576">
        <v>1</v>
      </c>
      <c r="J576">
        <v>2</v>
      </c>
      <c r="K576">
        <v>2</v>
      </c>
      <c r="L576">
        <v>3.3319999999999999</v>
      </c>
      <c r="M576">
        <v>2.9990000000000001</v>
      </c>
      <c r="N576">
        <v>18.149999999999999</v>
      </c>
      <c r="O576">
        <v>36.299999999999997</v>
      </c>
      <c r="P576">
        <v>20.09</v>
      </c>
      <c r="Q576">
        <v>40.18</v>
      </c>
    </row>
    <row r="577" spans="1:17" x14ac:dyDescent="0.25">
      <c r="A577">
        <v>18770082</v>
      </c>
      <c r="B577">
        <v>999585</v>
      </c>
      <c r="C577" t="s">
        <v>68</v>
      </c>
      <c r="E577" t="str">
        <f>"778988418369"</f>
        <v>778988418369</v>
      </c>
      <c r="H577" t="s">
        <v>846</v>
      </c>
      <c r="I577">
        <v>6</v>
      </c>
      <c r="J577">
        <v>1</v>
      </c>
      <c r="K577">
        <v>6</v>
      </c>
      <c r="L577">
        <v>0.85799999999999998</v>
      </c>
      <c r="M577">
        <v>0.77200000000000002</v>
      </c>
      <c r="N577">
        <v>0.86699999999999999</v>
      </c>
      <c r="O577">
        <v>5.202</v>
      </c>
      <c r="P577">
        <v>5.78</v>
      </c>
      <c r="Q577">
        <v>34.68</v>
      </c>
    </row>
    <row r="578" spans="1:17" x14ac:dyDescent="0.25">
      <c r="A578">
        <v>18770082</v>
      </c>
      <c r="B578">
        <v>602859</v>
      </c>
      <c r="C578" t="s">
        <v>88</v>
      </c>
      <c r="E578" t="str">
        <f>"5010993812851"</f>
        <v>5010993812851</v>
      </c>
      <c r="F578" t="str">
        <f>"5010994941796"</f>
        <v>5010994941796</v>
      </c>
      <c r="G578" t="str">
        <f>"5010993591855"</f>
        <v>5010993591855</v>
      </c>
      <c r="H578" t="s">
        <v>848</v>
      </c>
      <c r="I578">
        <v>4</v>
      </c>
      <c r="J578">
        <v>1</v>
      </c>
      <c r="K578">
        <v>4</v>
      </c>
      <c r="L578">
        <v>2.48</v>
      </c>
      <c r="M578">
        <v>2.2320000000000002</v>
      </c>
      <c r="N578">
        <v>1.9359999999999999</v>
      </c>
      <c r="O578">
        <v>7.7439999999999998</v>
      </c>
      <c r="P578">
        <v>11.17</v>
      </c>
      <c r="Q578">
        <v>44.68</v>
      </c>
    </row>
    <row r="579" spans="1:17" x14ac:dyDescent="0.25">
      <c r="A579">
        <v>18770082</v>
      </c>
      <c r="B579">
        <v>1008075</v>
      </c>
      <c r="C579" t="s">
        <v>87</v>
      </c>
      <c r="E579" t="str">
        <f>"5010993789344"</f>
        <v>5010993789344</v>
      </c>
      <c r="H579" t="s">
        <v>835</v>
      </c>
      <c r="I579">
        <v>1</v>
      </c>
      <c r="J579">
        <v>2</v>
      </c>
      <c r="K579">
        <v>2</v>
      </c>
      <c r="L579">
        <v>0.65</v>
      </c>
      <c r="M579">
        <v>0.58499999999999996</v>
      </c>
      <c r="N579">
        <v>1.79</v>
      </c>
      <c r="O579">
        <v>3.58</v>
      </c>
      <c r="P579">
        <v>11.17</v>
      </c>
      <c r="Q579">
        <v>22.34</v>
      </c>
    </row>
    <row r="580" spans="1:17" x14ac:dyDescent="0.25">
      <c r="A580">
        <v>18770082</v>
      </c>
      <c r="B580">
        <v>1005426</v>
      </c>
      <c r="C580" t="s">
        <v>86</v>
      </c>
      <c r="E580" t="str">
        <f>"3301040321351"</f>
        <v>3301040321351</v>
      </c>
      <c r="H580" t="s">
        <v>837</v>
      </c>
      <c r="I580">
        <v>12</v>
      </c>
      <c r="J580">
        <v>1</v>
      </c>
      <c r="K580">
        <v>12</v>
      </c>
      <c r="L580">
        <v>0.66</v>
      </c>
      <c r="M580">
        <v>0.59399999999999997</v>
      </c>
      <c r="N580">
        <v>0.33300000000000002</v>
      </c>
      <c r="O580">
        <v>3.996</v>
      </c>
      <c r="P580">
        <v>0.81</v>
      </c>
      <c r="Q580">
        <v>9.7200000000000006</v>
      </c>
    </row>
    <row r="581" spans="1:17" x14ac:dyDescent="0.25">
      <c r="A581">
        <v>18770082</v>
      </c>
      <c r="B581">
        <v>1008055</v>
      </c>
      <c r="C581" t="s">
        <v>85</v>
      </c>
      <c r="E581" t="str">
        <f>"5010993797806"</f>
        <v>5010993797806</v>
      </c>
      <c r="H581" t="s">
        <v>836</v>
      </c>
      <c r="I581">
        <v>1</v>
      </c>
      <c r="J581">
        <v>2</v>
      </c>
      <c r="K581">
        <v>2</v>
      </c>
      <c r="L581">
        <v>0.6</v>
      </c>
      <c r="M581">
        <v>0.54</v>
      </c>
      <c r="N581">
        <v>1.875</v>
      </c>
      <c r="O581">
        <v>3.75</v>
      </c>
      <c r="P581">
        <v>11.17</v>
      </c>
      <c r="Q581">
        <v>22.34</v>
      </c>
    </row>
    <row r="582" spans="1:17" x14ac:dyDescent="0.25">
      <c r="A582">
        <v>18770082</v>
      </c>
      <c r="B582">
        <v>1002446</v>
      </c>
      <c r="C582" t="s">
        <v>82</v>
      </c>
      <c r="E582" t="str">
        <f>"3296580369300"</f>
        <v>3296580369300</v>
      </c>
      <c r="H582" t="s">
        <v>835</v>
      </c>
      <c r="I582">
        <v>1</v>
      </c>
      <c r="J582">
        <v>1</v>
      </c>
      <c r="K582">
        <v>1</v>
      </c>
      <c r="L582">
        <v>0.25</v>
      </c>
      <c r="M582">
        <v>0.22500000000000001</v>
      </c>
      <c r="N582">
        <v>2.484</v>
      </c>
      <c r="O582">
        <v>2.484</v>
      </c>
      <c r="P582">
        <v>12.94</v>
      </c>
      <c r="Q582">
        <v>12.94</v>
      </c>
    </row>
    <row r="583" spans="1:17" x14ac:dyDescent="0.25">
      <c r="A583">
        <v>18770082</v>
      </c>
      <c r="B583">
        <v>991143</v>
      </c>
      <c r="C583" t="s">
        <v>81</v>
      </c>
      <c r="E583" t="str">
        <f>"3491955645533"</f>
        <v>3491955645533</v>
      </c>
      <c r="H583" t="s">
        <v>837</v>
      </c>
      <c r="I583">
        <v>6</v>
      </c>
      <c r="J583">
        <v>1</v>
      </c>
      <c r="K583">
        <v>6</v>
      </c>
      <c r="L583">
        <v>4.9980000000000002</v>
      </c>
      <c r="M583">
        <v>4.4980000000000002</v>
      </c>
      <c r="N583">
        <v>4.1059999999999999</v>
      </c>
      <c r="O583">
        <v>24.635999999999999</v>
      </c>
      <c r="P583">
        <v>3.33</v>
      </c>
      <c r="Q583">
        <v>19.98</v>
      </c>
    </row>
    <row r="584" spans="1:17" x14ac:dyDescent="0.25">
      <c r="A584">
        <v>18770082</v>
      </c>
      <c r="B584">
        <v>948639</v>
      </c>
      <c r="C584" t="s">
        <v>83</v>
      </c>
      <c r="E584" t="str">
        <f>"778988329368"</f>
        <v>778988329368</v>
      </c>
      <c r="F584" t="str">
        <f>"778988389478"</f>
        <v>778988389478</v>
      </c>
      <c r="H584" t="s">
        <v>837</v>
      </c>
      <c r="I584">
        <v>3</v>
      </c>
      <c r="J584">
        <v>1</v>
      </c>
      <c r="K584">
        <v>3</v>
      </c>
      <c r="L584">
        <v>1.548</v>
      </c>
      <c r="M584">
        <v>1.393</v>
      </c>
      <c r="N584">
        <v>4.18</v>
      </c>
      <c r="O584">
        <v>12.54</v>
      </c>
      <c r="P584">
        <v>17.36</v>
      </c>
      <c r="Q584">
        <v>52.08</v>
      </c>
    </row>
    <row r="585" spans="1:17" x14ac:dyDescent="0.25">
      <c r="A585">
        <v>18770082</v>
      </c>
      <c r="B585">
        <v>962481</v>
      </c>
      <c r="C585" t="s">
        <v>89</v>
      </c>
      <c r="E585" t="str">
        <f>"5413247092489"</f>
        <v>5413247092489</v>
      </c>
      <c r="H585" t="s">
        <v>836</v>
      </c>
      <c r="I585">
        <v>1</v>
      </c>
      <c r="J585">
        <v>3</v>
      </c>
      <c r="K585">
        <v>3</v>
      </c>
      <c r="L585">
        <v>1.8120000000000001</v>
      </c>
      <c r="M585">
        <v>1.631</v>
      </c>
      <c r="N585">
        <v>6.1879999999999997</v>
      </c>
      <c r="O585">
        <v>18.564</v>
      </c>
      <c r="P585">
        <v>6.28</v>
      </c>
      <c r="Q585">
        <v>18.84</v>
      </c>
    </row>
    <row r="586" spans="1:17" x14ac:dyDescent="0.25">
      <c r="A586">
        <v>18770082</v>
      </c>
      <c r="B586">
        <v>1002461</v>
      </c>
      <c r="C586" t="s">
        <v>72</v>
      </c>
      <c r="E586" t="str">
        <f>"3296580369003"</f>
        <v>3296580369003</v>
      </c>
      <c r="H586" t="s">
        <v>835</v>
      </c>
      <c r="I586">
        <v>1</v>
      </c>
      <c r="J586">
        <v>1</v>
      </c>
      <c r="K586">
        <v>1</v>
      </c>
      <c r="L586">
        <v>0.25</v>
      </c>
      <c r="M586">
        <v>0.22500000000000001</v>
      </c>
      <c r="N586">
        <v>2.484</v>
      </c>
      <c r="O586">
        <v>2.484</v>
      </c>
      <c r="P586">
        <v>12.94</v>
      </c>
      <c r="Q586">
        <v>12.94</v>
      </c>
    </row>
    <row r="587" spans="1:17" x14ac:dyDescent="0.25">
      <c r="A587">
        <v>18770082</v>
      </c>
      <c r="B587">
        <v>667941</v>
      </c>
      <c r="C587" t="s">
        <v>71</v>
      </c>
      <c r="E587" t="str">
        <f>"3491953189022"</f>
        <v>3491953189022</v>
      </c>
      <c r="F587" t="str">
        <f>"3491955529635"</f>
        <v>3491955529635</v>
      </c>
      <c r="H587" t="s">
        <v>836</v>
      </c>
      <c r="I587">
        <v>6</v>
      </c>
      <c r="J587">
        <v>1</v>
      </c>
      <c r="K587">
        <v>6</v>
      </c>
      <c r="L587">
        <v>7.9980000000000002</v>
      </c>
      <c r="M587">
        <v>7.1980000000000004</v>
      </c>
      <c r="N587">
        <v>24.05</v>
      </c>
      <c r="O587">
        <v>144.30000000000001</v>
      </c>
      <c r="P587">
        <v>14.95</v>
      </c>
      <c r="Q587">
        <v>89.7</v>
      </c>
    </row>
    <row r="588" spans="1:17" x14ac:dyDescent="0.25">
      <c r="A588">
        <v>18770082</v>
      </c>
      <c r="B588">
        <v>999772</v>
      </c>
      <c r="C588" t="s">
        <v>70</v>
      </c>
      <c r="E588" t="str">
        <f>"5400868013443"</f>
        <v>5400868013443</v>
      </c>
      <c r="H588" t="s">
        <v>836</v>
      </c>
      <c r="I588">
        <v>1</v>
      </c>
      <c r="J588">
        <v>2</v>
      </c>
      <c r="K588">
        <v>2</v>
      </c>
      <c r="L588">
        <v>0.51600000000000001</v>
      </c>
      <c r="M588">
        <v>0.46400000000000002</v>
      </c>
      <c r="N588">
        <v>4.0250000000000004</v>
      </c>
      <c r="O588">
        <v>8.0500000000000007</v>
      </c>
      <c r="P588">
        <v>4.68</v>
      </c>
      <c r="Q588">
        <v>9.36</v>
      </c>
    </row>
    <row r="589" spans="1:17" x14ac:dyDescent="0.25">
      <c r="A589">
        <v>18770082</v>
      </c>
      <c r="B589">
        <v>999773</v>
      </c>
      <c r="C589" t="s">
        <v>80</v>
      </c>
      <c r="E589" t="str">
        <f>"5400868013467"</f>
        <v>5400868013467</v>
      </c>
      <c r="H589" t="s">
        <v>836</v>
      </c>
      <c r="I589">
        <v>1</v>
      </c>
      <c r="J589">
        <v>2</v>
      </c>
      <c r="K589">
        <v>2</v>
      </c>
      <c r="L589">
        <v>2.1659999999999999</v>
      </c>
      <c r="M589">
        <v>1.9490000000000001</v>
      </c>
      <c r="N589">
        <v>14.592000000000001</v>
      </c>
      <c r="O589">
        <v>29.184000000000001</v>
      </c>
      <c r="P589">
        <v>12.26</v>
      </c>
      <c r="Q589">
        <v>24.52</v>
      </c>
    </row>
    <row r="590" spans="1:17" x14ac:dyDescent="0.25">
      <c r="A590">
        <v>18770082</v>
      </c>
      <c r="B590">
        <v>962196</v>
      </c>
      <c r="C590" t="s">
        <v>55</v>
      </c>
      <c r="E590" t="str">
        <f>"8710675135175"</f>
        <v>8710675135175</v>
      </c>
      <c r="F590" t="str">
        <f>"8710675220109"</f>
        <v>8710675220109</v>
      </c>
      <c r="H590" t="s">
        <v>845</v>
      </c>
      <c r="I590">
        <v>16</v>
      </c>
      <c r="J590">
        <v>1</v>
      </c>
      <c r="K590">
        <v>16</v>
      </c>
      <c r="L590">
        <v>6.992</v>
      </c>
      <c r="M590">
        <v>6.2930000000000001</v>
      </c>
      <c r="N590">
        <v>3.2810000000000001</v>
      </c>
      <c r="O590">
        <v>52.496000000000002</v>
      </c>
      <c r="P590">
        <v>1.1100000000000001</v>
      </c>
      <c r="Q590">
        <v>17.760000000000002</v>
      </c>
    </row>
    <row r="591" spans="1:17" x14ac:dyDescent="0.25">
      <c r="A591">
        <v>18770082</v>
      </c>
      <c r="B591">
        <v>759349</v>
      </c>
      <c r="C591" t="s">
        <v>50</v>
      </c>
      <c r="E591" t="str">
        <f>"3491953393436"</f>
        <v>3491953393436</v>
      </c>
      <c r="F591" t="str">
        <f>"8710675164250"</f>
        <v>8710675164250</v>
      </c>
      <c r="H591" t="s">
        <v>842</v>
      </c>
      <c r="I591">
        <v>36</v>
      </c>
      <c r="J591">
        <v>1</v>
      </c>
      <c r="K591">
        <v>36</v>
      </c>
      <c r="L591">
        <v>3.996</v>
      </c>
      <c r="M591">
        <v>3.5960000000000001</v>
      </c>
      <c r="N591">
        <v>1.32</v>
      </c>
      <c r="O591">
        <v>47.52</v>
      </c>
      <c r="P591">
        <v>0.76</v>
      </c>
      <c r="Q591">
        <v>27.36</v>
      </c>
    </row>
    <row r="592" spans="1:17" x14ac:dyDescent="0.25">
      <c r="A592">
        <v>18770082</v>
      </c>
      <c r="B592">
        <v>968406</v>
      </c>
      <c r="C592" t="s">
        <v>47</v>
      </c>
      <c r="E592" t="str">
        <f>"194099027359"</f>
        <v>194099027359</v>
      </c>
      <c r="H592" t="s">
        <v>841</v>
      </c>
      <c r="I592">
        <v>1</v>
      </c>
      <c r="J592">
        <v>4</v>
      </c>
      <c r="K592">
        <v>4</v>
      </c>
      <c r="L592">
        <v>1.54</v>
      </c>
      <c r="M592">
        <v>1.3859999999999999</v>
      </c>
      <c r="N592">
        <v>5.28</v>
      </c>
      <c r="O592">
        <v>21.12</v>
      </c>
      <c r="P592">
        <v>12.47</v>
      </c>
      <c r="Q592">
        <v>49.88</v>
      </c>
    </row>
    <row r="593" spans="1:17" x14ac:dyDescent="0.25">
      <c r="A593">
        <v>18770082</v>
      </c>
      <c r="B593">
        <v>968396</v>
      </c>
      <c r="C593" t="s">
        <v>49</v>
      </c>
      <c r="E593" t="str">
        <f>"194099027366"</f>
        <v>194099027366</v>
      </c>
      <c r="H593" t="s">
        <v>841</v>
      </c>
      <c r="I593">
        <v>1</v>
      </c>
      <c r="J593">
        <v>4</v>
      </c>
      <c r="K593">
        <v>4</v>
      </c>
      <c r="L593">
        <v>2.08</v>
      </c>
      <c r="M593">
        <v>1.8720000000000001</v>
      </c>
      <c r="N593">
        <v>4.4630000000000001</v>
      </c>
      <c r="O593">
        <v>17.852</v>
      </c>
      <c r="P593">
        <v>12.47</v>
      </c>
      <c r="Q593">
        <v>49.88</v>
      </c>
    </row>
    <row r="594" spans="1:17" x14ac:dyDescent="0.25">
      <c r="A594">
        <v>18770082</v>
      </c>
      <c r="B594">
        <v>1007226</v>
      </c>
      <c r="C594" t="s">
        <v>44</v>
      </c>
      <c r="E594" t="str">
        <f>"820650554629"</f>
        <v>820650554629</v>
      </c>
      <c r="H594" t="s">
        <v>840</v>
      </c>
      <c r="I594">
        <v>1</v>
      </c>
      <c r="J594">
        <v>2</v>
      </c>
      <c r="K594">
        <v>2</v>
      </c>
      <c r="L594">
        <v>1.444</v>
      </c>
      <c r="M594">
        <v>1.3</v>
      </c>
      <c r="N594">
        <v>3.3119999999999998</v>
      </c>
      <c r="O594">
        <v>6.6239999999999997</v>
      </c>
      <c r="P594">
        <v>26.12</v>
      </c>
      <c r="Q594">
        <v>52.24</v>
      </c>
    </row>
    <row r="595" spans="1:17" x14ac:dyDescent="0.25">
      <c r="A595">
        <v>18770082</v>
      </c>
      <c r="B595">
        <v>968385</v>
      </c>
      <c r="C595" t="s">
        <v>46</v>
      </c>
      <c r="E595" t="str">
        <f>"194099027342"</f>
        <v>194099027342</v>
      </c>
      <c r="H595" t="s">
        <v>841</v>
      </c>
      <c r="I595">
        <v>1</v>
      </c>
      <c r="J595">
        <v>2</v>
      </c>
      <c r="K595">
        <v>2</v>
      </c>
      <c r="L595">
        <v>0.69</v>
      </c>
      <c r="M595">
        <v>0.621</v>
      </c>
      <c r="N595">
        <v>5.28</v>
      </c>
      <c r="O595">
        <v>10.56</v>
      </c>
      <c r="P595">
        <v>12.47</v>
      </c>
      <c r="Q595">
        <v>24.94</v>
      </c>
    </row>
    <row r="596" spans="1:17" x14ac:dyDescent="0.25">
      <c r="A596">
        <v>18770082</v>
      </c>
      <c r="B596">
        <v>968407</v>
      </c>
      <c r="C596" t="s">
        <v>48</v>
      </c>
      <c r="E596" t="str">
        <f>"194099027373"</f>
        <v>194099027373</v>
      </c>
      <c r="H596" t="s">
        <v>841</v>
      </c>
      <c r="I596">
        <v>1</v>
      </c>
      <c r="J596">
        <v>5</v>
      </c>
      <c r="K596">
        <v>5</v>
      </c>
      <c r="L596">
        <v>1.925</v>
      </c>
      <c r="M596">
        <v>1.7330000000000001</v>
      </c>
      <c r="N596">
        <v>5.76</v>
      </c>
      <c r="O596">
        <v>28.8</v>
      </c>
      <c r="P596">
        <v>12.47</v>
      </c>
      <c r="Q596">
        <v>62.35</v>
      </c>
    </row>
    <row r="597" spans="1:17" x14ac:dyDescent="0.25">
      <c r="A597">
        <v>18770082</v>
      </c>
      <c r="B597">
        <v>1000267</v>
      </c>
      <c r="C597" t="s">
        <v>79</v>
      </c>
      <c r="E597" t="str">
        <f>"5413247094711"</f>
        <v>5413247094711</v>
      </c>
      <c r="H597" t="s">
        <v>836</v>
      </c>
      <c r="I597">
        <v>12</v>
      </c>
      <c r="J597">
        <v>1</v>
      </c>
      <c r="K597">
        <v>12</v>
      </c>
      <c r="L597">
        <v>0.624</v>
      </c>
      <c r="M597">
        <v>0.56200000000000006</v>
      </c>
      <c r="N597">
        <v>0.64500000000000002</v>
      </c>
      <c r="O597">
        <v>7.74</v>
      </c>
      <c r="P597">
        <v>0.76</v>
      </c>
      <c r="Q597">
        <v>9.1199999999999992</v>
      </c>
    </row>
    <row r="598" spans="1:17" x14ac:dyDescent="0.25">
      <c r="A598">
        <v>18770082</v>
      </c>
      <c r="B598">
        <v>957389</v>
      </c>
      <c r="C598" t="s">
        <v>78</v>
      </c>
      <c r="E598" t="str">
        <f>"5400868008142"</f>
        <v>5400868008142</v>
      </c>
      <c r="F598" t="str">
        <f>"5400868017724"</f>
        <v>5400868017724</v>
      </c>
      <c r="H598" t="s">
        <v>787</v>
      </c>
      <c r="I598">
        <v>6</v>
      </c>
      <c r="J598">
        <v>1</v>
      </c>
      <c r="K598">
        <v>6</v>
      </c>
      <c r="L598">
        <v>6.4980000000000002</v>
      </c>
      <c r="M598">
        <v>5.8479999999999999</v>
      </c>
      <c r="N598">
        <v>14.058</v>
      </c>
      <c r="O598">
        <v>84.347999999999999</v>
      </c>
      <c r="P598">
        <v>12.47</v>
      </c>
      <c r="Q598">
        <v>74.819999999999993</v>
      </c>
    </row>
    <row r="599" spans="1:17" x14ac:dyDescent="0.25">
      <c r="A599">
        <v>18770082</v>
      </c>
      <c r="B599">
        <v>999687</v>
      </c>
      <c r="C599" t="s">
        <v>66</v>
      </c>
      <c r="E599" t="str">
        <f>"4891813886143"</f>
        <v>4891813886143</v>
      </c>
      <c r="H599" t="s">
        <v>836</v>
      </c>
      <c r="I599">
        <v>1</v>
      </c>
      <c r="J599">
        <v>2</v>
      </c>
      <c r="K599">
        <v>2</v>
      </c>
      <c r="L599">
        <v>0.45200000000000001</v>
      </c>
      <c r="M599">
        <v>0.40699999999999997</v>
      </c>
      <c r="N599">
        <v>3.75</v>
      </c>
      <c r="O599">
        <v>7.5</v>
      </c>
      <c r="P599">
        <v>10.15</v>
      </c>
      <c r="Q599">
        <v>20.3</v>
      </c>
    </row>
    <row r="600" spans="1:17" x14ac:dyDescent="0.25">
      <c r="A600">
        <v>18770082</v>
      </c>
      <c r="B600">
        <v>1001729</v>
      </c>
      <c r="C600" t="s">
        <v>67</v>
      </c>
      <c r="E600" t="str">
        <f>"887961991307"</f>
        <v>887961991307</v>
      </c>
      <c r="H600" t="s">
        <v>835</v>
      </c>
      <c r="I600">
        <v>1</v>
      </c>
      <c r="J600">
        <v>2</v>
      </c>
      <c r="K600">
        <v>2</v>
      </c>
      <c r="L600">
        <v>0.69199999999999995</v>
      </c>
      <c r="M600">
        <v>0.623</v>
      </c>
      <c r="N600">
        <v>5.2</v>
      </c>
      <c r="O600">
        <v>10.4</v>
      </c>
      <c r="P600">
        <v>7.05</v>
      </c>
      <c r="Q600">
        <v>14.1</v>
      </c>
    </row>
    <row r="601" spans="1:17" x14ac:dyDescent="0.25">
      <c r="A601">
        <v>18796304</v>
      </c>
      <c r="B601">
        <v>978085</v>
      </c>
      <c r="C601" t="s">
        <v>110</v>
      </c>
      <c r="E601" t="str">
        <f>"2000007084070"</f>
        <v>2000007084070</v>
      </c>
      <c r="H601" t="s">
        <v>707</v>
      </c>
      <c r="I601">
        <v>2</v>
      </c>
      <c r="J601">
        <v>1</v>
      </c>
      <c r="K601">
        <v>2</v>
      </c>
      <c r="L601">
        <v>2E-3</v>
      </c>
      <c r="M601">
        <v>2E-3</v>
      </c>
      <c r="N601">
        <v>0.26900000000000002</v>
      </c>
      <c r="O601">
        <v>0.53800000000000003</v>
      </c>
      <c r="P601">
        <v>0.86</v>
      </c>
      <c r="Q601">
        <v>1.72</v>
      </c>
    </row>
    <row r="602" spans="1:17" x14ac:dyDescent="0.25">
      <c r="A602">
        <v>18796304</v>
      </c>
      <c r="B602">
        <v>978084</v>
      </c>
      <c r="C602" t="s">
        <v>111</v>
      </c>
      <c r="E602" t="str">
        <f>"2000007084063"</f>
        <v>2000007084063</v>
      </c>
      <c r="H602" t="s">
        <v>707</v>
      </c>
      <c r="I602">
        <v>2</v>
      </c>
      <c r="J602">
        <v>2</v>
      </c>
      <c r="K602">
        <v>4</v>
      </c>
      <c r="L602">
        <v>0.22</v>
      </c>
      <c r="M602">
        <v>0.19800000000000001</v>
      </c>
      <c r="N602">
        <v>0.01</v>
      </c>
      <c r="O602">
        <v>0.04</v>
      </c>
      <c r="P602">
        <v>0.86</v>
      </c>
      <c r="Q602">
        <v>3.44</v>
      </c>
    </row>
    <row r="603" spans="1:17" x14ac:dyDescent="0.25">
      <c r="A603">
        <v>18796304</v>
      </c>
      <c r="B603">
        <v>980743</v>
      </c>
      <c r="C603" t="s">
        <v>120</v>
      </c>
      <c r="E603" t="str">
        <f>"2000007086890"</f>
        <v>2000007086890</v>
      </c>
      <c r="H603" t="s">
        <v>857</v>
      </c>
      <c r="I603">
        <v>6</v>
      </c>
      <c r="J603">
        <v>1</v>
      </c>
      <c r="K603">
        <v>6</v>
      </c>
      <c r="L603">
        <v>1.6739999999999999</v>
      </c>
      <c r="M603">
        <v>1.5069999999999999</v>
      </c>
      <c r="N603">
        <v>2.2029999999999998</v>
      </c>
      <c r="O603">
        <v>13.218</v>
      </c>
      <c r="P603">
        <v>5.68</v>
      </c>
      <c r="Q603">
        <v>34.08</v>
      </c>
    </row>
    <row r="604" spans="1:17" x14ac:dyDescent="0.25">
      <c r="A604">
        <v>18796304</v>
      </c>
      <c r="B604">
        <v>977042</v>
      </c>
      <c r="C604" t="s">
        <v>135</v>
      </c>
      <c r="E604" t="str">
        <f>"2000007059559"</f>
        <v>2000007059559</v>
      </c>
      <c r="H604" t="s">
        <v>725</v>
      </c>
      <c r="I604">
        <v>8</v>
      </c>
      <c r="J604">
        <v>1</v>
      </c>
      <c r="K604">
        <v>8</v>
      </c>
      <c r="L604">
        <v>0.76800000000000002</v>
      </c>
      <c r="M604">
        <v>0.69099999999999995</v>
      </c>
      <c r="N604">
        <v>1E-3</v>
      </c>
      <c r="O604">
        <v>8.0000000000000002E-3</v>
      </c>
      <c r="P604">
        <v>2.93</v>
      </c>
      <c r="Q604">
        <v>23.44</v>
      </c>
    </row>
    <row r="605" spans="1:17" x14ac:dyDescent="0.25">
      <c r="A605">
        <v>18796304</v>
      </c>
      <c r="B605">
        <v>981408</v>
      </c>
      <c r="C605" t="s">
        <v>568</v>
      </c>
      <c r="E605" t="str">
        <f>"2000007059542"</f>
        <v>2000007059542</v>
      </c>
      <c r="H605" t="s">
        <v>728</v>
      </c>
      <c r="I605">
        <v>8</v>
      </c>
      <c r="J605">
        <v>1</v>
      </c>
      <c r="K605">
        <v>8</v>
      </c>
      <c r="L605">
        <v>0.624</v>
      </c>
      <c r="M605">
        <v>0.56200000000000006</v>
      </c>
      <c r="N605">
        <v>0.83599999999999997</v>
      </c>
      <c r="O605">
        <v>6.6879999999999997</v>
      </c>
      <c r="P605">
        <v>3.25</v>
      </c>
      <c r="Q605">
        <v>26</v>
      </c>
    </row>
    <row r="606" spans="1:17" x14ac:dyDescent="0.25">
      <c r="A606">
        <v>18796304</v>
      </c>
      <c r="B606">
        <v>980687</v>
      </c>
      <c r="C606" t="s">
        <v>569</v>
      </c>
      <c r="E606" t="str">
        <f>"2000007061910"</f>
        <v>2000007061910</v>
      </c>
      <c r="H606" t="s">
        <v>720</v>
      </c>
      <c r="I606">
        <v>12</v>
      </c>
      <c r="J606">
        <v>2</v>
      </c>
      <c r="K606">
        <v>24</v>
      </c>
      <c r="L606">
        <v>2.4239999999999999</v>
      </c>
      <c r="M606">
        <v>2.1819999999999999</v>
      </c>
      <c r="N606">
        <v>0.625</v>
      </c>
      <c r="O606">
        <v>15</v>
      </c>
      <c r="P606">
        <v>1.36</v>
      </c>
      <c r="Q606">
        <v>32.64</v>
      </c>
    </row>
    <row r="607" spans="1:17" x14ac:dyDescent="0.25">
      <c r="A607">
        <v>18796304</v>
      </c>
      <c r="B607">
        <v>980637</v>
      </c>
      <c r="C607" t="s">
        <v>125</v>
      </c>
      <c r="E607" t="str">
        <f>"2000007113992"</f>
        <v>2000007113992</v>
      </c>
      <c r="H607" t="s">
        <v>859</v>
      </c>
      <c r="I607">
        <v>6</v>
      </c>
      <c r="J607">
        <v>1</v>
      </c>
      <c r="K607">
        <v>6</v>
      </c>
      <c r="L607">
        <v>1.3140000000000001</v>
      </c>
      <c r="M607">
        <v>1.1830000000000001</v>
      </c>
      <c r="N607">
        <v>1.6379999999999999</v>
      </c>
      <c r="O607">
        <v>9.8279999999999994</v>
      </c>
      <c r="P607">
        <v>6.95</v>
      </c>
      <c r="Q607">
        <v>41.7</v>
      </c>
    </row>
    <row r="608" spans="1:17" x14ac:dyDescent="0.25">
      <c r="A608">
        <v>18796304</v>
      </c>
      <c r="B608">
        <v>980715</v>
      </c>
      <c r="C608" t="s">
        <v>126</v>
      </c>
      <c r="E608" t="str">
        <f>"2000007114937"</f>
        <v>2000007114937</v>
      </c>
      <c r="H608" t="s">
        <v>851</v>
      </c>
      <c r="I608">
        <v>1</v>
      </c>
      <c r="J608">
        <v>6</v>
      </c>
      <c r="K608">
        <v>6</v>
      </c>
      <c r="L608">
        <v>1.458</v>
      </c>
      <c r="M608">
        <v>1.3120000000000001</v>
      </c>
      <c r="N608">
        <v>2</v>
      </c>
      <c r="O608">
        <v>12</v>
      </c>
      <c r="P608">
        <v>8.3000000000000007</v>
      </c>
      <c r="Q608">
        <v>49.8</v>
      </c>
    </row>
    <row r="609" spans="1:17" x14ac:dyDescent="0.25">
      <c r="A609">
        <v>18796304</v>
      </c>
      <c r="B609">
        <v>980887</v>
      </c>
      <c r="C609" t="s">
        <v>119</v>
      </c>
      <c r="E609" t="str">
        <f>"2000007079380"</f>
        <v>2000007079380</v>
      </c>
      <c r="H609" t="s">
        <v>711</v>
      </c>
      <c r="I609">
        <v>6</v>
      </c>
      <c r="J609">
        <v>1</v>
      </c>
      <c r="K609">
        <v>6</v>
      </c>
      <c r="L609">
        <v>1.698</v>
      </c>
      <c r="M609">
        <v>1.528</v>
      </c>
      <c r="N609">
        <v>2.46</v>
      </c>
      <c r="O609">
        <v>14.76</v>
      </c>
      <c r="P609">
        <v>5.29</v>
      </c>
      <c r="Q609">
        <v>31.74</v>
      </c>
    </row>
    <row r="610" spans="1:17" x14ac:dyDescent="0.25">
      <c r="A610">
        <v>18796304</v>
      </c>
      <c r="B610">
        <v>980889</v>
      </c>
      <c r="C610" t="s">
        <v>124</v>
      </c>
      <c r="E610" t="str">
        <f>"2000007086906"</f>
        <v>2000007086906</v>
      </c>
      <c r="H610" t="s">
        <v>857</v>
      </c>
      <c r="I610">
        <v>6</v>
      </c>
      <c r="J610">
        <v>1</v>
      </c>
      <c r="K610">
        <v>6</v>
      </c>
      <c r="L610">
        <v>2.2200000000000002</v>
      </c>
      <c r="M610">
        <v>1.998</v>
      </c>
      <c r="N610">
        <v>1.728</v>
      </c>
      <c r="O610">
        <v>10.368</v>
      </c>
      <c r="P610">
        <v>5.76</v>
      </c>
      <c r="Q610">
        <v>34.56</v>
      </c>
    </row>
    <row r="611" spans="1:17" x14ac:dyDescent="0.25">
      <c r="A611">
        <v>18796304</v>
      </c>
      <c r="B611">
        <v>980656</v>
      </c>
      <c r="C611" t="s">
        <v>123</v>
      </c>
      <c r="E611" t="str">
        <f>"2000007089624"</f>
        <v>2000007089624</v>
      </c>
      <c r="H611" t="s">
        <v>858</v>
      </c>
      <c r="I611">
        <v>6</v>
      </c>
      <c r="J611">
        <v>1</v>
      </c>
      <c r="K611">
        <v>6</v>
      </c>
      <c r="L611">
        <v>1.452</v>
      </c>
      <c r="M611">
        <v>1.3069999999999999</v>
      </c>
      <c r="N611">
        <v>2</v>
      </c>
      <c r="O611">
        <v>12</v>
      </c>
      <c r="P611">
        <v>4.6399999999999997</v>
      </c>
      <c r="Q611">
        <v>27.84</v>
      </c>
    </row>
    <row r="612" spans="1:17" x14ac:dyDescent="0.25">
      <c r="A612">
        <v>18796304</v>
      </c>
      <c r="B612">
        <v>980739</v>
      </c>
      <c r="C612" t="s">
        <v>121</v>
      </c>
      <c r="E612" t="str">
        <f>"2000007067653"</f>
        <v>2000007067653</v>
      </c>
      <c r="H612" t="s">
        <v>714</v>
      </c>
      <c r="I612">
        <v>6</v>
      </c>
      <c r="J612">
        <v>1</v>
      </c>
      <c r="K612">
        <v>6</v>
      </c>
      <c r="L612">
        <v>1.3979999999999999</v>
      </c>
      <c r="M612">
        <v>1.258</v>
      </c>
      <c r="N612">
        <v>2.5710000000000002</v>
      </c>
      <c r="O612">
        <v>15.426</v>
      </c>
      <c r="P612">
        <v>5.91</v>
      </c>
      <c r="Q612">
        <v>35.46</v>
      </c>
    </row>
    <row r="613" spans="1:17" x14ac:dyDescent="0.25">
      <c r="A613">
        <v>18796304</v>
      </c>
      <c r="B613">
        <v>980742</v>
      </c>
      <c r="C613" t="s">
        <v>122</v>
      </c>
      <c r="E613" t="str">
        <f>"2000007079373"</f>
        <v>2000007079373</v>
      </c>
      <c r="H613" t="s">
        <v>711</v>
      </c>
      <c r="I613">
        <v>6</v>
      </c>
      <c r="J613">
        <v>1</v>
      </c>
      <c r="K613">
        <v>6</v>
      </c>
      <c r="L613">
        <v>1.1399999999999999</v>
      </c>
      <c r="M613">
        <v>1.026</v>
      </c>
      <c r="N613">
        <v>1.4930000000000001</v>
      </c>
      <c r="O613">
        <v>8.9580000000000002</v>
      </c>
      <c r="P613">
        <v>5.32</v>
      </c>
      <c r="Q613">
        <v>31.92</v>
      </c>
    </row>
    <row r="614" spans="1:17" x14ac:dyDescent="0.25">
      <c r="A614">
        <v>18796304</v>
      </c>
      <c r="B614">
        <v>1020568</v>
      </c>
      <c r="C614" t="s">
        <v>109</v>
      </c>
      <c r="E614" t="str">
        <f>"2000007114944"</f>
        <v>2000007114944</v>
      </c>
      <c r="H614" t="s">
        <v>851</v>
      </c>
      <c r="I614">
        <v>6</v>
      </c>
      <c r="J614">
        <v>1</v>
      </c>
      <c r="K614">
        <v>6</v>
      </c>
      <c r="L614">
        <v>1.3620000000000001</v>
      </c>
      <c r="M614">
        <v>1.226</v>
      </c>
      <c r="N614">
        <v>2</v>
      </c>
      <c r="O614">
        <v>12</v>
      </c>
      <c r="P614">
        <v>7.19</v>
      </c>
      <c r="Q614">
        <v>43.14</v>
      </c>
    </row>
    <row r="615" spans="1:17" x14ac:dyDescent="0.25">
      <c r="A615">
        <v>18796304</v>
      </c>
      <c r="B615">
        <v>980634</v>
      </c>
      <c r="C615" t="s">
        <v>108</v>
      </c>
      <c r="E615" t="str">
        <f>"2000007114920"</f>
        <v>2000007114920</v>
      </c>
      <c r="H615" t="s">
        <v>853</v>
      </c>
      <c r="I615">
        <v>6</v>
      </c>
      <c r="J615">
        <v>1</v>
      </c>
      <c r="K615">
        <v>6</v>
      </c>
      <c r="L615">
        <v>1.266</v>
      </c>
      <c r="M615">
        <v>1.139</v>
      </c>
      <c r="N615">
        <v>2</v>
      </c>
      <c r="O615">
        <v>12</v>
      </c>
      <c r="P615">
        <v>6.34</v>
      </c>
      <c r="Q615">
        <v>38.04</v>
      </c>
    </row>
    <row r="616" spans="1:17" x14ac:dyDescent="0.25">
      <c r="A616">
        <v>18796304</v>
      </c>
      <c r="B616">
        <v>980691</v>
      </c>
      <c r="C616" t="s">
        <v>107</v>
      </c>
      <c r="E616" t="str">
        <f>"2000007114906"</f>
        <v>2000007114906</v>
      </c>
      <c r="H616" t="s">
        <v>852</v>
      </c>
      <c r="I616">
        <v>1</v>
      </c>
      <c r="J616">
        <v>6</v>
      </c>
      <c r="K616">
        <v>6</v>
      </c>
      <c r="L616">
        <v>1.8480000000000001</v>
      </c>
      <c r="M616">
        <v>1.663</v>
      </c>
      <c r="N616">
        <v>2</v>
      </c>
      <c r="O616">
        <v>12</v>
      </c>
      <c r="P616">
        <v>8.3000000000000007</v>
      </c>
      <c r="Q616">
        <v>49.8</v>
      </c>
    </row>
    <row r="617" spans="1:17" x14ac:dyDescent="0.25">
      <c r="A617">
        <v>18796304</v>
      </c>
      <c r="B617">
        <v>981033</v>
      </c>
      <c r="C617" t="s">
        <v>134</v>
      </c>
      <c r="E617" t="str">
        <f>"2000007114913"</f>
        <v>2000007114913</v>
      </c>
      <c r="H617" t="s">
        <v>852</v>
      </c>
      <c r="I617">
        <v>1</v>
      </c>
      <c r="J617">
        <v>6</v>
      </c>
      <c r="K617">
        <v>6</v>
      </c>
      <c r="L617">
        <v>1.8240000000000001</v>
      </c>
      <c r="M617">
        <v>1.6419999999999999</v>
      </c>
      <c r="N617">
        <v>2</v>
      </c>
      <c r="O617">
        <v>12</v>
      </c>
      <c r="P617">
        <v>8.3000000000000007</v>
      </c>
      <c r="Q617">
        <v>49.8</v>
      </c>
    </row>
    <row r="618" spans="1:17" x14ac:dyDescent="0.25">
      <c r="A618">
        <v>18796304</v>
      </c>
      <c r="B618">
        <v>980633</v>
      </c>
      <c r="C618" t="s">
        <v>106</v>
      </c>
      <c r="E618" t="str">
        <f>"2000007114890"</f>
        <v>2000007114890</v>
      </c>
      <c r="H618" t="s">
        <v>852</v>
      </c>
      <c r="I618">
        <v>6</v>
      </c>
      <c r="J618">
        <v>1</v>
      </c>
      <c r="K618">
        <v>6</v>
      </c>
      <c r="L618">
        <v>1.05</v>
      </c>
      <c r="M618">
        <v>0.94499999999999995</v>
      </c>
      <c r="N618">
        <v>1.333</v>
      </c>
      <c r="O618">
        <v>7.9980000000000002</v>
      </c>
      <c r="P618">
        <v>5.84</v>
      </c>
      <c r="Q618">
        <v>35.04</v>
      </c>
    </row>
    <row r="619" spans="1:17" x14ac:dyDescent="0.25">
      <c r="A619">
        <v>18796304</v>
      </c>
      <c r="B619">
        <v>980740</v>
      </c>
      <c r="C619" t="s">
        <v>105</v>
      </c>
      <c r="E619" t="str">
        <f>"2000007079397"</f>
        <v>2000007079397</v>
      </c>
      <c r="H619" t="s">
        <v>711</v>
      </c>
      <c r="I619">
        <v>6</v>
      </c>
      <c r="J619">
        <v>1</v>
      </c>
      <c r="K619">
        <v>6</v>
      </c>
      <c r="L619">
        <v>1.5</v>
      </c>
      <c r="M619">
        <v>1.35</v>
      </c>
      <c r="N619">
        <v>2.5030000000000001</v>
      </c>
      <c r="O619">
        <v>15.018000000000001</v>
      </c>
      <c r="P619">
        <v>5.36</v>
      </c>
      <c r="Q619">
        <v>32.159999999999997</v>
      </c>
    </row>
    <row r="620" spans="1:17" x14ac:dyDescent="0.25">
      <c r="A620">
        <v>18796304</v>
      </c>
      <c r="B620">
        <v>980744</v>
      </c>
      <c r="C620" t="s">
        <v>100</v>
      </c>
      <c r="E620" t="str">
        <f>"2000007072121"</f>
        <v>2000007072121</v>
      </c>
      <c r="H620" t="s">
        <v>850</v>
      </c>
      <c r="I620">
        <v>1</v>
      </c>
      <c r="J620">
        <v>6</v>
      </c>
      <c r="K620">
        <v>6</v>
      </c>
      <c r="L620">
        <v>1.4159999999999999</v>
      </c>
      <c r="M620">
        <v>1.274</v>
      </c>
      <c r="N620">
        <v>2.266</v>
      </c>
      <c r="O620">
        <v>13.596</v>
      </c>
      <c r="P620">
        <v>4.22</v>
      </c>
      <c r="Q620">
        <v>25.32</v>
      </c>
    </row>
    <row r="621" spans="1:17" x14ac:dyDescent="0.25">
      <c r="A621">
        <v>18796304</v>
      </c>
      <c r="B621">
        <v>981038</v>
      </c>
      <c r="C621" t="s">
        <v>96</v>
      </c>
      <c r="E621" t="str">
        <f>"2000007113978"</f>
        <v>2000007113978</v>
      </c>
      <c r="H621" t="s">
        <v>849</v>
      </c>
      <c r="I621">
        <v>6</v>
      </c>
      <c r="J621">
        <v>1</v>
      </c>
      <c r="K621">
        <v>6</v>
      </c>
      <c r="L621">
        <v>1.1100000000000001</v>
      </c>
      <c r="M621">
        <v>0.999</v>
      </c>
      <c r="N621">
        <v>1.6659999999999999</v>
      </c>
      <c r="O621">
        <v>9.9960000000000004</v>
      </c>
      <c r="P621">
        <v>5.13</v>
      </c>
      <c r="Q621">
        <v>30.78</v>
      </c>
    </row>
    <row r="622" spans="1:17" x14ac:dyDescent="0.25">
      <c r="A622">
        <v>18796304</v>
      </c>
      <c r="B622">
        <v>980884</v>
      </c>
      <c r="C622" t="s">
        <v>94</v>
      </c>
      <c r="E622" t="str">
        <f>"2000007079403"</f>
        <v>2000007079403</v>
      </c>
      <c r="H622" t="s">
        <v>711</v>
      </c>
      <c r="I622">
        <v>6</v>
      </c>
      <c r="J622">
        <v>1</v>
      </c>
      <c r="K622">
        <v>6</v>
      </c>
      <c r="L622">
        <v>1.998</v>
      </c>
      <c r="M622">
        <v>1.798</v>
      </c>
      <c r="N622">
        <v>3.391</v>
      </c>
      <c r="O622">
        <v>20.346</v>
      </c>
      <c r="P622">
        <v>5.36</v>
      </c>
      <c r="Q622">
        <v>32.159999999999997</v>
      </c>
    </row>
    <row r="623" spans="1:17" x14ac:dyDescent="0.25">
      <c r="A623">
        <v>18796304</v>
      </c>
      <c r="B623">
        <v>980883</v>
      </c>
      <c r="C623" t="s">
        <v>104</v>
      </c>
      <c r="E623" t="str">
        <f>"2000007088405"</f>
        <v>2000007088405</v>
      </c>
      <c r="H623" t="s">
        <v>712</v>
      </c>
      <c r="I623">
        <v>6</v>
      </c>
      <c r="J623">
        <v>1</v>
      </c>
      <c r="K623">
        <v>6</v>
      </c>
      <c r="L623">
        <v>0.996</v>
      </c>
      <c r="M623">
        <v>0.89600000000000002</v>
      </c>
      <c r="N623">
        <v>1.0249999999999999</v>
      </c>
      <c r="O623">
        <v>6.15</v>
      </c>
      <c r="P623">
        <v>2.78</v>
      </c>
      <c r="Q623">
        <v>16.68</v>
      </c>
    </row>
    <row r="624" spans="1:17" x14ac:dyDescent="0.25">
      <c r="A624">
        <v>18796304</v>
      </c>
      <c r="B624">
        <v>980738</v>
      </c>
      <c r="C624" t="s">
        <v>98</v>
      </c>
      <c r="E624" t="str">
        <f>"2000007088399"</f>
        <v>2000007088399</v>
      </c>
      <c r="H624" t="s">
        <v>712</v>
      </c>
      <c r="I624">
        <v>6</v>
      </c>
      <c r="J624">
        <v>1</v>
      </c>
      <c r="K624">
        <v>6</v>
      </c>
      <c r="L624">
        <v>0.72</v>
      </c>
      <c r="M624">
        <v>0.64800000000000002</v>
      </c>
      <c r="N624">
        <v>0.8</v>
      </c>
      <c r="O624">
        <v>4.8</v>
      </c>
      <c r="P624">
        <v>2.78</v>
      </c>
      <c r="Q624">
        <v>16.68</v>
      </c>
    </row>
    <row r="625" spans="1:17" x14ac:dyDescent="0.25">
      <c r="A625">
        <v>18796304</v>
      </c>
      <c r="B625">
        <v>980886</v>
      </c>
      <c r="C625" t="s">
        <v>103</v>
      </c>
      <c r="E625" t="str">
        <f>"2000007072138"</f>
        <v>2000007072138</v>
      </c>
      <c r="H625" t="s">
        <v>850</v>
      </c>
      <c r="I625">
        <v>6</v>
      </c>
      <c r="J625">
        <v>1</v>
      </c>
      <c r="K625">
        <v>6</v>
      </c>
      <c r="L625">
        <v>1.8120000000000001</v>
      </c>
      <c r="M625">
        <v>1.631</v>
      </c>
      <c r="N625">
        <v>0.01</v>
      </c>
      <c r="O625">
        <v>0.06</v>
      </c>
      <c r="P625">
        <v>4.22</v>
      </c>
      <c r="Q625">
        <v>25.32</v>
      </c>
    </row>
    <row r="626" spans="1:17" x14ac:dyDescent="0.25">
      <c r="A626">
        <v>18796304</v>
      </c>
      <c r="B626">
        <v>1020567</v>
      </c>
      <c r="C626" t="s">
        <v>102</v>
      </c>
      <c r="E626" t="str">
        <f>"2000007114951"</f>
        <v>2000007114951</v>
      </c>
      <c r="H626" t="s">
        <v>851</v>
      </c>
      <c r="I626">
        <v>1</v>
      </c>
      <c r="J626">
        <v>6</v>
      </c>
      <c r="K626">
        <v>6</v>
      </c>
      <c r="L626">
        <v>1.1220000000000001</v>
      </c>
      <c r="M626">
        <v>1.01</v>
      </c>
      <c r="N626">
        <v>0.01</v>
      </c>
      <c r="O626">
        <v>0.06</v>
      </c>
      <c r="P626">
        <v>8.3000000000000007</v>
      </c>
      <c r="Q626">
        <v>49.8</v>
      </c>
    </row>
    <row r="627" spans="1:17" x14ac:dyDescent="0.25">
      <c r="A627">
        <v>18796304</v>
      </c>
      <c r="B627">
        <v>980239</v>
      </c>
      <c r="C627" t="s">
        <v>118</v>
      </c>
      <c r="E627" t="str">
        <f>"2000007063464"</f>
        <v>2000007063464</v>
      </c>
      <c r="H627" t="s">
        <v>856</v>
      </c>
      <c r="I627">
        <v>1</v>
      </c>
      <c r="J627">
        <v>6</v>
      </c>
      <c r="K627">
        <v>6</v>
      </c>
      <c r="L627">
        <v>5.4</v>
      </c>
      <c r="M627">
        <v>4.8600000000000003</v>
      </c>
      <c r="N627">
        <v>1.5880000000000001</v>
      </c>
      <c r="O627">
        <v>9.5280000000000005</v>
      </c>
      <c r="P627">
        <v>8.7899999999999991</v>
      </c>
      <c r="Q627">
        <v>52.74</v>
      </c>
    </row>
    <row r="628" spans="1:17" x14ac:dyDescent="0.25">
      <c r="A628">
        <v>18796304</v>
      </c>
      <c r="B628">
        <v>980113</v>
      </c>
      <c r="C628" t="s">
        <v>133</v>
      </c>
      <c r="E628" t="str">
        <f>"2000007087330"</f>
        <v>2000007087330</v>
      </c>
      <c r="H628" t="s">
        <v>718</v>
      </c>
      <c r="I628">
        <v>6</v>
      </c>
      <c r="J628">
        <v>1</v>
      </c>
      <c r="K628">
        <v>6</v>
      </c>
      <c r="L628">
        <v>1.98</v>
      </c>
      <c r="M628">
        <v>1.782</v>
      </c>
      <c r="N628">
        <v>0.24</v>
      </c>
      <c r="O628">
        <v>1.44</v>
      </c>
      <c r="P628">
        <v>6.15</v>
      </c>
      <c r="Q628">
        <v>36.9</v>
      </c>
    </row>
    <row r="629" spans="1:17" x14ac:dyDescent="0.25">
      <c r="A629">
        <v>18796304</v>
      </c>
      <c r="B629">
        <v>980157</v>
      </c>
      <c r="C629" t="s">
        <v>116</v>
      </c>
      <c r="E629" t="str">
        <f>"2000007085732"</f>
        <v>2000007085732</v>
      </c>
      <c r="H629" t="s">
        <v>854</v>
      </c>
      <c r="I629">
        <v>6</v>
      </c>
      <c r="J629">
        <v>1</v>
      </c>
      <c r="K629">
        <v>6</v>
      </c>
      <c r="L629">
        <v>2.298</v>
      </c>
      <c r="M629">
        <v>2.0680000000000001</v>
      </c>
      <c r="N629">
        <v>2.88</v>
      </c>
      <c r="O629">
        <v>17.28</v>
      </c>
      <c r="P629">
        <v>5.39</v>
      </c>
      <c r="Q629">
        <v>32.340000000000003</v>
      </c>
    </row>
    <row r="630" spans="1:17" x14ac:dyDescent="0.25">
      <c r="A630">
        <v>18796304</v>
      </c>
      <c r="B630">
        <v>980047</v>
      </c>
      <c r="C630" t="s">
        <v>117</v>
      </c>
      <c r="E630" t="str">
        <f>"2000007088313"</f>
        <v>2000007088313</v>
      </c>
      <c r="H630" t="s">
        <v>712</v>
      </c>
      <c r="I630">
        <v>6</v>
      </c>
      <c r="J630">
        <v>2</v>
      </c>
      <c r="K630">
        <v>12</v>
      </c>
      <c r="L630">
        <v>1.8</v>
      </c>
      <c r="M630">
        <v>1.62</v>
      </c>
      <c r="N630">
        <v>2.6669999999999998</v>
      </c>
      <c r="O630">
        <v>32.003999999999998</v>
      </c>
      <c r="P630">
        <v>4.5199999999999996</v>
      </c>
      <c r="Q630">
        <v>54.24</v>
      </c>
    </row>
    <row r="631" spans="1:17" x14ac:dyDescent="0.25">
      <c r="A631">
        <v>18796304</v>
      </c>
      <c r="B631">
        <v>980150</v>
      </c>
      <c r="C631" t="s">
        <v>112</v>
      </c>
      <c r="E631" t="str">
        <f>"2000007085718"</f>
        <v>2000007085718</v>
      </c>
      <c r="H631" t="s">
        <v>854</v>
      </c>
      <c r="I631">
        <v>6</v>
      </c>
      <c r="J631">
        <v>1</v>
      </c>
      <c r="K631">
        <v>6</v>
      </c>
      <c r="L631">
        <v>1.998</v>
      </c>
      <c r="M631">
        <v>1.798</v>
      </c>
      <c r="N631">
        <v>3.024</v>
      </c>
      <c r="O631">
        <v>18.143999999999998</v>
      </c>
      <c r="P631">
        <v>5.39</v>
      </c>
      <c r="Q631">
        <v>32.340000000000003</v>
      </c>
    </row>
    <row r="632" spans="1:17" x14ac:dyDescent="0.25">
      <c r="A632">
        <v>18796304</v>
      </c>
      <c r="B632">
        <v>980046</v>
      </c>
      <c r="C632" t="s">
        <v>114</v>
      </c>
      <c r="E632" t="str">
        <f>"2000007083790"</f>
        <v>2000007083790</v>
      </c>
      <c r="H632" t="s">
        <v>855</v>
      </c>
      <c r="I632">
        <v>6</v>
      </c>
      <c r="J632">
        <v>1</v>
      </c>
      <c r="K632">
        <v>6</v>
      </c>
      <c r="L632">
        <v>1.77</v>
      </c>
      <c r="M632">
        <v>1.593</v>
      </c>
      <c r="N632">
        <v>2.2749999999999999</v>
      </c>
      <c r="O632">
        <v>13.65</v>
      </c>
      <c r="P632">
        <v>5.25</v>
      </c>
      <c r="Q632">
        <v>31.5</v>
      </c>
    </row>
    <row r="633" spans="1:17" x14ac:dyDescent="0.25">
      <c r="A633">
        <v>18796304</v>
      </c>
      <c r="B633">
        <v>980110</v>
      </c>
      <c r="C633" t="s">
        <v>115</v>
      </c>
      <c r="E633" t="str">
        <f>"2000007083806"</f>
        <v>2000007083806</v>
      </c>
      <c r="H633" t="s">
        <v>855</v>
      </c>
      <c r="I633">
        <v>6</v>
      </c>
      <c r="J633">
        <v>1</v>
      </c>
      <c r="K633">
        <v>6</v>
      </c>
      <c r="L633">
        <v>2.85</v>
      </c>
      <c r="M633">
        <v>2.5649999999999999</v>
      </c>
      <c r="N633">
        <v>0.43</v>
      </c>
      <c r="O633">
        <v>2.58</v>
      </c>
      <c r="P633">
        <v>6.13</v>
      </c>
      <c r="Q633">
        <v>36.78</v>
      </c>
    </row>
    <row r="634" spans="1:17" x14ac:dyDescent="0.25">
      <c r="A634">
        <v>18796304</v>
      </c>
      <c r="B634">
        <v>980111</v>
      </c>
      <c r="C634" t="s">
        <v>113</v>
      </c>
      <c r="E634" t="str">
        <f>"2000007088320"</f>
        <v>2000007088320</v>
      </c>
      <c r="H634" t="s">
        <v>712</v>
      </c>
      <c r="I634">
        <v>6</v>
      </c>
      <c r="J634">
        <v>1</v>
      </c>
      <c r="K634">
        <v>6</v>
      </c>
      <c r="L634">
        <v>1.83</v>
      </c>
      <c r="M634">
        <v>1.647</v>
      </c>
      <c r="N634">
        <v>2</v>
      </c>
      <c r="O634">
        <v>12</v>
      </c>
      <c r="P634">
        <v>4.5199999999999996</v>
      </c>
      <c r="Q634">
        <v>27.12</v>
      </c>
    </row>
    <row r="635" spans="1:17" x14ac:dyDescent="0.25">
      <c r="A635">
        <v>18796304</v>
      </c>
      <c r="B635">
        <v>980048</v>
      </c>
      <c r="C635" t="s">
        <v>570</v>
      </c>
      <c r="E635" t="str">
        <f>"2000007083820"</f>
        <v>2000007083820</v>
      </c>
      <c r="H635" t="s">
        <v>922</v>
      </c>
      <c r="I635">
        <v>6</v>
      </c>
      <c r="J635">
        <v>1</v>
      </c>
      <c r="K635">
        <v>6</v>
      </c>
      <c r="L635">
        <v>0.75</v>
      </c>
      <c r="M635">
        <v>0.67500000000000004</v>
      </c>
      <c r="N635">
        <v>1.458</v>
      </c>
      <c r="O635">
        <v>8.7479999999999993</v>
      </c>
      <c r="P635">
        <v>9.77</v>
      </c>
      <c r="Q635">
        <v>58.62</v>
      </c>
    </row>
    <row r="636" spans="1:17" x14ac:dyDescent="0.25">
      <c r="A636">
        <v>18796304</v>
      </c>
      <c r="B636">
        <v>980044</v>
      </c>
      <c r="C636" t="s">
        <v>571</v>
      </c>
      <c r="E636" t="str">
        <f>"2000007083813"</f>
        <v>2000007083813</v>
      </c>
      <c r="H636" t="s">
        <v>922</v>
      </c>
      <c r="I636">
        <v>1</v>
      </c>
      <c r="J636">
        <v>6</v>
      </c>
      <c r="K636">
        <v>6</v>
      </c>
      <c r="L636">
        <v>2.298</v>
      </c>
      <c r="M636">
        <v>2.0680000000000001</v>
      </c>
      <c r="N636">
        <v>0.33800000000000002</v>
      </c>
      <c r="O636">
        <v>2.028</v>
      </c>
      <c r="P636">
        <v>9.77</v>
      </c>
      <c r="Q636">
        <v>58.62</v>
      </c>
    </row>
    <row r="637" spans="1:17" x14ac:dyDescent="0.25">
      <c r="A637">
        <v>18796304</v>
      </c>
      <c r="B637">
        <v>979979</v>
      </c>
      <c r="C637" t="s">
        <v>129</v>
      </c>
      <c r="E637" t="str">
        <f>"2000007079151"</f>
        <v>2000007079151</v>
      </c>
      <c r="H637" t="s">
        <v>861</v>
      </c>
      <c r="I637">
        <v>6</v>
      </c>
      <c r="J637">
        <v>1</v>
      </c>
      <c r="K637">
        <v>6</v>
      </c>
      <c r="L637">
        <v>0.41399999999999998</v>
      </c>
      <c r="M637">
        <v>0.373</v>
      </c>
      <c r="N637">
        <v>8.0000000000000002E-3</v>
      </c>
      <c r="O637">
        <v>4.8000000000000001E-2</v>
      </c>
      <c r="P637">
        <v>7.16</v>
      </c>
      <c r="Q637">
        <v>42.96</v>
      </c>
    </row>
    <row r="638" spans="1:17" x14ac:dyDescent="0.25">
      <c r="A638">
        <v>18796304</v>
      </c>
      <c r="B638">
        <v>980116</v>
      </c>
      <c r="C638" t="s">
        <v>127</v>
      </c>
      <c r="E638" t="str">
        <f>"2000007089051"</f>
        <v>2000007089051</v>
      </c>
      <c r="H638" t="s">
        <v>860</v>
      </c>
      <c r="I638">
        <v>6</v>
      </c>
      <c r="J638">
        <v>1</v>
      </c>
      <c r="K638">
        <v>6</v>
      </c>
      <c r="L638">
        <v>1.5960000000000001</v>
      </c>
      <c r="M638">
        <v>1.4359999999999999</v>
      </c>
      <c r="N638">
        <v>1.762</v>
      </c>
      <c r="O638">
        <v>10.571999999999999</v>
      </c>
      <c r="P638">
        <v>4.68</v>
      </c>
      <c r="Q638">
        <v>28.08</v>
      </c>
    </row>
    <row r="639" spans="1:17" x14ac:dyDescent="0.25">
      <c r="A639">
        <v>18796304</v>
      </c>
      <c r="B639">
        <v>980117</v>
      </c>
      <c r="C639" t="s">
        <v>128</v>
      </c>
      <c r="E639" t="str">
        <f>"2000007088245"</f>
        <v>2000007088245</v>
      </c>
      <c r="H639" t="s">
        <v>718</v>
      </c>
      <c r="I639">
        <v>6</v>
      </c>
      <c r="J639">
        <v>1</v>
      </c>
      <c r="K639">
        <v>6</v>
      </c>
      <c r="L639">
        <v>2.7480000000000002</v>
      </c>
      <c r="M639">
        <v>2.4729999999999999</v>
      </c>
      <c r="N639">
        <v>3.133</v>
      </c>
      <c r="O639">
        <v>18.797999999999998</v>
      </c>
      <c r="P639">
        <v>6.03</v>
      </c>
      <c r="Q639">
        <v>36.18</v>
      </c>
    </row>
    <row r="640" spans="1:17" x14ac:dyDescent="0.25">
      <c r="A640">
        <v>18796304</v>
      </c>
      <c r="B640">
        <v>980118</v>
      </c>
      <c r="C640" t="s">
        <v>132</v>
      </c>
      <c r="E640" t="str">
        <f>"2000007088269"</f>
        <v>2000007088269</v>
      </c>
      <c r="H640" t="s">
        <v>862</v>
      </c>
      <c r="I640">
        <v>6</v>
      </c>
      <c r="J640">
        <v>1</v>
      </c>
      <c r="K640">
        <v>6</v>
      </c>
      <c r="L640">
        <v>2.2799999999999998</v>
      </c>
      <c r="M640">
        <v>2.052</v>
      </c>
      <c r="N640">
        <v>3</v>
      </c>
      <c r="O640">
        <v>18</v>
      </c>
      <c r="P640">
        <v>4.33</v>
      </c>
      <c r="Q640">
        <v>25.98</v>
      </c>
    </row>
    <row r="641" spans="1:17" x14ac:dyDescent="0.25">
      <c r="A641">
        <v>18796304</v>
      </c>
      <c r="B641">
        <v>980114</v>
      </c>
      <c r="C641" t="s">
        <v>131</v>
      </c>
      <c r="E641" t="str">
        <f>"2000007088252"</f>
        <v>2000007088252</v>
      </c>
      <c r="H641" t="s">
        <v>862</v>
      </c>
      <c r="I641">
        <v>6</v>
      </c>
      <c r="J641">
        <v>1</v>
      </c>
      <c r="K641">
        <v>6</v>
      </c>
      <c r="L641">
        <v>1.6619999999999999</v>
      </c>
      <c r="M641">
        <v>1.496</v>
      </c>
      <c r="N641">
        <v>2.6659999999999999</v>
      </c>
      <c r="O641">
        <v>15.996</v>
      </c>
      <c r="P641">
        <v>4.33</v>
      </c>
      <c r="Q641">
        <v>25.98</v>
      </c>
    </row>
    <row r="642" spans="1:17" x14ac:dyDescent="0.25">
      <c r="A642">
        <v>18796304</v>
      </c>
      <c r="B642">
        <v>979974</v>
      </c>
      <c r="C642" t="s">
        <v>130</v>
      </c>
      <c r="E642" t="str">
        <f>"2000007079144"</f>
        <v>2000007079144</v>
      </c>
      <c r="H642" t="s">
        <v>861</v>
      </c>
      <c r="I642">
        <v>6</v>
      </c>
      <c r="J642">
        <v>1</v>
      </c>
      <c r="K642">
        <v>6</v>
      </c>
      <c r="L642">
        <v>2.94</v>
      </c>
      <c r="M642">
        <v>2.6459999999999999</v>
      </c>
      <c r="N642">
        <v>4.9130000000000003</v>
      </c>
      <c r="O642">
        <v>29.478000000000002</v>
      </c>
      <c r="P642">
        <v>7.16</v>
      </c>
      <c r="Q642">
        <v>42.96</v>
      </c>
    </row>
    <row r="643" spans="1:17" x14ac:dyDescent="0.25">
      <c r="A643">
        <v>18797969</v>
      </c>
      <c r="B643">
        <v>952364</v>
      </c>
      <c r="C643" t="s">
        <v>146</v>
      </c>
      <c r="E643" t="str">
        <f>"3491955640415"</f>
        <v>3491955640415</v>
      </c>
      <c r="H643" t="s">
        <v>837</v>
      </c>
      <c r="I643">
        <v>4</v>
      </c>
      <c r="J643">
        <v>1</v>
      </c>
      <c r="K643">
        <v>4</v>
      </c>
      <c r="L643">
        <v>3.0640000000000001</v>
      </c>
      <c r="M643">
        <v>2.758</v>
      </c>
      <c r="N643">
        <v>10.191000000000001</v>
      </c>
      <c r="O643">
        <v>40.764000000000003</v>
      </c>
      <c r="P643">
        <v>7.8</v>
      </c>
      <c r="Q643">
        <v>31.2</v>
      </c>
    </row>
    <row r="644" spans="1:17" x14ac:dyDescent="0.25">
      <c r="A644">
        <v>18805299</v>
      </c>
      <c r="B644">
        <v>974137</v>
      </c>
      <c r="C644" t="s">
        <v>150</v>
      </c>
      <c r="E644" t="str">
        <f>"2000007066267"</f>
        <v>2000007066267</v>
      </c>
      <c r="H644" t="s">
        <v>869</v>
      </c>
      <c r="I644">
        <v>8</v>
      </c>
      <c r="J644">
        <v>1</v>
      </c>
      <c r="K644">
        <v>8</v>
      </c>
      <c r="L644">
        <v>11.24</v>
      </c>
      <c r="M644">
        <v>10.116</v>
      </c>
      <c r="N644">
        <v>12.954000000000001</v>
      </c>
      <c r="O644">
        <v>103.63200000000001</v>
      </c>
      <c r="P644">
        <v>25.11</v>
      </c>
      <c r="Q644">
        <v>200.88</v>
      </c>
    </row>
    <row r="645" spans="1:17" x14ac:dyDescent="0.25">
      <c r="A645">
        <v>18805299</v>
      </c>
      <c r="B645">
        <v>974002</v>
      </c>
      <c r="C645" t="s">
        <v>148</v>
      </c>
      <c r="E645" t="str">
        <f>"2000007066120"</f>
        <v>2000007066120</v>
      </c>
      <c r="H645" t="s">
        <v>868</v>
      </c>
      <c r="I645">
        <v>8</v>
      </c>
      <c r="J645">
        <v>1</v>
      </c>
      <c r="K645">
        <v>8</v>
      </c>
      <c r="L645">
        <v>9.0399999999999991</v>
      </c>
      <c r="M645">
        <v>8.1359999999999992</v>
      </c>
      <c r="N645">
        <v>10.141999999999999</v>
      </c>
      <c r="O645">
        <v>81.135999999999996</v>
      </c>
      <c r="P645">
        <v>19.61</v>
      </c>
      <c r="Q645">
        <v>156.88</v>
      </c>
    </row>
    <row r="646" spans="1:17" x14ac:dyDescent="0.25">
      <c r="A646">
        <v>18805299</v>
      </c>
      <c r="B646">
        <v>974136</v>
      </c>
      <c r="C646" t="s">
        <v>149</v>
      </c>
      <c r="E646" t="str">
        <f>"2000007066250"</f>
        <v>2000007066250</v>
      </c>
      <c r="H646" t="s">
        <v>867</v>
      </c>
      <c r="I646">
        <v>8</v>
      </c>
      <c r="J646">
        <v>1</v>
      </c>
      <c r="K646">
        <v>8</v>
      </c>
      <c r="L646">
        <v>13</v>
      </c>
      <c r="M646">
        <v>11.7</v>
      </c>
      <c r="N646">
        <v>13.081</v>
      </c>
      <c r="O646">
        <v>104.648</v>
      </c>
      <c r="P646">
        <v>19.95</v>
      </c>
      <c r="Q646">
        <v>159.6</v>
      </c>
    </row>
    <row r="647" spans="1:17" x14ac:dyDescent="0.25">
      <c r="A647">
        <v>18805299</v>
      </c>
      <c r="B647">
        <v>974130</v>
      </c>
      <c r="C647" t="s">
        <v>147</v>
      </c>
      <c r="E647" t="str">
        <f>"2000007066243"</f>
        <v>2000007066243</v>
      </c>
      <c r="H647" t="s">
        <v>867</v>
      </c>
      <c r="I647">
        <v>8</v>
      </c>
      <c r="J647">
        <v>1</v>
      </c>
      <c r="K647">
        <v>8</v>
      </c>
      <c r="L647">
        <v>13.496</v>
      </c>
      <c r="M647">
        <v>12.146000000000001</v>
      </c>
      <c r="N647">
        <v>13.337999999999999</v>
      </c>
      <c r="O647">
        <v>106.70399999999999</v>
      </c>
      <c r="P647">
        <v>24.06</v>
      </c>
      <c r="Q647">
        <v>192.48</v>
      </c>
    </row>
    <row r="648" spans="1:17" x14ac:dyDescent="0.25">
      <c r="A648">
        <v>18805299</v>
      </c>
      <c r="B648">
        <v>974393</v>
      </c>
      <c r="C648" t="s">
        <v>572</v>
      </c>
      <c r="E648" t="str">
        <f>"2000007063181"</f>
        <v>2000007063181</v>
      </c>
      <c r="H648" t="s">
        <v>693</v>
      </c>
      <c r="I648">
        <v>6</v>
      </c>
      <c r="J648">
        <v>1</v>
      </c>
      <c r="K648">
        <v>6</v>
      </c>
      <c r="L648">
        <v>4.2960000000000003</v>
      </c>
      <c r="M648">
        <v>3.8660000000000001</v>
      </c>
      <c r="N648">
        <v>5.8719999999999999</v>
      </c>
      <c r="O648">
        <v>35.231999999999999</v>
      </c>
      <c r="P648">
        <v>11.15</v>
      </c>
      <c r="Q648">
        <v>66.900000000000006</v>
      </c>
    </row>
    <row r="649" spans="1:17" x14ac:dyDescent="0.25">
      <c r="A649">
        <v>18805299</v>
      </c>
      <c r="B649">
        <v>974251</v>
      </c>
      <c r="C649" t="s">
        <v>573</v>
      </c>
      <c r="E649" t="str">
        <f>"2000007064058"</f>
        <v>2000007064058</v>
      </c>
      <c r="H649" t="s">
        <v>693</v>
      </c>
      <c r="I649">
        <v>6</v>
      </c>
      <c r="J649">
        <v>1</v>
      </c>
      <c r="K649">
        <v>6</v>
      </c>
      <c r="L649">
        <v>2.7959999999999998</v>
      </c>
      <c r="M649">
        <v>2.516</v>
      </c>
      <c r="N649">
        <v>4.7480000000000002</v>
      </c>
      <c r="O649">
        <v>28.488</v>
      </c>
      <c r="P649">
        <v>9.7899999999999991</v>
      </c>
      <c r="Q649">
        <v>58.74</v>
      </c>
    </row>
    <row r="650" spans="1:17" x14ac:dyDescent="0.25">
      <c r="A650">
        <v>18809377</v>
      </c>
      <c r="B650">
        <v>755845</v>
      </c>
      <c r="C650" t="s">
        <v>166</v>
      </c>
      <c r="E650" t="str">
        <f>"5420023188113"</f>
        <v>5420023188113</v>
      </c>
      <c r="F650" t="str">
        <f>"2000006848512"</f>
        <v>2000006848512</v>
      </c>
      <c r="G650" t="str">
        <f>"2018203962917"</f>
        <v>2018203962917</v>
      </c>
      <c r="H650" t="s">
        <v>872</v>
      </c>
      <c r="I650">
        <v>6</v>
      </c>
      <c r="J650">
        <v>1</v>
      </c>
      <c r="K650">
        <v>6</v>
      </c>
      <c r="L650">
        <v>10.8</v>
      </c>
      <c r="M650">
        <v>9.7200000000000006</v>
      </c>
      <c r="N650">
        <v>18.59</v>
      </c>
      <c r="O650">
        <v>111.54</v>
      </c>
      <c r="P650">
        <v>9.8800000000000008</v>
      </c>
      <c r="Q650">
        <v>59.28</v>
      </c>
    </row>
    <row r="651" spans="1:17" x14ac:dyDescent="0.25">
      <c r="A651">
        <v>18809377</v>
      </c>
      <c r="B651">
        <v>922193</v>
      </c>
      <c r="C651" t="s">
        <v>171</v>
      </c>
      <c r="E651" t="str">
        <f>"5420023187833"</f>
        <v>5420023187833</v>
      </c>
      <c r="H651" t="s">
        <v>787</v>
      </c>
      <c r="I651">
        <v>1</v>
      </c>
      <c r="J651">
        <v>1</v>
      </c>
      <c r="K651">
        <v>1</v>
      </c>
      <c r="L651">
        <v>1.01</v>
      </c>
      <c r="M651">
        <v>0.90900000000000003</v>
      </c>
      <c r="N651">
        <v>10.933</v>
      </c>
      <c r="O651">
        <v>10.933</v>
      </c>
      <c r="P651">
        <v>5.04</v>
      </c>
      <c r="Q651">
        <v>5.04</v>
      </c>
    </row>
    <row r="652" spans="1:17" x14ac:dyDescent="0.25">
      <c r="A652">
        <v>18809377</v>
      </c>
      <c r="B652">
        <v>951077</v>
      </c>
      <c r="C652" t="s">
        <v>163</v>
      </c>
      <c r="E652" t="str">
        <f>"3491955645434"</f>
        <v>3491955645434</v>
      </c>
      <c r="H652" t="s">
        <v>839</v>
      </c>
      <c r="I652">
        <v>6</v>
      </c>
      <c r="J652">
        <v>1</v>
      </c>
      <c r="K652">
        <v>6</v>
      </c>
      <c r="L652">
        <v>1.38</v>
      </c>
      <c r="M652">
        <v>1.242</v>
      </c>
      <c r="N652">
        <v>5</v>
      </c>
      <c r="O652">
        <v>30</v>
      </c>
      <c r="P652">
        <v>2.4</v>
      </c>
      <c r="Q652">
        <v>14.4</v>
      </c>
    </row>
    <row r="653" spans="1:17" x14ac:dyDescent="0.25">
      <c r="A653">
        <v>18809377</v>
      </c>
      <c r="B653">
        <v>994502</v>
      </c>
      <c r="C653" t="s">
        <v>162</v>
      </c>
      <c r="E653" t="str">
        <f>"778988422601"</f>
        <v>778988422601</v>
      </c>
      <c r="H653" t="s">
        <v>871</v>
      </c>
      <c r="I653">
        <v>1</v>
      </c>
      <c r="J653">
        <v>2</v>
      </c>
      <c r="K653">
        <v>2</v>
      </c>
      <c r="L653">
        <v>1.36</v>
      </c>
      <c r="M653">
        <v>1.224</v>
      </c>
      <c r="N653">
        <v>3.12</v>
      </c>
      <c r="O653">
        <v>6.24</v>
      </c>
      <c r="P653">
        <v>17.89</v>
      </c>
      <c r="Q653">
        <v>35.78</v>
      </c>
    </row>
    <row r="654" spans="1:17" x14ac:dyDescent="0.25">
      <c r="A654">
        <v>18809377</v>
      </c>
      <c r="B654">
        <v>922242</v>
      </c>
      <c r="C654" t="s">
        <v>170</v>
      </c>
      <c r="E654" t="str">
        <f>"5420023187840"</f>
        <v>5420023187840</v>
      </c>
      <c r="H654" t="s">
        <v>787</v>
      </c>
      <c r="I654">
        <v>1</v>
      </c>
      <c r="J654">
        <v>1</v>
      </c>
      <c r="K654">
        <v>1</v>
      </c>
      <c r="L654">
        <v>1.026</v>
      </c>
      <c r="M654">
        <v>0.92300000000000004</v>
      </c>
      <c r="N654">
        <v>10.25</v>
      </c>
      <c r="O654">
        <v>10.25</v>
      </c>
      <c r="P654">
        <v>5.04</v>
      </c>
      <c r="Q654">
        <v>5.04</v>
      </c>
    </row>
    <row r="655" spans="1:17" x14ac:dyDescent="0.25">
      <c r="A655">
        <v>18809377</v>
      </c>
      <c r="B655">
        <v>907326</v>
      </c>
      <c r="C655" t="s">
        <v>161</v>
      </c>
      <c r="E655" t="str">
        <f>"5420023187871"</f>
        <v>5420023187871</v>
      </c>
      <c r="H655" t="s">
        <v>839</v>
      </c>
      <c r="I655">
        <v>1</v>
      </c>
      <c r="J655">
        <v>4</v>
      </c>
      <c r="K655">
        <v>4</v>
      </c>
      <c r="L655">
        <v>2.8639999999999999</v>
      </c>
      <c r="M655">
        <v>2.5779999999999998</v>
      </c>
      <c r="N655">
        <v>6.883</v>
      </c>
      <c r="O655">
        <v>27.532</v>
      </c>
      <c r="P655">
        <v>7.7</v>
      </c>
      <c r="Q655">
        <v>30.8</v>
      </c>
    </row>
    <row r="656" spans="1:17" x14ac:dyDescent="0.25">
      <c r="A656">
        <v>18809377</v>
      </c>
      <c r="B656">
        <v>756848</v>
      </c>
      <c r="C656" t="s">
        <v>160</v>
      </c>
      <c r="E656" t="str">
        <f>"5420023188137"</f>
        <v>5420023188137</v>
      </c>
      <c r="F656" t="str">
        <f>"2000006848529"</f>
        <v>2000006848529</v>
      </c>
      <c r="G656" t="str">
        <f>"2018204277942"</f>
        <v>2018204277942</v>
      </c>
      <c r="H656" t="s">
        <v>870</v>
      </c>
      <c r="I656">
        <v>1</v>
      </c>
      <c r="J656">
        <v>4</v>
      </c>
      <c r="K656">
        <v>4</v>
      </c>
      <c r="L656">
        <v>4.5999999999999996</v>
      </c>
      <c r="M656">
        <v>4.1399999999999997</v>
      </c>
      <c r="N656">
        <v>4.3849999999999998</v>
      </c>
      <c r="O656">
        <v>17.54</v>
      </c>
      <c r="P656">
        <v>9.17</v>
      </c>
      <c r="Q656">
        <v>36.68</v>
      </c>
    </row>
    <row r="657" spans="1:17" x14ac:dyDescent="0.25">
      <c r="A657">
        <v>18809377</v>
      </c>
      <c r="B657">
        <v>962842</v>
      </c>
      <c r="C657" t="s">
        <v>167</v>
      </c>
      <c r="E657" t="str">
        <f>"778988397060"</f>
        <v>778988397060</v>
      </c>
      <c r="H657" t="s">
        <v>787</v>
      </c>
      <c r="I657">
        <v>1</v>
      </c>
      <c r="J657">
        <v>2</v>
      </c>
      <c r="K657">
        <v>2</v>
      </c>
      <c r="L657">
        <v>2.0459999999999998</v>
      </c>
      <c r="M657">
        <v>1.841</v>
      </c>
      <c r="N657">
        <v>10.5</v>
      </c>
      <c r="O657">
        <v>21</v>
      </c>
      <c r="P657">
        <v>15.29</v>
      </c>
      <c r="Q657">
        <v>30.58</v>
      </c>
    </row>
    <row r="658" spans="1:17" x14ac:dyDescent="0.25">
      <c r="A658">
        <v>18809377</v>
      </c>
      <c r="B658">
        <v>982521</v>
      </c>
      <c r="C658" t="s">
        <v>164</v>
      </c>
      <c r="E658" t="str">
        <f>"887961968514"</f>
        <v>887961968514</v>
      </c>
      <c r="H658" t="s">
        <v>870</v>
      </c>
      <c r="I658">
        <v>3</v>
      </c>
      <c r="J658">
        <v>1</v>
      </c>
      <c r="K658">
        <v>3</v>
      </c>
      <c r="L658">
        <v>2.3490000000000002</v>
      </c>
      <c r="M658">
        <v>2.1139999999999999</v>
      </c>
      <c r="N658">
        <v>6.4749999999999996</v>
      </c>
      <c r="O658">
        <v>19.425000000000001</v>
      </c>
      <c r="P658">
        <v>9.2799999999999994</v>
      </c>
      <c r="Q658">
        <v>27.84</v>
      </c>
    </row>
    <row r="659" spans="1:17" x14ac:dyDescent="0.25">
      <c r="A659">
        <v>18809377</v>
      </c>
      <c r="B659">
        <v>982520</v>
      </c>
      <c r="C659" t="s">
        <v>165</v>
      </c>
      <c r="E659" t="str">
        <f>"887961928105"</f>
        <v>887961928105</v>
      </c>
      <c r="H659" t="s">
        <v>870</v>
      </c>
      <c r="I659">
        <v>3</v>
      </c>
      <c r="J659">
        <v>1</v>
      </c>
      <c r="K659">
        <v>3</v>
      </c>
      <c r="L659">
        <v>1.7789999999999999</v>
      </c>
      <c r="M659">
        <v>1.601</v>
      </c>
      <c r="N659">
        <v>5.6</v>
      </c>
      <c r="O659">
        <v>16.8</v>
      </c>
      <c r="P659">
        <v>7.78</v>
      </c>
      <c r="Q659">
        <v>23.34</v>
      </c>
    </row>
    <row r="660" spans="1:17" x14ac:dyDescent="0.25">
      <c r="A660">
        <v>18809377</v>
      </c>
      <c r="B660">
        <v>991108</v>
      </c>
      <c r="C660" t="s">
        <v>159</v>
      </c>
      <c r="E660" t="str">
        <f>"3491955940249"</f>
        <v>3491955940249</v>
      </c>
      <c r="H660" t="s">
        <v>837</v>
      </c>
      <c r="I660">
        <v>4</v>
      </c>
      <c r="J660">
        <v>1</v>
      </c>
      <c r="K660">
        <v>4</v>
      </c>
      <c r="L660">
        <v>3.6</v>
      </c>
      <c r="M660">
        <v>3.24</v>
      </c>
      <c r="N660">
        <v>19.562999999999999</v>
      </c>
      <c r="O660">
        <v>78.251999999999995</v>
      </c>
      <c r="P660">
        <v>8.44</v>
      </c>
      <c r="Q660">
        <v>33.76</v>
      </c>
    </row>
    <row r="661" spans="1:17" x14ac:dyDescent="0.25">
      <c r="A661">
        <v>18809377</v>
      </c>
      <c r="B661">
        <v>286542</v>
      </c>
      <c r="C661" t="s">
        <v>158</v>
      </c>
      <c r="E661" t="str">
        <f>"4006333039928"</f>
        <v>4006333039928</v>
      </c>
      <c r="F661" t="str">
        <f>"4006333355073"</f>
        <v>4006333355073</v>
      </c>
      <c r="H661" t="s">
        <v>837</v>
      </c>
      <c r="I661">
        <v>1</v>
      </c>
      <c r="J661">
        <v>2</v>
      </c>
      <c r="K661">
        <v>2</v>
      </c>
      <c r="L661">
        <v>2.246</v>
      </c>
      <c r="M661">
        <v>2.0209999999999999</v>
      </c>
      <c r="N661">
        <v>19.550999999999998</v>
      </c>
      <c r="O661">
        <v>39.101999999999997</v>
      </c>
      <c r="P661">
        <v>11.45</v>
      </c>
      <c r="Q661">
        <v>22.9</v>
      </c>
    </row>
    <row r="662" spans="1:17" x14ac:dyDescent="0.25">
      <c r="A662">
        <v>18809377</v>
      </c>
      <c r="B662">
        <v>667943</v>
      </c>
      <c r="C662" t="s">
        <v>151</v>
      </c>
      <c r="E662" t="str">
        <f>"3491953354833"</f>
        <v>3491953354833</v>
      </c>
      <c r="F662" t="str">
        <f>"3491955529642"</f>
        <v>3491955529642</v>
      </c>
      <c r="H662" t="s">
        <v>839</v>
      </c>
      <c r="I662">
        <v>6</v>
      </c>
      <c r="J662">
        <v>1</v>
      </c>
      <c r="K662">
        <v>6</v>
      </c>
      <c r="L662">
        <v>4.2480000000000002</v>
      </c>
      <c r="M662">
        <v>3.823</v>
      </c>
      <c r="N662">
        <v>13.44</v>
      </c>
      <c r="O662">
        <v>80.64</v>
      </c>
      <c r="P662">
        <v>3.96</v>
      </c>
      <c r="Q662">
        <v>23.76</v>
      </c>
    </row>
    <row r="663" spans="1:17" x14ac:dyDescent="0.25">
      <c r="A663">
        <v>18809377</v>
      </c>
      <c r="B663">
        <v>951087</v>
      </c>
      <c r="C663" t="s">
        <v>152</v>
      </c>
      <c r="E663" t="str">
        <f>"3491955454357"</f>
        <v>3491955454357</v>
      </c>
      <c r="H663" t="s">
        <v>837</v>
      </c>
      <c r="I663">
        <v>24</v>
      </c>
      <c r="J663">
        <v>1</v>
      </c>
      <c r="K663">
        <v>24</v>
      </c>
      <c r="L663">
        <v>10.728</v>
      </c>
      <c r="M663">
        <v>9.6549999999999994</v>
      </c>
      <c r="N663">
        <v>7.1639999999999997</v>
      </c>
      <c r="O663">
        <v>171.93600000000001</v>
      </c>
      <c r="P663">
        <v>2.87</v>
      </c>
      <c r="Q663">
        <v>68.88</v>
      </c>
    </row>
    <row r="664" spans="1:17" x14ac:dyDescent="0.25">
      <c r="A664">
        <v>18809377</v>
      </c>
      <c r="B664">
        <v>754983</v>
      </c>
      <c r="C664" t="s">
        <v>153</v>
      </c>
      <c r="E664" t="str">
        <f>"3491955659851"</f>
        <v>3491955659851</v>
      </c>
      <c r="F664" t="str">
        <f>"3491953503248"</f>
        <v>3491953503248</v>
      </c>
      <c r="G664" t="str">
        <f>"3491955529659"</f>
        <v>3491955529659</v>
      </c>
      <c r="H664" t="s">
        <v>837</v>
      </c>
      <c r="I664">
        <v>1</v>
      </c>
      <c r="J664">
        <v>2</v>
      </c>
      <c r="K664">
        <v>2</v>
      </c>
      <c r="L664">
        <v>2.75</v>
      </c>
      <c r="M664">
        <v>2.4750000000000001</v>
      </c>
      <c r="N664">
        <v>22.274999999999999</v>
      </c>
      <c r="O664">
        <v>44.55</v>
      </c>
      <c r="P664">
        <v>5.14</v>
      </c>
      <c r="Q664">
        <v>10.28</v>
      </c>
    </row>
    <row r="665" spans="1:17" x14ac:dyDescent="0.25">
      <c r="A665">
        <v>18809377</v>
      </c>
      <c r="B665">
        <v>756958</v>
      </c>
      <c r="C665" t="s">
        <v>154</v>
      </c>
      <c r="E665" t="str">
        <f>"5420023188236"</f>
        <v>5420023188236</v>
      </c>
      <c r="F665" t="str">
        <f>"2000006848864"</f>
        <v>2000006848864</v>
      </c>
      <c r="G665" t="str">
        <f>"2018204498774"</f>
        <v>2018204498774</v>
      </c>
      <c r="H665" t="s">
        <v>870</v>
      </c>
      <c r="I665">
        <v>12</v>
      </c>
      <c r="J665">
        <v>1</v>
      </c>
      <c r="K665">
        <v>12</v>
      </c>
      <c r="L665">
        <v>6.9960000000000004</v>
      </c>
      <c r="M665">
        <v>6.2960000000000003</v>
      </c>
      <c r="N665">
        <v>3.77</v>
      </c>
      <c r="O665">
        <v>45.24</v>
      </c>
      <c r="P665">
        <v>1.79</v>
      </c>
      <c r="Q665">
        <v>21.48</v>
      </c>
    </row>
    <row r="666" spans="1:17" x14ac:dyDescent="0.25">
      <c r="A666">
        <v>18809377</v>
      </c>
      <c r="B666">
        <v>953054</v>
      </c>
      <c r="C666" t="s">
        <v>155</v>
      </c>
      <c r="E666" t="str">
        <f>"5420023190482"</f>
        <v>5420023190482</v>
      </c>
      <c r="H666" t="s">
        <v>787</v>
      </c>
      <c r="I666">
        <v>1</v>
      </c>
      <c r="J666">
        <v>2</v>
      </c>
      <c r="K666">
        <v>2</v>
      </c>
      <c r="L666">
        <v>2.8319999999999999</v>
      </c>
      <c r="M666">
        <v>2.5489999999999999</v>
      </c>
      <c r="N666">
        <v>22.44</v>
      </c>
      <c r="O666">
        <v>44.88</v>
      </c>
      <c r="P666">
        <v>8.65</v>
      </c>
      <c r="Q666">
        <v>17.3</v>
      </c>
    </row>
    <row r="667" spans="1:17" x14ac:dyDescent="0.25">
      <c r="A667">
        <v>18809377</v>
      </c>
      <c r="B667">
        <v>760040</v>
      </c>
      <c r="C667" t="s">
        <v>169</v>
      </c>
      <c r="E667" t="str">
        <f>"5420023188106"</f>
        <v>5420023188106</v>
      </c>
      <c r="F667" t="str">
        <f>"2000006849113"</f>
        <v>2000006849113</v>
      </c>
      <c r="H667" t="s">
        <v>787</v>
      </c>
      <c r="I667">
        <v>1</v>
      </c>
      <c r="J667">
        <v>2</v>
      </c>
      <c r="K667">
        <v>2</v>
      </c>
      <c r="L667">
        <v>6</v>
      </c>
      <c r="M667">
        <v>5.4</v>
      </c>
      <c r="N667">
        <v>44.351999999999997</v>
      </c>
      <c r="O667">
        <v>88.703999999999994</v>
      </c>
      <c r="P667">
        <v>14.79</v>
      </c>
      <c r="Q667">
        <v>29.58</v>
      </c>
    </row>
    <row r="668" spans="1:17" x14ac:dyDescent="0.25">
      <c r="A668">
        <v>18809377</v>
      </c>
      <c r="B668">
        <v>992364</v>
      </c>
      <c r="C668" t="s">
        <v>156</v>
      </c>
      <c r="E668" t="str">
        <f>"778988387184"</f>
        <v>778988387184</v>
      </c>
      <c r="H668" t="s">
        <v>846</v>
      </c>
      <c r="I668">
        <v>4</v>
      </c>
      <c r="J668">
        <v>1</v>
      </c>
      <c r="K668">
        <v>4</v>
      </c>
      <c r="L668">
        <v>0.9</v>
      </c>
      <c r="M668">
        <v>0.81</v>
      </c>
      <c r="N668">
        <v>1.6619999999999999</v>
      </c>
      <c r="O668">
        <v>6.6479999999999997</v>
      </c>
      <c r="P668">
        <v>8.3800000000000008</v>
      </c>
      <c r="Q668">
        <v>33.520000000000003</v>
      </c>
    </row>
    <row r="669" spans="1:17" x14ac:dyDescent="0.25">
      <c r="A669">
        <v>18809377</v>
      </c>
      <c r="B669">
        <v>970485</v>
      </c>
      <c r="C669" t="s">
        <v>172</v>
      </c>
      <c r="E669" t="str">
        <f>"3467452062869"</f>
        <v>3467452062869</v>
      </c>
      <c r="H669" t="s">
        <v>870</v>
      </c>
      <c r="I669">
        <v>1</v>
      </c>
      <c r="J669">
        <v>4</v>
      </c>
      <c r="K669">
        <v>4</v>
      </c>
      <c r="L669">
        <v>0.748</v>
      </c>
      <c r="M669">
        <v>0.67300000000000004</v>
      </c>
      <c r="N669">
        <v>1.196</v>
      </c>
      <c r="O669">
        <v>4.7839999999999998</v>
      </c>
      <c r="P669">
        <v>3.1</v>
      </c>
      <c r="Q669">
        <v>12.4</v>
      </c>
    </row>
    <row r="670" spans="1:17" x14ac:dyDescent="0.25">
      <c r="A670">
        <v>18809377</v>
      </c>
      <c r="B670">
        <v>982496</v>
      </c>
      <c r="C670" t="s">
        <v>173</v>
      </c>
      <c r="E670" t="str">
        <f>"887961777376"</f>
        <v>887961777376</v>
      </c>
      <c r="F670" t="str">
        <f>"887961777383"</f>
        <v>887961777383</v>
      </c>
      <c r="H670" t="s">
        <v>870</v>
      </c>
      <c r="I670">
        <v>3</v>
      </c>
      <c r="J670">
        <v>1</v>
      </c>
      <c r="K670">
        <v>3</v>
      </c>
      <c r="L670">
        <v>2.0099999999999998</v>
      </c>
      <c r="M670">
        <v>1.8089999999999999</v>
      </c>
      <c r="N670">
        <v>8.1999999999999993</v>
      </c>
      <c r="O670">
        <v>24.6</v>
      </c>
      <c r="P670">
        <v>14.48</v>
      </c>
      <c r="Q670">
        <v>43.44</v>
      </c>
    </row>
    <row r="671" spans="1:17" x14ac:dyDescent="0.25">
      <c r="A671">
        <v>18809377</v>
      </c>
      <c r="B671">
        <v>953053</v>
      </c>
      <c r="C671" t="s">
        <v>174</v>
      </c>
      <c r="E671" t="str">
        <f>"5420023190475"</f>
        <v>5420023190475</v>
      </c>
      <c r="H671" t="s">
        <v>837</v>
      </c>
      <c r="I671">
        <v>6</v>
      </c>
      <c r="J671">
        <v>1</v>
      </c>
      <c r="K671">
        <v>6</v>
      </c>
      <c r="L671">
        <v>2.718</v>
      </c>
      <c r="M671">
        <v>2.4460000000000002</v>
      </c>
      <c r="N671">
        <v>6.5449999999999999</v>
      </c>
      <c r="O671">
        <v>39.270000000000003</v>
      </c>
      <c r="P671">
        <v>4.88</v>
      </c>
      <c r="Q671">
        <v>29.28</v>
      </c>
    </row>
    <row r="672" spans="1:17" x14ac:dyDescent="0.25">
      <c r="A672">
        <v>18809377</v>
      </c>
      <c r="B672">
        <v>783727</v>
      </c>
      <c r="C672" t="s">
        <v>175</v>
      </c>
      <c r="E672" t="str">
        <f>"3467452051658"</f>
        <v>3467452051658</v>
      </c>
      <c r="H672" t="s">
        <v>837</v>
      </c>
      <c r="I672">
        <v>1</v>
      </c>
      <c r="J672">
        <v>1</v>
      </c>
      <c r="K672">
        <v>1</v>
      </c>
      <c r="L672">
        <v>9.56</v>
      </c>
      <c r="M672">
        <v>8.6039999999999992</v>
      </c>
      <c r="N672">
        <v>117.92</v>
      </c>
      <c r="O672">
        <v>117.92</v>
      </c>
      <c r="P672">
        <v>66.819999999999993</v>
      </c>
      <c r="Q672">
        <v>66.819999999999993</v>
      </c>
    </row>
    <row r="673" spans="1:17" x14ac:dyDescent="0.25">
      <c r="A673">
        <v>18809377</v>
      </c>
      <c r="B673">
        <v>991107</v>
      </c>
      <c r="C673" t="s">
        <v>176</v>
      </c>
      <c r="E673" t="str">
        <f>"3491955940263"</f>
        <v>3491955940263</v>
      </c>
      <c r="H673" t="s">
        <v>787</v>
      </c>
      <c r="I673">
        <v>4</v>
      </c>
      <c r="J673">
        <v>1</v>
      </c>
      <c r="K673">
        <v>4</v>
      </c>
      <c r="L673">
        <v>5.8</v>
      </c>
      <c r="M673">
        <v>5.22</v>
      </c>
      <c r="N673">
        <v>12.54</v>
      </c>
      <c r="O673">
        <v>50.16</v>
      </c>
      <c r="P673">
        <v>10.6</v>
      </c>
      <c r="Q673">
        <v>42.4</v>
      </c>
    </row>
    <row r="674" spans="1:17" x14ac:dyDescent="0.25">
      <c r="A674">
        <v>18809377</v>
      </c>
      <c r="B674">
        <v>1000266</v>
      </c>
      <c r="C674" t="s">
        <v>157</v>
      </c>
      <c r="E674" t="str">
        <f>"5413247031242"</f>
        <v>5413247031242</v>
      </c>
      <c r="H674" t="s">
        <v>839</v>
      </c>
      <c r="I674">
        <v>12</v>
      </c>
      <c r="J674">
        <v>1</v>
      </c>
      <c r="K674">
        <v>12</v>
      </c>
      <c r="L674">
        <v>1.524</v>
      </c>
      <c r="M674">
        <v>1.3720000000000001</v>
      </c>
      <c r="N674">
        <v>0.96099999999999997</v>
      </c>
      <c r="O674">
        <v>11.532</v>
      </c>
      <c r="P674">
        <v>1.26</v>
      </c>
      <c r="Q674">
        <v>15.12</v>
      </c>
    </row>
    <row r="675" spans="1:17" x14ac:dyDescent="0.25">
      <c r="A675">
        <v>18809377</v>
      </c>
      <c r="B675">
        <v>667934</v>
      </c>
      <c r="C675" t="s">
        <v>168</v>
      </c>
      <c r="E675" t="str">
        <f>"3491953866930"</f>
        <v>3491953866930</v>
      </c>
      <c r="F675" t="str">
        <f>"3491955933739"</f>
        <v>3491955933739</v>
      </c>
      <c r="H675" t="s">
        <v>837</v>
      </c>
      <c r="I675">
        <v>6</v>
      </c>
      <c r="J675">
        <v>1</v>
      </c>
      <c r="K675">
        <v>6</v>
      </c>
      <c r="L675">
        <v>16.998000000000001</v>
      </c>
      <c r="M675">
        <v>15.298</v>
      </c>
      <c r="N675">
        <v>50.421999999999997</v>
      </c>
      <c r="O675">
        <v>302.53199999999998</v>
      </c>
      <c r="P675">
        <v>3.68</v>
      </c>
      <c r="Q675">
        <v>22.08</v>
      </c>
    </row>
    <row r="676" spans="1:17" x14ac:dyDescent="0.25">
      <c r="A676">
        <v>18811060</v>
      </c>
      <c r="B676">
        <v>991100</v>
      </c>
      <c r="C676" t="s">
        <v>185</v>
      </c>
      <c r="E676" t="str">
        <f>"8720194708248"</f>
        <v>8720194708248</v>
      </c>
      <c r="H676" t="s">
        <v>877</v>
      </c>
      <c r="I676">
        <v>1</v>
      </c>
      <c r="J676">
        <v>6</v>
      </c>
      <c r="K676">
        <v>6</v>
      </c>
      <c r="L676">
        <v>1.5</v>
      </c>
      <c r="M676">
        <v>1.35</v>
      </c>
      <c r="N676">
        <v>0.93500000000000005</v>
      </c>
      <c r="O676">
        <v>5.61</v>
      </c>
      <c r="P676">
        <v>4.88</v>
      </c>
      <c r="Q676">
        <v>29.28</v>
      </c>
    </row>
    <row r="677" spans="1:17" x14ac:dyDescent="0.25">
      <c r="A677">
        <v>18811060</v>
      </c>
      <c r="B677">
        <v>997504</v>
      </c>
      <c r="C677" t="s">
        <v>184</v>
      </c>
      <c r="E677" t="str">
        <f>"8720701032835"</f>
        <v>8720701032835</v>
      </c>
      <c r="H677" t="s">
        <v>876</v>
      </c>
      <c r="I677">
        <v>6</v>
      </c>
      <c r="J677">
        <v>1</v>
      </c>
      <c r="K677">
        <v>6</v>
      </c>
      <c r="L677">
        <v>0.12</v>
      </c>
      <c r="M677">
        <v>0.108</v>
      </c>
      <c r="N677">
        <v>1.75</v>
      </c>
      <c r="O677">
        <v>10.5</v>
      </c>
      <c r="P677">
        <v>6.65</v>
      </c>
      <c r="Q677">
        <v>39.9</v>
      </c>
    </row>
    <row r="678" spans="1:17" x14ac:dyDescent="0.25">
      <c r="A678">
        <v>18811060</v>
      </c>
      <c r="B678">
        <v>996602</v>
      </c>
      <c r="C678" t="s">
        <v>186</v>
      </c>
      <c r="E678" t="str">
        <f>"3491955991241"</f>
        <v>3491955991241</v>
      </c>
      <c r="H678" t="s">
        <v>878</v>
      </c>
      <c r="I678">
        <v>4</v>
      </c>
      <c r="J678">
        <v>2</v>
      </c>
      <c r="K678">
        <v>8</v>
      </c>
      <c r="L678">
        <v>11</v>
      </c>
      <c r="M678">
        <v>9.9</v>
      </c>
      <c r="N678">
        <v>9.6769999999999996</v>
      </c>
      <c r="O678">
        <v>77.415999999999997</v>
      </c>
      <c r="P678">
        <v>12.44</v>
      </c>
      <c r="Q678">
        <v>99.52</v>
      </c>
    </row>
    <row r="679" spans="1:17" x14ac:dyDescent="0.25">
      <c r="A679">
        <v>18811060</v>
      </c>
      <c r="B679">
        <v>994972</v>
      </c>
      <c r="C679" t="s">
        <v>182</v>
      </c>
      <c r="E679" t="str">
        <f>"2000007085572"</f>
        <v>2000007085572</v>
      </c>
      <c r="H679" t="s">
        <v>875</v>
      </c>
      <c r="I679">
        <v>28</v>
      </c>
      <c r="J679">
        <v>1</v>
      </c>
      <c r="K679">
        <v>28</v>
      </c>
      <c r="L679">
        <v>17.388000000000002</v>
      </c>
      <c r="M679">
        <v>15.648999999999999</v>
      </c>
      <c r="N679">
        <v>4.6500000000000004</v>
      </c>
      <c r="O679">
        <v>130.19999999999999</v>
      </c>
      <c r="P679">
        <v>7.41</v>
      </c>
      <c r="Q679">
        <v>207.48</v>
      </c>
    </row>
    <row r="680" spans="1:17" x14ac:dyDescent="0.25">
      <c r="A680">
        <v>18811060</v>
      </c>
      <c r="B680">
        <v>1007814</v>
      </c>
      <c r="C680" t="s">
        <v>183</v>
      </c>
      <c r="E680" t="str">
        <f>"8712364562248"</f>
        <v>8712364562248</v>
      </c>
      <c r="H680" t="s">
        <v>838</v>
      </c>
      <c r="I680">
        <v>1</v>
      </c>
      <c r="J680">
        <v>36</v>
      </c>
      <c r="K680">
        <v>36</v>
      </c>
      <c r="L680">
        <v>0.9</v>
      </c>
      <c r="M680">
        <v>0.81</v>
      </c>
      <c r="N680">
        <v>1.339</v>
      </c>
      <c r="O680">
        <v>48.204000000000001</v>
      </c>
      <c r="P680">
        <v>1.5</v>
      </c>
      <c r="Q680">
        <v>54</v>
      </c>
    </row>
    <row r="681" spans="1:17" x14ac:dyDescent="0.25">
      <c r="A681">
        <v>18811060</v>
      </c>
      <c r="B681">
        <v>987029</v>
      </c>
      <c r="C681" t="s">
        <v>192</v>
      </c>
      <c r="E681" t="str">
        <f>"8712364622508"</f>
        <v>8712364622508</v>
      </c>
      <c r="H681" t="s">
        <v>834</v>
      </c>
      <c r="I681">
        <v>1</v>
      </c>
      <c r="J681">
        <v>60</v>
      </c>
      <c r="K681">
        <v>60</v>
      </c>
      <c r="L681">
        <v>0.72</v>
      </c>
      <c r="M681">
        <v>0.64800000000000002</v>
      </c>
      <c r="N681">
        <v>0.22700000000000001</v>
      </c>
      <c r="O681">
        <v>13.62</v>
      </c>
      <c r="P681">
        <v>1.17</v>
      </c>
      <c r="Q681">
        <v>70.2</v>
      </c>
    </row>
    <row r="682" spans="1:17" x14ac:dyDescent="0.25">
      <c r="A682">
        <v>18811060</v>
      </c>
      <c r="B682">
        <v>1007802</v>
      </c>
      <c r="C682" t="s">
        <v>191</v>
      </c>
      <c r="E682" t="str">
        <f>"8712364577211"</f>
        <v>8712364577211</v>
      </c>
      <c r="H682" t="s">
        <v>838</v>
      </c>
      <c r="I682">
        <v>12</v>
      </c>
      <c r="J682">
        <v>4</v>
      </c>
      <c r="K682">
        <v>48</v>
      </c>
      <c r="L682">
        <v>12</v>
      </c>
      <c r="M682">
        <v>10.8</v>
      </c>
      <c r="N682">
        <v>3.6160000000000001</v>
      </c>
      <c r="O682">
        <v>173.56800000000001</v>
      </c>
      <c r="P682">
        <v>2.54</v>
      </c>
      <c r="Q682">
        <v>121.92</v>
      </c>
    </row>
    <row r="683" spans="1:17" x14ac:dyDescent="0.25">
      <c r="A683">
        <v>18811060</v>
      </c>
      <c r="B683">
        <v>994476</v>
      </c>
      <c r="C683" t="s">
        <v>180</v>
      </c>
      <c r="E683" t="str">
        <f>"5050574252829"</f>
        <v>5050574252829</v>
      </c>
      <c r="H683" t="s">
        <v>873</v>
      </c>
      <c r="I683">
        <v>6</v>
      </c>
      <c r="J683">
        <v>1</v>
      </c>
      <c r="K683">
        <v>6</v>
      </c>
      <c r="L683">
        <v>2.274</v>
      </c>
      <c r="M683">
        <v>2.0470000000000002</v>
      </c>
      <c r="N683">
        <v>1.2090000000000001</v>
      </c>
      <c r="O683">
        <v>7.2539999999999996</v>
      </c>
      <c r="P683">
        <v>4.3499999999999996</v>
      </c>
      <c r="Q683">
        <v>26.1</v>
      </c>
    </row>
    <row r="684" spans="1:17" x14ac:dyDescent="0.25">
      <c r="A684">
        <v>18811060</v>
      </c>
      <c r="B684">
        <v>986369</v>
      </c>
      <c r="C684" t="s">
        <v>178</v>
      </c>
      <c r="E684" t="str">
        <f>"887961943726"</f>
        <v>887961943726</v>
      </c>
      <c r="F684" t="str">
        <f>"887961943696"</f>
        <v>887961943696</v>
      </c>
      <c r="G684" t="str">
        <f>"887961943719"</f>
        <v>887961943719</v>
      </c>
      <c r="H684" t="s">
        <v>836</v>
      </c>
      <c r="I684">
        <v>6</v>
      </c>
      <c r="J684">
        <v>1</v>
      </c>
      <c r="K684">
        <v>6</v>
      </c>
      <c r="L684">
        <v>0.93</v>
      </c>
      <c r="M684">
        <v>0.83699999999999997</v>
      </c>
      <c r="N684">
        <v>2.8359999999999999</v>
      </c>
      <c r="O684">
        <v>17.015999999999998</v>
      </c>
      <c r="P684">
        <v>6.82</v>
      </c>
      <c r="Q684">
        <v>40.92</v>
      </c>
    </row>
    <row r="685" spans="1:17" x14ac:dyDescent="0.25">
      <c r="A685">
        <v>18811060</v>
      </c>
      <c r="B685">
        <v>994504</v>
      </c>
      <c r="C685" t="s">
        <v>177</v>
      </c>
      <c r="E685" t="str">
        <f>"778988366967"</f>
        <v>778988366967</v>
      </c>
      <c r="H685" t="s">
        <v>871</v>
      </c>
      <c r="I685">
        <v>4</v>
      </c>
      <c r="J685">
        <v>1</v>
      </c>
      <c r="K685">
        <v>4</v>
      </c>
      <c r="L685">
        <v>1.2</v>
      </c>
      <c r="M685">
        <v>1.08</v>
      </c>
      <c r="N685">
        <v>1.875</v>
      </c>
      <c r="O685">
        <v>7.5</v>
      </c>
      <c r="P685">
        <v>8.36</v>
      </c>
      <c r="Q685">
        <v>33.44</v>
      </c>
    </row>
    <row r="686" spans="1:17" x14ac:dyDescent="0.25">
      <c r="A686">
        <v>18811060</v>
      </c>
      <c r="B686">
        <v>987030</v>
      </c>
      <c r="C686" t="s">
        <v>188</v>
      </c>
      <c r="E686" t="str">
        <f>"8712364584240"</f>
        <v>8712364584240</v>
      </c>
      <c r="H686" t="s">
        <v>874</v>
      </c>
      <c r="I686">
        <v>1</v>
      </c>
      <c r="J686">
        <v>60</v>
      </c>
      <c r="K686">
        <v>60</v>
      </c>
      <c r="L686">
        <v>1.8</v>
      </c>
      <c r="M686">
        <v>1.62</v>
      </c>
      <c r="N686">
        <v>0.17699999999999999</v>
      </c>
      <c r="O686">
        <v>10.62</v>
      </c>
      <c r="P686">
        <v>0.96</v>
      </c>
      <c r="Q686">
        <v>57.6</v>
      </c>
    </row>
    <row r="687" spans="1:17" x14ac:dyDescent="0.25">
      <c r="A687">
        <v>18811060</v>
      </c>
      <c r="B687">
        <v>987006</v>
      </c>
      <c r="C687" t="s">
        <v>193</v>
      </c>
      <c r="E687" t="str">
        <f>"8712364622553"</f>
        <v>8712364622553</v>
      </c>
      <c r="H687" t="s">
        <v>834</v>
      </c>
      <c r="I687">
        <v>1</v>
      </c>
      <c r="J687">
        <v>40</v>
      </c>
      <c r="K687">
        <v>40</v>
      </c>
      <c r="L687">
        <v>3.2</v>
      </c>
      <c r="M687">
        <v>2.88</v>
      </c>
      <c r="N687">
        <v>0.27</v>
      </c>
      <c r="O687">
        <v>10.8</v>
      </c>
      <c r="P687">
        <v>1.17</v>
      </c>
      <c r="Q687">
        <v>46.8</v>
      </c>
    </row>
    <row r="688" spans="1:17" x14ac:dyDescent="0.25">
      <c r="A688">
        <v>18811060</v>
      </c>
      <c r="B688">
        <v>987040</v>
      </c>
      <c r="C688" t="s">
        <v>181</v>
      </c>
      <c r="E688" t="str">
        <f>"8712364584233"</f>
        <v>8712364584233</v>
      </c>
      <c r="H688" t="s">
        <v>874</v>
      </c>
      <c r="I688">
        <v>1</v>
      </c>
      <c r="J688">
        <v>40</v>
      </c>
      <c r="K688">
        <v>40</v>
      </c>
      <c r="L688">
        <v>12.12</v>
      </c>
      <c r="M688">
        <v>10.907999999999999</v>
      </c>
      <c r="N688">
        <v>0.16900000000000001</v>
      </c>
      <c r="O688">
        <v>6.76</v>
      </c>
      <c r="P688">
        <v>0.96</v>
      </c>
      <c r="Q688">
        <v>38.4</v>
      </c>
    </row>
    <row r="689" spans="1:17" x14ac:dyDescent="0.25">
      <c r="A689">
        <v>18811060</v>
      </c>
      <c r="B689">
        <v>987019</v>
      </c>
      <c r="C689" t="s">
        <v>179</v>
      </c>
      <c r="E689" t="str">
        <f>"8712364803457"</f>
        <v>8712364803457</v>
      </c>
      <c r="F689" t="str">
        <f>"8712364800982"</f>
        <v>8712364800982</v>
      </c>
      <c r="H689" t="s">
        <v>838</v>
      </c>
      <c r="I689">
        <v>12</v>
      </c>
      <c r="J689">
        <v>4</v>
      </c>
      <c r="K689">
        <v>48</v>
      </c>
      <c r="L689">
        <v>0.48</v>
      </c>
      <c r="M689">
        <v>0.432</v>
      </c>
      <c r="N689">
        <v>0.19900000000000001</v>
      </c>
      <c r="O689">
        <v>9.5519999999999996</v>
      </c>
      <c r="P689">
        <v>0.3</v>
      </c>
      <c r="Q689">
        <v>14.4</v>
      </c>
    </row>
    <row r="690" spans="1:17" x14ac:dyDescent="0.25">
      <c r="A690">
        <v>18815866</v>
      </c>
      <c r="B690">
        <v>923620</v>
      </c>
      <c r="C690" t="s">
        <v>574</v>
      </c>
      <c r="E690" t="str">
        <f>"5411397143037"</f>
        <v>5411397143037</v>
      </c>
      <c r="H690" t="s">
        <v>923</v>
      </c>
      <c r="I690">
        <v>1</v>
      </c>
      <c r="J690">
        <v>1</v>
      </c>
      <c r="K690">
        <v>1</v>
      </c>
      <c r="L690">
        <v>2.3330000000000002</v>
      </c>
      <c r="M690">
        <v>2.1</v>
      </c>
      <c r="N690">
        <v>15.84</v>
      </c>
      <c r="O690">
        <v>15.84</v>
      </c>
      <c r="P690">
        <v>18.18</v>
      </c>
      <c r="Q690">
        <v>18.18</v>
      </c>
    </row>
    <row r="691" spans="1:17" x14ac:dyDescent="0.25">
      <c r="A691">
        <v>18815866</v>
      </c>
      <c r="B691">
        <v>673164</v>
      </c>
      <c r="C691" t="s">
        <v>575</v>
      </c>
      <c r="E691" t="str">
        <f>"3491953475842"</f>
        <v>3491953475842</v>
      </c>
      <c r="H691" t="s">
        <v>778</v>
      </c>
      <c r="I691">
        <v>1</v>
      </c>
      <c r="J691">
        <v>1</v>
      </c>
      <c r="K691">
        <v>1</v>
      </c>
      <c r="L691">
        <v>3.46</v>
      </c>
      <c r="M691">
        <v>3.1139999999999999</v>
      </c>
      <c r="N691">
        <v>32.707999999999998</v>
      </c>
      <c r="O691">
        <v>32.707999999999998</v>
      </c>
      <c r="P691">
        <v>20.79</v>
      </c>
      <c r="Q691">
        <v>20.79</v>
      </c>
    </row>
    <row r="692" spans="1:17" x14ac:dyDescent="0.25">
      <c r="A692">
        <v>18815867</v>
      </c>
      <c r="B692">
        <v>682851</v>
      </c>
      <c r="C692" t="s">
        <v>576</v>
      </c>
      <c r="E692" t="str">
        <f>"3491953638711"</f>
        <v>3491953638711</v>
      </c>
      <c r="F692" t="str">
        <f>"3491953816911"</f>
        <v>3491953816911</v>
      </c>
      <c r="H692" t="s">
        <v>752</v>
      </c>
      <c r="I692">
        <v>6</v>
      </c>
      <c r="J692">
        <v>1</v>
      </c>
      <c r="K692">
        <v>6</v>
      </c>
      <c r="L692">
        <v>1.8660000000000001</v>
      </c>
      <c r="M692">
        <v>1.679</v>
      </c>
      <c r="N692">
        <v>2.5409999999999999</v>
      </c>
      <c r="O692">
        <v>15.246</v>
      </c>
      <c r="P692">
        <v>1.61</v>
      </c>
      <c r="Q692">
        <v>9.66</v>
      </c>
    </row>
    <row r="693" spans="1:17" x14ac:dyDescent="0.25">
      <c r="A693">
        <v>18815867</v>
      </c>
      <c r="B693">
        <v>327413</v>
      </c>
      <c r="C693" t="s">
        <v>577</v>
      </c>
      <c r="E693" t="str">
        <f>"5400320091309"</f>
        <v>5400320091309</v>
      </c>
      <c r="F693" t="str">
        <f>"5400320106904"</f>
        <v>5400320106904</v>
      </c>
      <c r="G693" t="str">
        <f>"5400320082390"</f>
        <v>5400320082390</v>
      </c>
      <c r="H693" t="s">
        <v>924</v>
      </c>
      <c r="I693">
        <v>1</v>
      </c>
      <c r="J693">
        <v>1</v>
      </c>
      <c r="K693">
        <v>1</v>
      </c>
      <c r="L693">
        <v>1.3160000000000001</v>
      </c>
      <c r="M693">
        <v>1.1839999999999999</v>
      </c>
      <c r="N693">
        <v>35.588000000000001</v>
      </c>
      <c r="O693">
        <v>35.588000000000001</v>
      </c>
      <c r="P693">
        <v>15.48</v>
      </c>
      <c r="Q693">
        <v>15.48</v>
      </c>
    </row>
    <row r="694" spans="1:17" x14ac:dyDescent="0.25">
      <c r="A694">
        <v>18815867</v>
      </c>
      <c r="B694">
        <v>302474</v>
      </c>
      <c r="C694" t="s">
        <v>578</v>
      </c>
      <c r="E694" t="str">
        <f>"5411708085391"</f>
        <v>5411708085391</v>
      </c>
      <c r="H694" t="s">
        <v>801</v>
      </c>
      <c r="I694">
        <v>10</v>
      </c>
      <c r="J694">
        <v>1</v>
      </c>
      <c r="K694">
        <v>10</v>
      </c>
      <c r="L694">
        <v>11.88</v>
      </c>
      <c r="M694">
        <v>10.692</v>
      </c>
      <c r="N694">
        <v>3.12</v>
      </c>
      <c r="O694">
        <v>31.2</v>
      </c>
      <c r="P694">
        <v>3.18</v>
      </c>
      <c r="Q694">
        <v>31.8</v>
      </c>
    </row>
    <row r="695" spans="1:17" x14ac:dyDescent="0.25">
      <c r="A695">
        <v>18815867</v>
      </c>
      <c r="B695">
        <v>956345</v>
      </c>
      <c r="C695" t="s">
        <v>196</v>
      </c>
      <c r="E695" t="str">
        <f>"3491955560027"</f>
        <v>3491955560027</v>
      </c>
      <c r="H695" t="s">
        <v>882</v>
      </c>
      <c r="I695">
        <v>1</v>
      </c>
      <c r="J695">
        <v>3</v>
      </c>
      <c r="K695">
        <v>3</v>
      </c>
      <c r="L695">
        <v>1.6739999999999999</v>
      </c>
      <c r="M695">
        <v>1.5069999999999999</v>
      </c>
      <c r="N695">
        <v>7.2</v>
      </c>
      <c r="O695">
        <v>21.6</v>
      </c>
      <c r="P695">
        <v>3.14</v>
      </c>
      <c r="Q695">
        <v>9.42</v>
      </c>
    </row>
    <row r="696" spans="1:17" x14ac:dyDescent="0.25">
      <c r="A696">
        <v>18816855</v>
      </c>
      <c r="B696">
        <v>1020003</v>
      </c>
      <c r="C696" t="s">
        <v>579</v>
      </c>
      <c r="E696" t="str">
        <f>"8001841542645"</f>
        <v>8001841542645</v>
      </c>
      <c r="H696" t="s">
        <v>925</v>
      </c>
      <c r="I696">
        <v>6</v>
      </c>
      <c r="J696">
        <v>1</v>
      </c>
      <c r="K696">
        <v>6</v>
      </c>
      <c r="L696">
        <v>2.7959999999999998</v>
      </c>
      <c r="M696">
        <v>2.516</v>
      </c>
      <c r="N696">
        <v>3.5529999999999999</v>
      </c>
      <c r="O696">
        <v>21.318000000000001</v>
      </c>
      <c r="P696">
        <v>6.3</v>
      </c>
      <c r="Q696">
        <v>37.799999999999997</v>
      </c>
    </row>
    <row r="697" spans="1:17" x14ac:dyDescent="0.25">
      <c r="A697">
        <v>18816855</v>
      </c>
      <c r="B697">
        <v>964496</v>
      </c>
      <c r="C697" t="s">
        <v>580</v>
      </c>
      <c r="E697" t="str">
        <f>"8710552273068"</f>
        <v>8710552273068</v>
      </c>
      <c r="H697" t="s">
        <v>926</v>
      </c>
      <c r="I697">
        <v>10</v>
      </c>
      <c r="J697">
        <v>1</v>
      </c>
      <c r="K697">
        <v>10</v>
      </c>
      <c r="L697">
        <v>0.86</v>
      </c>
      <c r="M697">
        <v>0.77400000000000002</v>
      </c>
      <c r="N697">
        <v>1.2</v>
      </c>
      <c r="O697">
        <v>12</v>
      </c>
      <c r="P697">
        <v>1.83</v>
      </c>
      <c r="Q697">
        <v>18.3</v>
      </c>
    </row>
    <row r="698" spans="1:17" x14ac:dyDescent="0.25">
      <c r="A698">
        <v>18816855</v>
      </c>
      <c r="B698">
        <v>1020017</v>
      </c>
      <c r="C698" t="s">
        <v>581</v>
      </c>
      <c r="E698" t="str">
        <f>"8001090236166"</f>
        <v>8001090236166</v>
      </c>
      <c r="H698" t="s">
        <v>925</v>
      </c>
      <c r="I698">
        <v>8</v>
      </c>
      <c r="J698">
        <v>2</v>
      </c>
      <c r="K698">
        <v>16</v>
      </c>
      <c r="L698">
        <v>4.1920000000000002</v>
      </c>
      <c r="M698">
        <v>3.7730000000000001</v>
      </c>
      <c r="N698">
        <v>3.8359999999999999</v>
      </c>
      <c r="O698">
        <v>61.375999999999998</v>
      </c>
      <c r="P698">
        <v>2.58</v>
      </c>
      <c r="Q698">
        <v>41.28</v>
      </c>
    </row>
    <row r="699" spans="1:17" x14ac:dyDescent="0.25">
      <c r="A699">
        <v>18816855</v>
      </c>
      <c r="B699">
        <v>1016180</v>
      </c>
      <c r="C699" t="s">
        <v>582</v>
      </c>
      <c r="E699" t="str">
        <f>"8001841541075"</f>
        <v>8001841541075</v>
      </c>
      <c r="H699" t="s">
        <v>745</v>
      </c>
      <c r="I699">
        <v>6</v>
      </c>
      <c r="J699">
        <v>1</v>
      </c>
      <c r="K699">
        <v>6</v>
      </c>
      <c r="L699">
        <v>6.6180000000000003</v>
      </c>
      <c r="M699">
        <v>5.9560000000000004</v>
      </c>
      <c r="N699">
        <v>2.4300000000000002</v>
      </c>
      <c r="O699">
        <v>14.58</v>
      </c>
      <c r="P699">
        <v>1.1499999999999999</v>
      </c>
      <c r="Q699">
        <v>6.9</v>
      </c>
    </row>
    <row r="700" spans="1:17" x14ac:dyDescent="0.25">
      <c r="A700">
        <v>18816855</v>
      </c>
      <c r="B700">
        <v>628743</v>
      </c>
      <c r="C700" t="s">
        <v>583</v>
      </c>
      <c r="E700" t="str">
        <f>"5415087003939"</f>
        <v>5415087003939</v>
      </c>
      <c r="H700" t="s">
        <v>927</v>
      </c>
      <c r="I700">
        <v>12</v>
      </c>
      <c r="J700">
        <v>1</v>
      </c>
      <c r="K700">
        <v>12</v>
      </c>
      <c r="L700">
        <v>9</v>
      </c>
      <c r="M700">
        <v>8.1</v>
      </c>
      <c r="N700">
        <v>2</v>
      </c>
      <c r="O700">
        <v>24</v>
      </c>
      <c r="P700">
        <v>1.3</v>
      </c>
      <c r="Q700">
        <v>15.6</v>
      </c>
    </row>
    <row r="701" spans="1:17" x14ac:dyDescent="0.25">
      <c r="A701">
        <v>18816855</v>
      </c>
      <c r="B701">
        <v>304563</v>
      </c>
      <c r="C701" t="s">
        <v>584</v>
      </c>
      <c r="E701" t="str">
        <f>"3346025721009"</f>
        <v>3346025721009</v>
      </c>
      <c r="H701" t="s">
        <v>927</v>
      </c>
      <c r="I701">
        <v>12</v>
      </c>
      <c r="J701">
        <v>1</v>
      </c>
      <c r="K701">
        <v>12</v>
      </c>
      <c r="L701">
        <v>12.996</v>
      </c>
      <c r="M701">
        <v>11.696</v>
      </c>
      <c r="N701">
        <v>2.6</v>
      </c>
      <c r="O701">
        <v>31.2</v>
      </c>
      <c r="P701">
        <v>1.3</v>
      </c>
      <c r="Q701">
        <v>15.6</v>
      </c>
    </row>
    <row r="702" spans="1:17" x14ac:dyDescent="0.25">
      <c r="A702">
        <v>18816855</v>
      </c>
      <c r="B702">
        <v>985488</v>
      </c>
      <c r="C702" t="s">
        <v>585</v>
      </c>
      <c r="E702" t="str">
        <f>"8001841518985"</f>
        <v>8001841518985</v>
      </c>
      <c r="H702" t="s">
        <v>745</v>
      </c>
      <c r="I702">
        <v>8</v>
      </c>
      <c r="J702">
        <v>1</v>
      </c>
      <c r="K702">
        <v>8</v>
      </c>
      <c r="L702">
        <v>8</v>
      </c>
      <c r="M702">
        <v>7.2</v>
      </c>
      <c r="N702">
        <v>1.75</v>
      </c>
      <c r="O702">
        <v>14</v>
      </c>
      <c r="P702">
        <v>1.55</v>
      </c>
      <c r="Q702">
        <v>12.4</v>
      </c>
    </row>
    <row r="703" spans="1:17" x14ac:dyDescent="0.25">
      <c r="A703">
        <v>18816855</v>
      </c>
      <c r="B703">
        <v>1007183</v>
      </c>
      <c r="C703" t="s">
        <v>586</v>
      </c>
      <c r="E703" t="str">
        <f>"4002448108344"</f>
        <v>4002448108344</v>
      </c>
      <c r="H703" t="s">
        <v>745</v>
      </c>
      <c r="I703">
        <v>4</v>
      </c>
      <c r="J703">
        <v>1</v>
      </c>
      <c r="K703">
        <v>4</v>
      </c>
      <c r="L703">
        <v>3.38</v>
      </c>
      <c r="M703">
        <v>3.0419999999999998</v>
      </c>
      <c r="N703">
        <v>4.5039999999999996</v>
      </c>
      <c r="O703">
        <v>18.015999999999998</v>
      </c>
      <c r="P703">
        <v>1.75</v>
      </c>
      <c r="Q703">
        <v>7</v>
      </c>
    </row>
    <row r="704" spans="1:17" x14ac:dyDescent="0.25">
      <c r="A704">
        <v>18816856</v>
      </c>
      <c r="B704">
        <v>383093</v>
      </c>
      <c r="C704" t="s">
        <v>587</v>
      </c>
      <c r="E704" t="str">
        <f>"2090000692167"</f>
        <v>2090000692167</v>
      </c>
      <c r="H704" t="s">
        <v>928</v>
      </c>
      <c r="I704">
        <v>1</v>
      </c>
      <c r="J704">
        <v>5</v>
      </c>
      <c r="K704">
        <v>5</v>
      </c>
      <c r="L704">
        <v>3</v>
      </c>
      <c r="M704">
        <v>2.7</v>
      </c>
      <c r="N704">
        <v>20.8</v>
      </c>
      <c r="O704">
        <v>104</v>
      </c>
      <c r="P704">
        <v>1.73</v>
      </c>
      <c r="Q704">
        <v>8.65</v>
      </c>
    </row>
    <row r="705" spans="1:17" x14ac:dyDescent="0.25">
      <c r="A705">
        <v>18816856</v>
      </c>
      <c r="B705">
        <v>968490</v>
      </c>
      <c r="C705" t="s">
        <v>588</v>
      </c>
      <c r="E705" t="str">
        <f>"5407007985548"</f>
        <v>5407007985548</v>
      </c>
      <c r="H705" t="s">
        <v>929</v>
      </c>
      <c r="I705">
        <v>1</v>
      </c>
      <c r="J705">
        <v>2</v>
      </c>
      <c r="K705">
        <v>2</v>
      </c>
      <c r="L705">
        <v>2.8</v>
      </c>
      <c r="M705">
        <v>2.52</v>
      </c>
      <c r="N705">
        <v>6.0750000000000002</v>
      </c>
      <c r="O705">
        <v>12.15</v>
      </c>
      <c r="P705">
        <v>12.12</v>
      </c>
      <c r="Q705">
        <v>24.24</v>
      </c>
    </row>
    <row r="706" spans="1:17" x14ac:dyDescent="0.25">
      <c r="A706">
        <v>18816856</v>
      </c>
      <c r="B706">
        <v>997103</v>
      </c>
      <c r="C706" t="s">
        <v>589</v>
      </c>
      <c r="E706" t="str">
        <f>"5414987566346"</f>
        <v>5414987566346</v>
      </c>
      <c r="H706" t="s">
        <v>929</v>
      </c>
      <c r="I706">
        <v>1</v>
      </c>
      <c r="J706">
        <v>2</v>
      </c>
      <c r="K706">
        <v>2</v>
      </c>
      <c r="L706">
        <v>3.4</v>
      </c>
      <c r="M706">
        <v>3.06</v>
      </c>
      <c r="N706">
        <v>9.4269999999999996</v>
      </c>
      <c r="O706">
        <v>18.853999999999999</v>
      </c>
      <c r="P706">
        <v>12.92</v>
      </c>
      <c r="Q706">
        <v>25.84</v>
      </c>
    </row>
    <row r="707" spans="1:17" x14ac:dyDescent="0.25">
      <c r="A707">
        <v>18816856</v>
      </c>
      <c r="B707">
        <v>1004021</v>
      </c>
      <c r="C707" t="s">
        <v>590</v>
      </c>
      <c r="E707" t="str">
        <f>"5414987254625"</f>
        <v>5414987254625</v>
      </c>
      <c r="H707" t="s">
        <v>831</v>
      </c>
      <c r="I707">
        <v>1</v>
      </c>
      <c r="J707">
        <v>2</v>
      </c>
      <c r="K707">
        <v>2</v>
      </c>
      <c r="L707">
        <v>1.1319999999999999</v>
      </c>
      <c r="M707">
        <v>1.0189999999999999</v>
      </c>
      <c r="N707">
        <v>4.8840000000000003</v>
      </c>
      <c r="O707">
        <v>9.7680000000000007</v>
      </c>
      <c r="P707">
        <v>2.83</v>
      </c>
      <c r="Q707">
        <v>5.66</v>
      </c>
    </row>
    <row r="708" spans="1:17" x14ac:dyDescent="0.25">
      <c r="A708">
        <v>18816856</v>
      </c>
      <c r="B708">
        <v>983242</v>
      </c>
      <c r="C708" t="s">
        <v>591</v>
      </c>
      <c r="E708" t="str">
        <f>"3491955560973"</f>
        <v>3491955560973</v>
      </c>
      <c r="H708" t="s">
        <v>930</v>
      </c>
      <c r="I708">
        <v>4</v>
      </c>
      <c r="J708">
        <v>3</v>
      </c>
      <c r="K708">
        <v>6</v>
      </c>
      <c r="L708">
        <v>2.226</v>
      </c>
      <c r="M708">
        <v>2.004</v>
      </c>
      <c r="N708">
        <v>3.3580000000000001</v>
      </c>
      <c r="O708">
        <v>20.148</v>
      </c>
      <c r="P708">
        <v>2.58</v>
      </c>
      <c r="Q708">
        <v>15.48</v>
      </c>
    </row>
    <row r="709" spans="1:17" x14ac:dyDescent="0.25">
      <c r="A709">
        <v>18816856</v>
      </c>
      <c r="B709">
        <v>1004022</v>
      </c>
      <c r="C709" t="s">
        <v>592</v>
      </c>
      <c r="E709" t="str">
        <f>"5414987254656"</f>
        <v>5414987254656</v>
      </c>
      <c r="H709" t="s">
        <v>831</v>
      </c>
      <c r="I709">
        <v>1</v>
      </c>
      <c r="J709">
        <v>2</v>
      </c>
      <c r="K709">
        <v>2</v>
      </c>
      <c r="L709">
        <v>1.25</v>
      </c>
      <c r="M709">
        <v>1.125</v>
      </c>
      <c r="N709">
        <v>4.992</v>
      </c>
      <c r="O709">
        <v>9.984</v>
      </c>
      <c r="P709">
        <v>3</v>
      </c>
      <c r="Q709">
        <v>6</v>
      </c>
    </row>
    <row r="710" spans="1:17" x14ac:dyDescent="0.25">
      <c r="A710">
        <v>18816856</v>
      </c>
      <c r="B710">
        <v>983241</v>
      </c>
      <c r="C710" t="s">
        <v>593</v>
      </c>
      <c r="E710" t="str">
        <f>"3491955560966"</f>
        <v>3491955560966</v>
      </c>
      <c r="H710" t="s">
        <v>930</v>
      </c>
      <c r="I710">
        <v>4</v>
      </c>
      <c r="J710">
        <v>3</v>
      </c>
      <c r="K710">
        <v>6</v>
      </c>
      <c r="L710">
        <v>2.1840000000000002</v>
      </c>
      <c r="M710">
        <v>1.9650000000000001</v>
      </c>
      <c r="N710">
        <v>3.3580000000000001</v>
      </c>
      <c r="O710">
        <v>20.148</v>
      </c>
      <c r="P710">
        <v>2.58</v>
      </c>
      <c r="Q710">
        <v>15.48</v>
      </c>
    </row>
    <row r="711" spans="1:17" x14ac:dyDescent="0.25">
      <c r="A711">
        <v>18816856</v>
      </c>
      <c r="B711">
        <v>983240</v>
      </c>
      <c r="C711" t="s">
        <v>594</v>
      </c>
      <c r="E711" t="str">
        <f>"3491955560942"</f>
        <v>3491955560942</v>
      </c>
      <c r="H711" t="s">
        <v>930</v>
      </c>
      <c r="I711">
        <v>4</v>
      </c>
      <c r="J711">
        <v>1</v>
      </c>
      <c r="K711">
        <v>4</v>
      </c>
      <c r="L711">
        <v>1.4359999999999999</v>
      </c>
      <c r="M711">
        <v>1.292</v>
      </c>
      <c r="N711">
        <v>3.3580000000000001</v>
      </c>
      <c r="O711">
        <v>13.432</v>
      </c>
      <c r="P711">
        <v>2.58</v>
      </c>
      <c r="Q711">
        <v>10.32</v>
      </c>
    </row>
    <row r="712" spans="1:17" x14ac:dyDescent="0.25">
      <c r="A712">
        <v>18816856</v>
      </c>
      <c r="B712">
        <v>996977</v>
      </c>
      <c r="C712" t="s">
        <v>595</v>
      </c>
      <c r="E712" t="str">
        <f>"5414987566308"</f>
        <v>5414987566308</v>
      </c>
      <c r="H712" t="s">
        <v>929</v>
      </c>
      <c r="I712">
        <v>1</v>
      </c>
      <c r="J712">
        <v>2</v>
      </c>
      <c r="K712">
        <v>2</v>
      </c>
      <c r="L712">
        <v>3.6</v>
      </c>
      <c r="M712">
        <v>3.24</v>
      </c>
      <c r="N712">
        <v>9.4269999999999996</v>
      </c>
      <c r="O712">
        <v>18.853999999999999</v>
      </c>
      <c r="P712">
        <v>12.73</v>
      </c>
      <c r="Q712">
        <v>25.46</v>
      </c>
    </row>
    <row r="713" spans="1:17" x14ac:dyDescent="0.25">
      <c r="A713">
        <v>18816856</v>
      </c>
      <c r="B713">
        <v>997115</v>
      </c>
      <c r="C713" t="s">
        <v>596</v>
      </c>
      <c r="E713" t="str">
        <f>"5414987566407"</f>
        <v>5414987566407</v>
      </c>
      <c r="H713" t="s">
        <v>929</v>
      </c>
      <c r="I713">
        <v>1</v>
      </c>
      <c r="J713">
        <v>2</v>
      </c>
      <c r="K713">
        <v>2</v>
      </c>
      <c r="L713">
        <v>3.3679999999999999</v>
      </c>
      <c r="M713">
        <v>3.0310000000000001</v>
      </c>
      <c r="N713">
        <v>9.4269999999999996</v>
      </c>
      <c r="O713">
        <v>18.853999999999999</v>
      </c>
      <c r="P713">
        <v>12.54</v>
      </c>
      <c r="Q713">
        <v>25.08</v>
      </c>
    </row>
    <row r="714" spans="1:17" x14ac:dyDescent="0.25">
      <c r="A714">
        <v>18816856</v>
      </c>
      <c r="B714">
        <v>1004020</v>
      </c>
      <c r="C714" t="s">
        <v>597</v>
      </c>
      <c r="E714" t="str">
        <f>"5414987254632"</f>
        <v>5414987254632</v>
      </c>
      <c r="H714" t="s">
        <v>831</v>
      </c>
      <c r="I714">
        <v>1</v>
      </c>
      <c r="J714">
        <v>2</v>
      </c>
      <c r="K714">
        <v>2</v>
      </c>
      <c r="L714">
        <v>1.1819999999999999</v>
      </c>
      <c r="M714">
        <v>1.0640000000000001</v>
      </c>
      <c r="N714">
        <v>4.8639999999999999</v>
      </c>
      <c r="O714">
        <v>9.7279999999999998</v>
      </c>
      <c r="P714">
        <v>2.83</v>
      </c>
      <c r="Q714">
        <v>5.66</v>
      </c>
    </row>
    <row r="715" spans="1:17" x14ac:dyDescent="0.25">
      <c r="A715">
        <v>18816857</v>
      </c>
      <c r="B715">
        <v>922663</v>
      </c>
      <c r="C715" t="s">
        <v>598</v>
      </c>
      <c r="E715" t="str">
        <f>"5407007982097"</f>
        <v>5407007982097</v>
      </c>
      <c r="H715" t="s">
        <v>929</v>
      </c>
      <c r="I715">
        <v>1</v>
      </c>
      <c r="J715">
        <v>4</v>
      </c>
      <c r="K715">
        <v>4</v>
      </c>
      <c r="L715">
        <v>6.2919999999999998</v>
      </c>
      <c r="M715">
        <v>5.6630000000000003</v>
      </c>
      <c r="N715">
        <v>5.16</v>
      </c>
      <c r="O715">
        <v>20.64</v>
      </c>
      <c r="P715">
        <v>18.239999999999998</v>
      </c>
      <c r="Q715">
        <v>72.959999999999994</v>
      </c>
    </row>
    <row r="716" spans="1:17" x14ac:dyDescent="0.25">
      <c r="A716">
        <v>18816857</v>
      </c>
      <c r="B716">
        <v>952302</v>
      </c>
      <c r="C716" t="s">
        <v>599</v>
      </c>
      <c r="E716" t="str">
        <f>"5407007984749"</f>
        <v>5407007984749</v>
      </c>
      <c r="H716" t="s">
        <v>931</v>
      </c>
      <c r="I716">
        <v>1</v>
      </c>
      <c r="J716">
        <v>4</v>
      </c>
      <c r="K716">
        <v>4</v>
      </c>
      <c r="L716">
        <v>1.0720000000000001</v>
      </c>
      <c r="M716">
        <v>0.96499999999999997</v>
      </c>
      <c r="N716">
        <v>4.0529999999999999</v>
      </c>
      <c r="O716">
        <v>16.212</v>
      </c>
      <c r="P716">
        <v>2.3199999999999998</v>
      </c>
      <c r="Q716">
        <v>9.2799999999999994</v>
      </c>
    </row>
    <row r="717" spans="1:17" x14ac:dyDescent="0.25">
      <c r="A717">
        <v>18816857</v>
      </c>
      <c r="B717">
        <v>974943</v>
      </c>
      <c r="C717" t="s">
        <v>229</v>
      </c>
      <c r="E717" t="str">
        <f>"3491955816155"</f>
        <v>3491955816155</v>
      </c>
      <c r="H717" t="s">
        <v>897</v>
      </c>
      <c r="I717">
        <v>4</v>
      </c>
      <c r="J717">
        <v>1</v>
      </c>
      <c r="K717">
        <v>4</v>
      </c>
      <c r="L717">
        <v>2.5</v>
      </c>
      <c r="M717">
        <v>2.25</v>
      </c>
      <c r="N717">
        <v>3.5430000000000001</v>
      </c>
      <c r="O717">
        <v>14.172000000000001</v>
      </c>
      <c r="P717">
        <v>3.25</v>
      </c>
      <c r="Q717">
        <v>13</v>
      </c>
    </row>
    <row r="718" spans="1:17" x14ac:dyDescent="0.25">
      <c r="A718">
        <v>18816857</v>
      </c>
      <c r="B718">
        <v>935946</v>
      </c>
      <c r="C718" t="s">
        <v>600</v>
      </c>
      <c r="E718" t="str">
        <f>"3491955089368"</f>
        <v>3491955089368</v>
      </c>
      <c r="F718" t="str">
        <f>"3491955365332"</f>
        <v>3491955365332</v>
      </c>
      <c r="H718" t="s">
        <v>932</v>
      </c>
      <c r="I718">
        <v>6</v>
      </c>
      <c r="J718">
        <v>1</v>
      </c>
      <c r="K718">
        <v>6</v>
      </c>
      <c r="L718">
        <v>1.5</v>
      </c>
      <c r="M718">
        <v>1.35</v>
      </c>
      <c r="N718">
        <v>2.4369999999999998</v>
      </c>
      <c r="O718">
        <v>14.622</v>
      </c>
      <c r="P718">
        <v>1.08</v>
      </c>
      <c r="Q718">
        <v>6.48</v>
      </c>
    </row>
    <row r="719" spans="1:17" x14ac:dyDescent="0.25">
      <c r="A719">
        <v>18816857</v>
      </c>
      <c r="B719">
        <v>975196</v>
      </c>
      <c r="C719" t="s">
        <v>601</v>
      </c>
      <c r="E719" t="str">
        <f>"3760308080179"</f>
        <v>3760308080179</v>
      </c>
      <c r="H719" t="s">
        <v>933</v>
      </c>
      <c r="I719">
        <v>2</v>
      </c>
      <c r="J719">
        <v>1</v>
      </c>
      <c r="K719">
        <v>2</v>
      </c>
      <c r="L719">
        <v>0.624</v>
      </c>
      <c r="M719">
        <v>0.56200000000000006</v>
      </c>
      <c r="N719">
        <v>1.4059999999999999</v>
      </c>
      <c r="O719">
        <v>2.8119999999999998</v>
      </c>
      <c r="P719">
        <v>5.38</v>
      </c>
      <c r="Q719">
        <v>10.76</v>
      </c>
    </row>
    <row r="720" spans="1:17" x14ac:dyDescent="0.25">
      <c r="A720">
        <v>18816858</v>
      </c>
      <c r="B720">
        <v>1007808</v>
      </c>
      <c r="C720" t="s">
        <v>602</v>
      </c>
      <c r="E720" t="str">
        <f>"5400586807416"</f>
        <v>5400586807416</v>
      </c>
      <c r="H720" t="s">
        <v>898</v>
      </c>
      <c r="I720">
        <v>12</v>
      </c>
      <c r="J720">
        <v>1</v>
      </c>
      <c r="K720">
        <v>12</v>
      </c>
      <c r="L720">
        <v>0.36</v>
      </c>
      <c r="M720">
        <v>0.32400000000000001</v>
      </c>
      <c r="N720">
        <v>2.5</v>
      </c>
      <c r="O720">
        <v>30</v>
      </c>
      <c r="P720">
        <v>2.64</v>
      </c>
      <c r="Q720">
        <v>31.68</v>
      </c>
    </row>
    <row r="721" spans="1:17" x14ac:dyDescent="0.25">
      <c r="A721">
        <v>18816858</v>
      </c>
      <c r="B721">
        <v>988726</v>
      </c>
      <c r="C721" t="s">
        <v>603</v>
      </c>
      <c r="E721" t="str">
        <f>"3491955968731"</f>
        <v>3491955968731</v>
      </c>
      <c r="H721" t="s">
        <v>898</v>
      </c>
      <c r="I721">
        <v>6</v>
      </c>
      <c r="J721">
        <v>1</v>
      </c>
      <c r="K721">
        <v>6</v>
      </c>
      <c r="L721">
        <v>0.17399999999999999</v>
      </c>
      <c r="M721">
        <v>0.157</v>
      </c>
      <c r="N721">
        <v>2.544</v>
      </c>
      <c r="O721">
        <v>15.263999999999999</v>
      </c>
      <c r="P721">
        <v>2.1800000000000002</v>
      </c>
      <c r="Q721">
        <v>13.08</v>
      </c>
    </row>
    <row r="722" spans="1:17" x14ac:dyDescent="0.25">
      <c r="A722">
        <v>18816858</v>
      </c>
      <c r="B722">
        <v>654110</v>
      </c>
      <c r="C722" t="s">
        <v>223</v>
      </c>
      <c r="E722" t="str">
        <f>"3491953886860"</f>
        <v>3491953886860</v>
      </c>
      <c r="H722" t="s">
        <v>894</v>
      </c>
      <c r="I722">
        <v>6</v>
      </c>
      <c r="J722">
        <v>1</v>
      </c>
      <c r="K722">
        <v>6</v>
      </c>
      <c r="L722">
        <v>1.6140000000000001</v>
      </c>
      <c r="M722">
        <v>1.4530000000000001</v>
      </c>
      <c r="N722">
        <v>2.9209999999999998</v>
      </c>
      <c r="O722">
        <v>17.526</v>
      </c>
      <c r="P722">
        <v>1.8</v>
      </c>
      <c r="Q722">
        <v>10.8</v>
      </c>
    </row>
    <row r="723" spans="1:17" x14ac:dyDescent="0.25">
      <c r="A723">
        <v>18816858</v>
      </c>
      <c r="B723">
        <v>1019905</v>
      </c>
      <c r="C723" t="s">
        <v>604</v>
      </c>
      <c r="E723" t="str">
        <f>"8712364858778"</f>
        <v>8712364858778</v>
      </c>
      <c r="H723" t="s">
        <v>837</v>
      </c>
      <c r="I723">
        <v>12</v>
      </c>
      <c r="J723">
        <v>1</v>
      </c>
      <c r="K723">
        <v>12</v>
      </c>
      <c r="L723">
        <v>2.004</v>
      </c>
      <c r="M723">
        <v>1.804</v>
      </c>
      <c r="N723">
        <v>0.58099999999999996</v>
      </c>
      <c r="O723">
        <v>6.9720000000000004</v>
      </c>
      <c r="P723">
        <v>1.93</v>
      </c>
      <c r="Q723">
        <v>23.16</v>
      </c>
    </row>
    <row r="724" spans="1:17" x14ac:dyDescent="0.25">
      <c r="A724">
        <v>18816858</v>
      </c>
      <c r="B724">
        <v>750882</v>
      </c>
      <c r="C724" t="s">
        <v>605</v>
      </c>
      <c r="E724" t="str">
        <f>"2000006838797"</f>
        <v>2000006838797</v>
      </c>
      <c r="H724" t="s">
        <v>890</v>
      </c>
      <c r="I724">
        <v>6</v>
      </c>
      <c r="J724">
        <v>1</v>
      </c>
      <c r="K724">
        <v>6</v>
      </c>
      <c r="L724">
        <v>2.0579999999999998</v>
      </c>
      <c r="M724">
        <v>1.8520000000000001</v>
      </c>
      <c r="N724">
        <v>3.75</v>
      </c>
      <c r="O724">
        <v>22.5</v>
      </c>
      <c r="P724">
        <v>2.4</v>
      </c>
      <c r="Q724">
        <v>14.4</v>
      </c>
    </row>
    <row r="725" spans="1:17" x14ac:dyDescent="0.25">
      <c r="A725">
        <v>18816858</v>
      </c>
      <c r="B725">
        <v>1023486</v>
      </c>
      <c r="C725" t="s">
        <v>226</v>
      </c>
      <c r="E725" t="str">
        <f>"5413128351193"</f>
        <v>5413128351193</v>
      </c>
      <c r="H725" t="s">
        <v>896</v>
      </c>
      <c r="I725">
        <v>12</v>
      </c>
      <c r="J725">
        <v>1</v>
      </c>
      <c r="K725">
        <v>12</v>
      </c>
      <c r="L725">
        <v>3.3</v>
      </c>
      <c r="M725">
        <v>2.97</v>
      </c>
      <c r="N725">
        <v>2.7</v>
      </c>
      <c r="O725">
        <v>32.4</v>
      </c>
      <c r="P725">
        <v>2.5499999999999998</v>
      </c>
      <c r="Q725">
        <v>30.6</v>
      </c>
    </row>
    <row r="726" spans="1:17" x14ac:dyDescent="0.25">
      <c r="A726">
        <v>18816858</v>
      </c>
      <c r="B726">
        <v>904509</v>
      </c>
      <c r="C726" t="s">
        <v>214</v>
      </c>
      <c r="E726" t="str">
        <f>"3491955526993"</f>
        <v>3491955526993</v>
      </c>
      <c r="H726" t="s">
        <v>865</v>
      </c>
      <c r="I726">
        <v>6</v>
      </c>
      <c r="J726">
        <v>1</v>
      </c>
      <c r="K726">
        <v>6</v>
      </c>
      <c r="L726">
        <v>2.052</v>
      </c>
      <c r="M726">
        <v>1.847</v>
      </c>
      <c r="N726">
        <v>4.6550000000000002</v>
      </c>
      <c r="O726">
        <v>27.93</v>
      </c>
      <c r="P726">
        <v>4.79</v>
      </c>
      <c r="Q726">
        <v>28.74</v>
      </c>
    </row>
    <row r="727" spans="1:17" x14ac:dyDescent="0.25">
      <c r="A727">
        <v>18816858</v>
      </c>
      <c r="B727">
        <v>909028</v>
      </c>
      <c r="C727" t="s">
        <v>222</v>
      </c>
      <c r="E727" t="str">
        <f>"3491955312749"</f>
        <v>3491955312749</v>
      </c>
      <c r="H727" t="s">
        <v>893</v>
      </c>
      <c r="I727">
        <v>3</v>
      </c>
      <c r="J727">
        <v>1</v>
      </c>
      <c r="K727">
        <v>3</v>
      </c>
      <c r="L727">
        <v>0.79800000000000004</v>
      </c>
      <c r="M727">
        <v>0.71799999999999997</v>
      </c>
      <c r="N727">
        <v>1.7849999999999999</v>
      </c>
      <c r="O727">
        <v>5.3550000000000004</v>
      </c>
      <c r="P727">
        <v>4.8899999999999997</v>
      </c>
      <c r="Q727">
        <v>14.67</v>
      </c>
    </row>
    <row r="728" spans="1:17" x14ac:dyDescent="0.25">
      <c r="A728">
        <v>18816858</v>
      </c>
      <c r="B728">
        <v>759002</v>
      </c>
      <c r="C728" t="s">
        <v>606</v>
      </c>
      <c r="E728" t="str">
        <f>"5414635077163"</f>
        <v>5414635077163</v>
      </c>
      <c r="H728" t="s">
        <v>838</v>
      </c>
      <c r="I728">
        <v>12</v>
      </c>
      <c r="J728">
        <v>1</v>
      </c>
      <c r="K728">
        <v>12</v>
      </c>
      <c r="L728">
        <v>0.74399999999999999</v>
      </c>
      <c r="M728">
        <v>0.67</v>
      </c>
      <c r="N728">
        <v>1.1339999999999999</v>
      </c>
      <c r="O728">
        <v>13.608000000000001</v>
      </c>
      <c r="P728">
        <v>1.1499999999999999</v>
      </c>
      <c r="Q728">
        <v>13.8</v>
      </c>
    </row>
    <row r="729" spans="1:17" x14ac:dyDescent="0.25">
      <c r="A729">
        <v>18816858</v>
      </c>
      <c r="B729">
        <v>985295</v>
      </c>
      <c r="C729" t="s">
        <v>220</v>
      </c>
      <c r="E729" t="str">
        <f>"3491955930486"</f>
        <v>3491955930486</v>
      </c>
      <c r="F729" t="str">
        <f>"3491955525460"</f>
        <v>3491955525460</v>
      </c>
      <c r="H729" t="s">
        <v>892</v>
      </c>
      <c r="I729">
        <v>3</v>
      </c>
      <c r="J729">
        <v>1</v>
      </c>
      <c r="K729">
        <v>3</v>
      </c>
      <c r="L729">
        <v>0.66900000000000004</v>
      </c>
      <c r="M729">
        <v>0.60199999999999998</v>
      </c>
      <c r="N729">
        <v>1.4</v>
      </c>
      <c r="O729">
        <v>4.2</v>
      </c>
      <c r="P729">
        <v>2.57</v>
      </c>
      <c r="Q729">
        <v>7.71</v>
      </c>
    </row>
    <row r="730" spans="1:17" x14ac:dyDescent="0.25">
      <c r="A730">
        <v>18816858</v>
      </c>
      <c r="B730">
        <v>653907</v>
      </c>
      <c r="C730" t="s">
        <v>221</v>
      </c>
      <c r="E730" t="str">
        <f>"3491955568429"</f>
        <v>3491955568429</v>
      </c>
      <c r="F730" t="str">
        <f>"3491953521679"</f>
        <v>3491953521679</v>
      </c>
      <c r="H730" t="s">
        <v>892</v>
      </c>
      <c r="I730">
        <v>3</v>
      </c>
      <c r="J730">
        <v>1</v>
      </c>
      <c r="K730">
        <v>3</v>
      </c>
      <c r="L730">
        <v>1.5</v>
      </c>
      <c r="M730">
        <v>1.35</v>
      </c>
      <c r="N730">
        <v>2.89</v>
      </c>
      <c r="O730">
        <v>8.67</v>
      </c>
      <c r="P730">
        <v>3.79</v>
      </c>
      <c r="Q730">
        <v>11.37</v>
      </c>
    </row>
    <row r="731" spans="1:17" x14ac:dyDescent="0.25">
      <c r="A731">
        <v>18816859</v>
      </c>
      <c r="B731">
        <v>968258</v>
      </c>
      <c r="C731" t="s">
        <v>607</v>
      </c>
      <c r="E731" t="str">
        <f>"3560234470293"</f>
        <v>3560234470293</v>
      </c>
      <c r="H731" t="s">
        <v>834</v>
      </c>
      <c r="I731">
        <v>1</v>
      </c>
      <c r="J731">
        <v>4</v>
      </c>
      <c r="K731">
        <v>4</v>
      </c>
      <c r="L731">
        <v>1.2</v>
      </c>
      <c r="M731">
        <v>1.08</v>
      </c>
      <c r="N731">
        <v>7.1269999999999998</v>
      </c>
      <c r="O731">
        <v>28.507999999999999</v>
      </c>
      <c r="P731">
        <v>2.4500000000000002</v>
      </c>
      <c r="Q731">
        <v>9.8000000000000007</v>
      </c>
    </row>
    <row r="732" spans="1:17" x14ac:dyDescent="0.25">
      <c r="A732">
        <v>18816859</v>
      </c>
      <c r="B732">
        <v>923615</v>
      </c>
      <c r="C732" t="s">
        <v>227</v>
      </c>
      <c r="E732" t="str">
        <f>"778988394878"</f>
        <v>778988394878</v>
      </c>
      <c r="F732" t="str">
        <f>"778988416143"</f>
        <v>778988416143</v>
      </c>
      <c r="G732" t="str">
        <f>"778988297391"</f>
        <v>778988297391</v>
      </c>
      <c r="H732" t="s">
        <v>787</v>
      </c>
      <c r="I732">
        <v>1</v>
      </c>
      <c r="J732">
        <v>4</v>
      </c>
      <c r="K732">
        <v>4</v>
      </c>
      <c r="L732">
        <v>0.42399999999999999</v>
      </c>
      <c r="M732">
        <v>0.38200000000000001</v>
      </c>
      <c r="N732">
        <v>0.98099999999999998</v>
      </c>
      <c r="O732">
        <v>3.9239999999999999</v>
      </c>
      <c r="P732">
        <v>5.18</v>
      </c>
      <c r="Q732">
        <v>20.72</v>
      </c>
    </row>
    <row r="733" spans="1:17" x14ac:dyDescent="0.25">
      <c r="A733">
        <v>18816860</v>
      </c>
      <c r="B733">
        <v>994608</v>
      </c>
      <c r="C733" t="s">
        <v>608</v>
      </c>
      <c r="E733" t="str">
        <f>"5702017189697"</f>
        <v>5702017189697</v>
      </c>
      <c r="H733" t="s">
        <v>788</v>
      </c>
      <c r="I733">
        <v>1</v>
      </c>
      <c r="J733">
        <v>1</v>
      </c>
      <c r="K733">
        <v>1</v>
      </c>
      <c r="L733">
        <v>0.32</v>
      </c>
      <c r="M733">
        <v>0.28799999999999998</v>
      </c>
      <c r="N733">
        <v>2.94</v>
      </c>
      <c r="O733">
        <v>2.94</v>
      </c>
      <c r="P733">
        <v>10.93</v>
      </c>
      <c r="Q733">
        <v>10.93</v>
      </c>
    </row>
    <row r="734" spans="1:17" x14ac:dyDescent="0.25">
      <c r="A734">
        <v>18816861</v>
      </c>
      <c r="B734">
        <v>732388</v>
      </c>
      <c r="C734" t="s">
        <v>609</v>
      </c>
      <c r="E734" t="str">
        <f>"8009371018210"</f>
        <v>8009371018210</v>
      </c>
      <c r="F734" t="str">
        <f>"8009371018234"</f>
        <v>8009371018234</v>
      </c>
      <c r="H734" t="s">
        <v>934</v>
      </c>
      <c r="I734">
        <v>1</v>
      </c>
      <c r="J734">
        <v>4</v>
      </c>
      <c r="K734">
        <v>4</v>
      </c>
      <c r="L734">
        <v>60</v>
      </c>
      <c r="M734">
        <v>54</v>
      </c>
      <c r="N734">
        <v>54.74</v>
      </c>
      <c r="O734">
        <v>218.96</v>
      </c>
      <c r="P734">
        <v>22.92</v>
      </c>
      <c r="Q734">
        <v>91.68</v>
      </c>
    </row>
    <row r="735" spans="1:17" x14ac:dyDescent="0.25">
      <c r="A735">
        <v>18826345</v>
      </c>
      <c r="B735">
        <v>759346</v>
      </c>
      <c r="C735" t="s">
        <v>248</v>
      </c>
      <c r="E735" t="str">
        <f>"3491953973492"</f>
        <v>3491953973492</v>
      </c>
      <c r="F735" t="str">
        <f>"8710675063027"</f>
        <v>8710675063027</v>
      </c>
      <c r="G735" t="str">
        <f>"8710675212395"</f>
        <v>8710675212395</v>
      </c>
      <c r="H735" t="s">
        <v>843</v>
      </c>
      <c r="I735">
        <v>60</v>
      </c>
      <c r="J735">
        <v>1</v>
      </c>
      <c r="K735">
        <v>60</v>
      </c>
      <c r="L735">
        <v>6.24</v>
      </c>
      <c r="M735">
        <v>5.6159999999999997</v>
      </c>
      <c r="N735">
        <v>0.79200000000000004</v>
      </c>
      <c r="O735">
        <v>47.52</v>
      </c>
      <c r="P735">
        <v>0.23</v>
      </c>
      <c r="Q735">
        <v>13.8</v>
      </c>
    </row>
    <row r="736" spans="1:17" x14ac:dyDescent="0.25">
      <c r="A736">
        <v>18826345</v>
      </c>
      <c r="B736">
        <v>1007228</v>
      </c>
      <c r="C736" t="s">
        <v>247</v>
      </c>
      <c r="E736" t="str">
        <f>"820650555312"</f>
        <v>820650555312</v>
      </c>
      <c r="H736" t="s">
        <v>840</v>
      </c>
      <c r="I736">
        <v>6</v>
      </c>
      <c r="J736">
        <v>2</v>
      </c>
      <c r="K736">
        <v>12</v>
      </c>
      <c r="L736">
        <v>1.992</v>
      </c>
      <c r="M736">
        <v>1.7929999999999999</v>
      </c>
      <c r="N736">
        <v>3.5840000000000001</v>
      </c>
      <c r="O736">
        <v>43.008000000000003</v>
      </c>
      <c r="P736">
        <v>13.06</v>
      </c>
      <c r="Q736">
        <v>156.72</v>
      </c>
    </row>
    <row r="737" spans="1:17" x14ac:dyDescent="0.25">
      <c r="A737">
        <v>18826345</v>
      </c>
      <c r="B737">
        <v>992365</v>
      </c>
      <c r="C737" t="s">
        <v>245</v>
      </c>
      <c r="E737" t="str">
        <f>"778988380314"</f>
        <v>778988380314</v>
      </c>
      <c r="H737" t="s">
        <v>902</v>
      </c>
      <c r="I737">
        <v>4</v>
      </c>
      <c r="J737">
        <v>1</v>
      </c>
      <c r="K737">
        <v>4</v>
      </c>
      <c r="L737">
        <v>1.8</v>
      </c>
      <c r="M737">
        <v>1.62</v>
      </c>
      <c r="N737">
        <v>3.8719999999999999</v>
      </c>
      <c r="O737">
        <v>15.488</v>
      </c>
      <c r="P737">
        <v>15.98</v>
      </c>
      <c r="Q737">
        <v>63.92</v>
      </c>
    </row>
    <row r="738" spans="1:17" x14ac:dyDescent="0.25">
      <c r="A738">
        <v>18826345</v>
      </c>
      <c r="B738">
        <v>992382</v>
      </c>
      <c r="C738" t="s">
        <v>243</v>
      </c>
      <c r="E738" t="str">
        <f>"778988424803"</f>
        <v>778988424803</v>
      </c>
      <c r="F738" t="str">
        <f>"778988345863"</f>
        <v>778988345863</v>
      </c>
      <c r="H738" t="s">
        <v>901</v>
      </c>
      <c r="I738">
        <v>6</v>
      </c>
      <c r="J738">
        <v>1</v>
      </c>
      <c r="K738">
        <v>6</v>
      </c>
      <c r="L738">
        <v>2.04</v>
      </c>
      <c r="M738">
        <v>1.8360000000000001</v>
      </c>
      <c r="N738">
        <v>0.77400000000000002</v>
      </c>
      <c r="O738">
        <v>4.6440000000000001</v>
      </c>
      <c r="P738">
        <v>7.76</v>
      </c>
      <c r="Q738">
        <v>46.56</v>
      </c>
    </row>
    <row r="739" spans="1:17" x14ac:dyDescent="0.25">
      <c r="A739">
        <v>18826345</v>
      </c>
      <c r="B739">
        <v>962853</v>
      </c>
      <c r="C739" t="s">
        <v>244</v>
      </c>
      <c r="E739" t="str">
        <f>"778988375402"</f>
        <v>778988375402</v>
      </c>
      <c r="H739" t="s">
        <v>902</v>
      </c>
      <c r="I739">
        <v>4</v>
      </c>
      <c r="J739">
        <v>1</v>
      </c>
      <c r="K739">
        <v>4</v>
      </c>
      <c r="L739">
        <v>1.8</v>
      </c>
      <c r="M739">
        <v>1.62</v>
      </c>
      <c r="N739">
        <v>3.8719999999999999</v>
      </c>
      <c r="O739">
        <v>15.488</v>
      </c>
      <c r="P739">
        <v>15.98</v>
      </c>
      <c r="Q739">
        <v>63.92</v>
      </c>
    </row>
    <row r="740" spans="1:17" x14ac:dyDescent="0.25">
      <c r="A740">
        <v>18826345</v>
      </c>
      <c r="B740">
        <v>992381</v>
      </c>
      <c r="C740" t="s">
        <v>246</v>
      </c>
      <c r="E740" t="str">
        <f>"778988380307"</f>
        <v>778988380307</v>
      </c>
      <c r="H740" t="s">
        <v>902</v>
      </c>
      <c r="I740">
        <v>4</v>
      </c>
      <c r="J740">
        <v>1</v>
      </c>
      <c r="K740">
        <v>4</v>
      </c>
      <c r="L740">
        <v>1.8</v>
      </c>
      <c r="M740">
        <v>1.62</v>
      </c>
      <c r="N740">
        <v>3.8719999999999999</v>
      </c>
      <c r="O740">
        <v>15.488</v>
      </c>
      <c r="P740">
        <v>15.98</v>
      </c>
      <c r="Q740">
        <v>63.92</v>
      </c>
    </row>
    <row r="741" spans="1:17" x14ac:dyDescent="0.25">
      <c r="A741">
        <v>18826345</v>
      </c>
      <c r="B741">
        <v>994918</v>
      </c>
      <c r="C741" t="s">
        <v>233</v>
      </c>
      <c r="E741" t="str">
        <f>"5050841682717"</f>
        <v>5050841682717</v>
      </c>
      <c r="H741" t="s">
        <v>837</v>
      </c>
      <c r="I741">
        <v>1</v>
      </c>
      <c r="J741">
        <v>2</v>
      </c>
      <c r="K741">
        <v>2</v>
      </c>
      <c r="L741">
        <v>1.716</v>
      </c>
      <c r="M741">
        <v>1.544</v>
      </c>
      <c r="N741">
        <v>0.90600000000000003</v>
      </c>
      <c r="O741">
        <v>1.8120000000000001</v>
      </c>
      <c r="P741">
        <v>8.32</v>
      </c>
      <c r="Q741">
        <v>16.64</v>
      </c>
    </row>
    <row r="742" spans="1:17" x14ac:dyDescent="0.25">
      <c r="A742">
        <v>18826345</v>
      </c>
      <c r="B742">
        <v>952858</v>
      </c>
      <c r="C742" t="s">
        <v>234</v>
      </c>
      <c r="E742" t="str">
        <f>"3491955629960"</f>
        <v>3491955629960</v>
      </c>
      <c r="F742" t="str">
        <f>"3491955544034"</f>
        <v>3491955544034</v>
      </c>
      <c r="H742" t="s">
        <v>899</v>
      </c>
      <c r="I742">
        <v>1</v>
      </c>
      <c r="J742">
        <v>3</v>
      </c>
      <c r="K742">
        <v>3</v>
      </c>
      <c r="L742">
        <v>21</v>
      </c>
      <c r="M742">
        <v>18.899999999999999</v>
      </c>
      <c r="N742">
        <v>35.712000000000003</v>
      </c>
      <c r="O742">
        <v>107.136</v>
      </c>
      <c r="P742">
        <v>24.19</v>
      </c>
      <c r="Q742">
        <v>72.569999999999993</v>
      </c>
    </row>
    <row r="743" spans="1:17" x14ac:dyDescent="0.25">
      <c r="A743">
        <v>18826345</v>
      </c>
      <c r="B743">
        <v>907329</v>
      </c>
      <c r="C743" t="s">
        <v>232</v>
      </c>
      <c r="E743" t="str">
        <f>"5420023187826"</f>
        <v>5420023187826</v>
      </c>
      <c r="H743" t="s">
        <v>872</v>
      </c>
      <c r="I743">
        <v>8</v>
      </c>
      <c r="J743">
        <v>1</v>
      </c>
      <c r="K743">
        <v>8</v>
      </c>
      <c r="L743">
        <v>7.4</v>
      </c>
      <c r="M743">
        <v>6.66</v>
      </c>
      <c r="N743">
        <v>14.663</v>
      </c>
      <c r="O743">
        <v>117.304</v>
      </c>
      <c r="P743">
        <v>5.71</v>
      </c>
      <c r="Q743">
        <v>45.68</v>
      </c>
    </row>
    <row r="744" spans="1:17" x14ac:dyDescent="0.25">
      <c r="A744">
        <v>18826345</v>
      </c>
      <c r="B744">
        <v>907330</v>
      </c>
      <c r="C744" t="s">
        <v>235</v>
      </c>
      <c r="E744" t="str">
        <f>"5420023187956"</f>
        <v>5420023187956</v>
      </c>
      <c r="H744" t="s">
        <v>872</v>
      </c>
      <c r="I744">
        <v>6</v>
      </c>
      <c r="J744">
        <v>1</v>
      </c>
      <c r="K744">
        <v>6</v>
      </c>
      <c r="L744">
        <v>8.4960000000000004</v>
      </c>
      <c r="M744">
        <v>7.6459999999999999</v>
      </c>
      <c r="N744">
        <v>19.466000000000001</v>
      </c>
      <c r="O744">
        <v>116.79600000000001</v>
      </c>
      <c r="P744">
        <v>3.76</v>
      </c>
      <c r="Q744">
        <v>22.56</v>
      </c>
    </row>
    <row r="745" spans="1:17" x14ac:dyDescent="0.25">
      <c r="A745">
        <v>18826345</v>
      </c>
      <c r="B745">
        <v>992380</v>
      </c>
      <c r="C745" t="s">
        <v>237</v>
      </c>
      <c r="E745" t="str">
        <f>"778988426074"</f>
        <v>778988426074</v>
      </c>
      <c r="H745" t="s">
        <v>900</v>
      </c>
      <c r="I745">
        <v>1</v>
      </c>
      <c r="J745">
        <v>4</v>
      </c>
      <c r="K745">
        <v>4</v>
      </c>
      <c r="L745">
        <v>1</v>
      </c>
      <c r="M745">
        <v>0.9</v>
      </c>
      <c r="N745">
        <v>2.73</v>
      </c>
      <c r="O745">
        <v>10.92</v>
      </c>
      <c r="P745">
        <v>8.2799999999999994</v>
      </c>
      <c r="Q745">
        <v>33.119999999999997</v>
      </c>
    </row>
    <row r="746" spans="1:17" x14ac:dyDescent="0.25">
      <c r="A746">
        <v>18826345</v>
      </c>
      <c r="B746">
        <v>992372</v>
      </c>
      <c r="C746" t="s">
        <v>236</v>
      </c>
      <c r="E746" t="str">
        <f>"778988418314"</f>
        <v>778988418314</v>
      </c>
      <c r="H746" t="s">
        <v>900</v>
      </c>
      <c r="I746">
        <v>1</v>
      </c>
      <c r="J746">
        <v>4</v>
      </c>
      <c r="K746">
        <v>4</v>
      </c>
      <c r="L746">
        <v>2.2639999999999998</v>
      </c>
      <c r="M746">
        <v>2.0379999999999998</v>
      </c>
      <c r="N746">
        <v>6.63</v>
      </c>
      <c r="O746">
        <v>26.52</v>
      </c>
      <c r="P746">
        <v>13.88</v>
      </c>
      <c r="Q746">
        <v>55.52</v>
      </c>
    </row>
    <row r="747" spans="1:17" x14ac:dyDescent="0.25">
      <c r="A747">
        <v>18826345</v>
      </c>
      <c r="B747">
        <v>904788</v>
      </c>
      <c r="C747" t="s">
        <v>238</v>
      </c>
      <c r="E747" t="str">
        <f>"3491955531287"</f>
        <v>3491955531287</v>
      </c>
      <c r="F747" t="str">
        <f>"3491955957391"</f>
        <v>3491955957391</v>
      </c>
      <c r="H747" t="s">
        <v>899</v>
      </c>
      <c r="I747">
        <v>1</v>
      </c>
      <c r="J747">
        <v>2</v>
      </c>
      <c r="K747">
        <v>2</v>
      </c>
      <c r="L747">
        <v>2.6</v>
      </c>
      <c r="M747">
        <v>2.34</v>
      </c>
      <c r="N747">
        <v>10.54</v>
      </c>
      <c r="O747">
        <v>21.08</v>
      </c>
      <c r="P747">
        <v>14.1</v>
      </c>
      <c r="Q747">
        <v>28.2</v>
      </c>
    </row>
    <row r="748" spans="1:17" x14ac:dyDescent="0.25">
      <c r="A748">
        <v>18826345</v>
      </c>
      <c r="B748">
        <v>757125</v>
      </c>
      <c r="C748" t="s">
        <v>242</v>
      </c>
      <c r="E748" t="str">
        <f>"5420023188243"</f>
        <v>5420023188243</v>
      </c>
      <c r="F748" t="str">
        <f>"2000006849038"</f>
        <v>2000006849038</v>
      </c>
      <c r="H748" t="s">
        <v>872</v>
      </c>
      <c r="I748">
        <v>6</v>
      </c>
      <c r="J748">
        <v>1</v>
      </c>
      <c r="K748">
        <v>6</v>
      </c>
      <c r="L748">
        <v>0.69599999999999995</v>
      </c>
      <c r="M748">
        <v>0.626</v>
      </c>
      <c r="N748">
        <v>1.86</v>
      </c>
      <c r="O748">
        <v>11.16</v>
      </c>
      <c r="P748">
        <v>2.58</v>
      </c>
      <c r="Q748">
        <v>15.48</v>
      </c>
    </row>
    <row r="749" spans="1:17" x14ac:dyDescent="0.25">
      <c r="A749">
        <v>18826345</v>
      </c>
      <c r="B749">
        <v>907298</v>
      </c>
      <c r="C749" t="s">
        <v>239</v>
      </c>
      <c r="E749" t="str">
        <f>"5420023187642"</f>
        <v>5420023187642</v>
      </c>
      <c r="H749" t="s">
        <v>839</v>
      </c>
      <c r="I749">
        <v>1</v>
      </c>
      <c r="J749">
        <v>2</v>
      </c>
      <c r="K749">
        <v>2</v>
      </c>
      <c r="L749">
        <v>4.3</v>
      </c>
      <c r="M749">
        <v>3.87</v>
      </c>
      <c r="N749">
        <v>38.408999999999999</v>
      </c>
      <c r="O749">
        <v>76.817999999999998</v>
      </c>
      <c r="P749">
        <v>26.8</v>
      </c>
      <c r="Q749">
        <v>53.6</v>
      </c>
    </row>
    <row r="750" spans="1:17" x14ac:dyDescent="0.25">
      <c r="A750">
        <v>18826345</v>
      </c>
      <c r="B750">
        <v>965227</v>
      </c>
      <c r="C750" t="s">
        <v>241</v>
      </c>
      <c r="E750" t="str">
        <f>"4891813881308"</f>
        <v>4891813881308</v>
      </c>
      <c r="F750" t="str">
        <f>"4891813880738"</f>
        <v>4891813880738</v>
      </c>
      <c r="G750" t="str">
        <f>"4891813881100"</f>
        <v>4891813881100</v>
      </c>
      <c r="H750" t="s">
        <v>839</v>
      </c>
      <c r="I750">
        <v>8</v>
      </c>
      <c r="J750">
        <v>1</v>
      </c>
      <c r="K750">
        <v>8</v>
      </c>
      <c r="L750">
        <v>1.256</v>
      </c>
      <c r="M750">
        <v>1.1299999999999999</v>
      </c>
      <c r="N750">
        <v>1.2250000000000001</v>
      </c>
      <c r="O750">
        <v>9.8000000000000007</v>
      </c>
      <c r="P750">
        <v>5.08</v>
      </c>
      <c r="Q750">
        <v>40.64</v>
      </c>
    </row>
    <row r="751" spans="1:17" x14ac:dyDescent="0.25">
      <c r="A751">
        <v>18826345</v>
      </c>
      <c r="B751">
        <v>1002963</v>
      </c>
      <c r="C751" t="s">
        <v>240</v>
      </c>
      <c r="E751" t="str">
        <f>"2018205446125"</f>
        <v>2018205446125</v>
      </c>
      <c r="F751" t="str">
        <f>"5420023193605"</f>
        <v>5420023193605</v>
      </c>
      <c r="H751" t="s">
        <v>837</v>
      </c>
      <c r="I751">
        <v>8</v>
      </c>
      <c r="J751">
        <v>1</v>
      </c>
      <c r="K751">
        <v>8</v>
      </c>
      <c r="L751">
        <v>1.8480000000000001</v>
      </c>
      <c r="M751">
        <v>1.663</v>
      </c>
      <c r="N751">
        <v>2.4390000000000001</v>
      </c>
      <c r="O751">
        <v>19.512</v>
      </c>
      <c r="P751">
        <v>1.74</v>
      </c>
      <c r="Q751">
        <v>13.92</v>
      </c>
    </row>
    <row r="752" spans="1:17" x14ac:dyDescent="0.25">
      <c r="A752">
        <v>18834497</v>
      </c>
      <c r="B752">
        <v>907292</v>
      </c>
      <c r="C752" t="s">
        <v>254</v>
      </c>
      <c r="E752" t="str">
        <f>"5420023188090"</f>
        <v>5420023188090</v>
      </c>
      <c r="H752" t="s">
        <v>904</v>
      </c>
      <c r="I752">
        <v>6</v>
      </c>
      <c r="J752">
        <v>1</v>
      </c>
      <c r="K752">
        <v>6</v>
      </c>
      <c r="L752">
        <v>12</v>
      </c>
      <c r="M752">
        <v>10.8</v>
      </c>
      <c r="N752">
        <v>14.933</v>
      </c>
      <c r="O752">
        <v>89.597999999999999</v>
      </c>
      <c r="P752">
        <v>4.76</v>
      </c>
      <c r="Q752">
        <v>28.56</v>
      </c>
    </row>
    <row r="753" spans="1:17" x14ac:dyDescent="0.25">
      <c r="A753">
        <v>18834497</v>
      </c>
      <c r="B753">
        <v>907285</v>
      </c>
      <c r="C753" t="s">
        <v>255</v>
      </c>
      <c r="E753" t="str">
        <f>"5420023187253"</f>
        <v>5420023187253</v>
      </c>
      <c r="H753" t="s">
        <v>786</v>
      </c>
      <c r="I753">
        <v>1</v>
      </c>
      <c r="J753">
        <v>2</v>
      </c>
      <c r="K753">
        <v>2</v>
      </c>
      <c r="L753">
        <v>1.244</v>
      </c>
      <c r="M753">
        <v>1.1200000000000001</v>
      </c>
      <c r="N753">
        <v>7.492</v>
      </c>
      <c r="O753">
        <v>14.984</v>
      </c>
      <c r="P753">
        <v>5.0199999999999996</v>
      </c>
      <c r="Q753">
        <v>10.039999999999999</v>
      </c>
    </row>
    <row r="754" spans="1:17" x14ac:dyDescent="0.25">
      <c r="A754">
        <v>18834497</v>
      </c>
      <c r="B754">
        <v>991742</v>
      </c>
      <c r="C754" t="s">
        <v>256</v>
      </c>
      <c r="E754" t="str">
        <f>"341955947744"</f>
        <v>341955947744</v>
      </c>
      <c r="F754" t="str">
        <f>"3491955947743"</f>
        <v>3491955947743</v>
      </c>
      <c r="H754" t="s">
        <v>904</v>
      </c>
      <c r="I754">
        <v>1</v>
      </c>
      <c r="J754">
        <v>2</v>
      </c>
      <c r="K754">
        <v>2</v>
      </c>
      <c r="L754">
        <v>1.6</v>
      </c>
      <c r="M754">
        <v>1.44</v>
      </c>
      <c r="N754">
        <v>2.403</v>
      </c>
      <c r="O754">
        <v>4.806</v>
      </c>
      <c r="P754">
        <v>4.8499999999999996</v>
      </c>
      <c r="Q754">
        <v>9.6999999999999993</v>
      </c>
    </row>
    <row r="755" spans="1:17" x14ac:dyDescent="0.25">
      <c r="A755">
        <v>18834497</v>
      </c>
      <c r="B755">
        <v>907286</v>
      </c>
      <c r="C755" t="s">
        <v>257</v>
      </c>
      <c r="E755" t="str">
        <f>"5420023187376"</f>
        <v>5420023187376</v>
      </c>
      <c r="F755" t="str">
        <f>"5420023190772"</f>
        <v>5420023190772</v>
      </c>
      <c r="H755" t="s">
        <v>839</v>
      </c>
      <c r="I755">
        <v>1</v>
      </c>
      <c r="J755">
        <v>3</v>
      </c>
      <c r="K755">
        <v>3</v>
      </c>
      <c r="L755">
        <v>2.5499999999999998</v>
      </c>
      <c r="M755">
        <v>2.2949999999999999</v>
      </c>
      <c r="N755">
        <v>10.125999999999999</v>
      </c>
      <c r="O755">
        <v>30.378</v>
      </c>
      <c r="P755">
        <v>11.15</v>
      </c>
      <c r="Q755">
        <v>33.450000000000003</v>
      </c>
    </row>
    <row r="756" spans="1:17" x14ac:dyDescent="0.25">
      <c r="A756">
        <v>18834497</v>
      </c>
      <c r="B756">
        <v>956079</v>
      </c>
      <c r="C756" t="s">
        <v>261</v>
      </c>
      <c r="E756" t="str">
        <f>"8411865055401"</f>
        <v>8411865055401</v>
      </c>
      <c r="F756" t="str">
        <f>"3491954955558"</f>
        <v>3491954955558</v>
      </c>
      <c r="H756" t="s">
        <v>786</v>
      </c>
      <c r="I756">
        <v>1</v>
      </c>
      <c r="J756">
        <v>2</v>
      </c>
      <c r="K756">
        <v>2</v>
      </c>
      <c r="L756">
        <v>1.44</v>
      </c>
      <c r="M756">
        <v>1.296</v>
      </c>
      <c r="N756">
        <v>9.7200000000000006</v>
      </c>
      <c r="O756">
        <v>19.440000000000001</v>
      </c>
      <c r="P756">
        <v>7.61</v>
      </c>
      <c r="Q756">
        <v>15.22</v>
      </c>
    </row>
    <row r="757" spans="1:17" x14ac:dyDescent="0.25">
      <c r="A757">
        <v>18834497</v>
      </c>
      <c r="B757">
        <v>991741</v>
      </c>
      <c r="C757" t="s">
        <v>259</v>
      </c>
      <c r="E757" t="str">
        <f>"3491955658076"</f>
        <v>3491955658076</v>
      </c>
      <c r="H757" t="s">
        <v>837</v>
      </c>
      <c r="I757">
        <v>1</v>
      </c>
      <c r="J757">
        <v>2</v>
      </c>
      <c r="K757">
        <v>2</v>
      </c>
      <c r="L757">
        <v>1.1539999999999999</v>
      </c>
      <c r="M757">
        <v>1.0389999999999999</v>
      </c>
      <c r="N757">
        <v>3.9</v>
      </c>
      <c r="O757">
        <v>7.8</v>
      </c>
      <c r="P757">
        <v>5.37</v>
      </c>
      <c r="Q757">
        <v>10.74</v>
      </c>
    </row>
    <row r="758" spans="1:17" x14ac:dyDescent="0.25">
      <c r="A758">
        <v>18834497</v>
      </c>
      <c r="B758">
        <v>1007939</v>
      </c>
      <c r="C758" t="s">
        <v>251</v>
      </c>
      <c r="E758" t="str">
        <f>"8411865025442"</f>
        <v>8411865025442</v>
      </c>
      <c r="H758" t="s">
        <v>786</v>
      </c>
      <c r="I758">
        <v>1</v>
      </c>
      <c r="J758">
        <v>3</v>
      </c>
      <c r="K758">
        <v>3</v>
      </c>
      <c r="L758">
        <v>1.8</v>
      </c>
      <c r="M758">
        <v>1.62</v>
      </c>
      <c r="N758">
        <v>7.7279999999999998</v>
      </c>
      <c r="O758">
        <v>23.184000000000001</v>
      </c>
      <c r="P758">
        <v>6.09</v>
      </c>
      <c r="Q758">
        <v>18.27</v>
      </c>
    </row>
    <row r="759" spans="1:17" x14ac:dyDescent="0.25">
      <c r="A759">
        <v>18834497</v>
      </c>
      <c r="B759">
        <v>952880</v>
      </c>
      <c r="C759" t="s">
        <v>252</v>
      </c>
      <c r="E759" t="str">
        <f>"3491955643447"</f>
        <v>3491955643447</v>
      </c>
      <c r="H759" t="s">
        <v>837</v>
      </c>
      <c r="I759">
        <v>6</v>
      </c>
      <c r="J759">
        <v>2</v>
      </c>
      <c r="K759">
        <v>12</v>
      </c>
      <c r="L759">
        <v>11.4</v>
      </c>
      <c r="M759">
        <v>10.26</v>
      </c>
      <c r="N759">
        <v>7.48</v>
      </c>
      <c r="O759">
        <v>89.76</v>
      </c>
      <c r="P759">
        <v>4.6100000000000003</v>
      </c>
      <c r="Q759">
        <v>55.32</v>
      </c>
    </row>
    <row r="760" spans="1:17" x14ac:dyDescent="0.25">
      <c r="A760">
        <v>18834497</v>
      </c>
      <c r="B760">
        <v>991740</v>
      </c>
      <c r="C760" t="s">
        <v>250</v>
      </c>
      <c r="E760" t="str">
        <f>"3491955954888"</f>
        <v>3491955954888</v>
      </c>
      <c r="H760" t="s">
        <v>903</v>
      </c>
      <c r="I760">
        <v>1</v>
      </c>
      <c r="J760">
        <v>2</v>
      </c>
      <c r="K760">
        <v>2</v>
      </c>
      <c r="L760">
        <v>2.1</v>
      </c>
      <c r="M760">
        <v>1.89</v>
      </c>
      <c r="N760">
        <v>0.41699999999999998</v>
      </c>
      <c r="O760">
        <v>0.83399999999999996</v>
      </c>
      <c r="P760">
        <v>5.38</v>
      </c>
      <c r="Q760">
        <v>10.76</v>
      </c>
    </row>
    <row r="761" spans="1:17" x14ac:dyDescent="0.25">
      <c r="A761">
        <v>18834497</v>
      </c>
      <c r="B761">
        <v>612306</v>
      </c>
      <c r="C761" t="s">
        <v>277</v>
      </c>
      <c r="E761" t="str">
        <f>"2000006761767"</f>
        <v>2000006761767</v>
      </c>
      <c r="F761" t="str">
        <f>"6919060730168"</f>
        <v>6919060730168</v>
      </c>
      <c r="G761" t="str">
        <f>"5420023186935"</f>
        <v>5420023186935</v>
      </c>
      <c r="H761" t="s">
        <v>787</v>
      </c>
      <c r="I761">
        <v>6</v>
      </c>
      <c r="J761">
        <v>1</v>
      </c>
      <c r="K761">
        <v>6</v>
      </c>
      <c r="L761">
        <v>10.398</v>
      </c>
      <c r="M761">
        <v>9.3580000000000005</v>
      </c>
      <c r="N761">
        <v>7.6</v>
      </c>
      <c r="O761">
        <v>45.6</v>
      </c>
      <c r="P761">
        <v>5.38</v>
      </c>
      <c r="Q761">
        <v>32.28</v>
      </c>
    </row>
    <row r="762" spans="1:17" x14ac:dyDescent="0.25">
      <c r="A762">
        <v>18834497</v>
      </c>
      <c r="B762">
        <v>907272</v>
      </c>
      <c r="C762" t="s">
        <v>249</v>
      </c>
      <c r="E762" t="str">
        <f>"5420023168207"</f>
        <v>5420023168207</v>
      </c>
      <c r="H762" t="s">
        <v>787</v>
      </c>
      <c r="I762">
        <v>1</v>
      </c>
      <c r="J762">
        <v>4</v>
      </c>
      <c r="K762">
        <v>4</v>
      </c>
      <c r="L762">
        <v>3.3319999999999999</v>
      </c>
      <c r="M762">
        <v>2.9990000000000001</v>
      </c>
      <c r="N762">
        <v>11.292999999999999</v>
      </c>
      <c r="O762">
        <v>45.171999999999997</v>
      </c>
      <c r="P762">
        <v>7.41</v>
      </c>
      <c r="Q762">
        <v>29.64</v>
      </c>
    </row>
    <row r="763" spans="1:17" x14ac:dyDescent="0.25">
      <c r="A763">
        <v>18834497</v>
      </c>
      <c r="B763">
        <v>991750</v>
      </c>
      <c r="C763" t="s">
        <v>270</v>
      </c>
      <c r="E763" t="str">
        <f>"3491955954192"</f>
        <v>3491955954192</v>
      </c>
      <c r="H763" t="s">
        <v>903</v>
      </c>
      <c r="I763">
        <v>1</v>
      </c>
      <c r="J763">
        <v>2</v>
      </c>
      <c r="K763">
        <v>2</v>
      </c>
      <c r="L763">
        <v>1.3</v>
      </c>
      <c r="M763">
        <v>1.17</v>
      </c>
      <c r="N763">
        <v>4.0949999999999998</v>
      </c>
      <c r="O763">
        <v>8.19</v>
      </c>
      <c r="P763">
        <v>5.53</v>
      </c>
      <c r="Q763">
        <v>11.06</v>
      </c>
    </row>
    <row r="764" spans="1:17" x14ac:dyDescent="0.25">
      <c r="A764">
        <v>18834497</v>
      </c>
      <c r="B764">
        <v>907271</v>
      </c>
      <c r="C764" t="s">
        <v>276</v>
      </c>
      <c r="E764" t="str">
        <f>"5420023187260"</f>
        <v>5420023187260</v>
      </c>
      <c r="H764" t="s">
        <v>787</v>
      </c>
      <c r="I764">
        <v>6</v>
      </c>
      <c r="J764">
        <v>1</v>
      </c>
      <c r="K764">
        <v>6</v>
      </c>
      <c r="L764">
        <v>3.996</v>
      </c>
      <c r="M764">
        <v>3.5960000000000001</v>
      </c>
      <c r="N764">
        <v>7.02</v>
      </c>
      <c r="O764">
        <v>42.12</v>
      </c>
      <c r="P764">
        <v>5.52</v>
      </c>
      <c r="Q764">
        <v>33.119999999999997</v>
      </c>
    </row>
    <row r="765" spans="1:17" x14ac:dyDescent="0.25">
      <c r="A765">
        <v>18834497</v>
      </c>
      <c r="B765">
        <v>907260</v>
      </c>
      <c r="C765" t="s">
        <v>275</v>
      </c>
      <c r="E765" t="str">
        <f>"5420023188304"</f>
        <v>5420023188304</v>
      </c>
      <c r="H765" t="s">
        <v>899</v>
      </c>
      <c r="I765">
        <v>6</v>
      </c>
      <c r="J765">
        <v>1</v>
      </c>
      <c r="K765">
        <v>6</v>
      </c>
      <c r="L765">
        <v>2.1</v>
      </c>
      <c r="M765">
        <v>1.89</v>
      </c>
      <c r="N765">
        <v>4.8</v>
      </c>
      <c r="O765">
        <v>28.8</v>
      </c>
      <c r="P765">
        <v>4.66</v>
      </c>
      <c r="Q765">
        <v>27.96</v>
      </c>
    </row>
    <row r="766" spans="1:17" x14ac:dyDescent="0.25">
      <c r="A766">
        <v>18834497</v>
      </c>
      <c r="B766">
        <v>952312</v>
      </c>
      <c r="C766" t="s">
        <v>274</v>
      </c>
      <c r="E766" t="str">
        <f>"3491955658434"</f>
        <v>3491955658434</v>
      </c>
      <c r="F766" t="str">
        <f>"3491955541507"</f>
        <v>3491955541507</v>
      </c>
      <c r="H766" t="s">
        <v>837</v>
      </c>
      <c r="I766">
        <v>3</v>
      </c>
      <c r="J766">
        <v>1</v>
      </c>
      <c r="K766">
        <v>3</v>
      </c>
      <c r="L766">
        <v>4.5</v>
      </c>
      <c r="M766">
        <v>4.05</v>
      </c>
      <c r="N766">
        <v>13.708</v>
      </c>
      <c r="O766">
        <v>41.124000000000002</v>
      </c>
      <c r="P766">
        <v>11.54</v>
      </c>
      <c r="Q766">
        <v>34.619999999999997</v>
      </c>
    </row>
    <row r="767" spans="1:17" x14ac:dyDescent="0.25">
      <c r="A767">
        <v>18834497</v>
      </c>
      <c r="B767">
        <v>994369</v>
      </c>
      <c r="C767" t="s">
        <v>253</v>
      </c>
      <c r="E767" t="str">
        <f>"4891813810124"</f>
        <v>4891813810124</v>
      </c>
      <c r="H767" t="s">
        <v>839</v>
      </c>
      <c r="I767">
        <v>1</v>
      </c>
      <c r="J767">
        <v>2</v>
      </c>
      <c r="K767">
        <v>2</v>
      </c>
      <c r="L767">
        <v>2.2919999999999998</v>
      </c>
      <c r="M767">
        <v>2.0630000000000002</v>
      </c>
      <c r="N767">
        <v>17.100000000000001</v>
      </c>
      <c r="O767">
        <v>34.200000000000003</v>
      </c>
      <c r="P767">
        <v>20.25</v>
      </c>
      <c r="Q767">
        <v>40.5</v>
      </c>
    </row>
    <row r="768" spans="1:17" x14ac:dyDescent="0.25">
      <c r="A768">
        <v>18834497</v>
      </c>
      <c r="B768">
        <v>712678</v>
      </c>
      <c r="C768" t="s">
        <v>273</v>
      </c>
      <c r="E768" t="str">
        <f>"8008324091621"</f>
        <v>8008324091621</v>
      </c>
      <c r="F768" t="str">
        <f>"8008324066315"</f>
        <v>8008324066315</v>
      </c>
      <c r="G768" t="str">
        <f>"8008324080502"</f>
        <v>8008324080502</v>
      </c>
      <c r="H768" t="s">
        <v>907</v>
      </c>
      <c r="I768">
        <v>6</v>
      </c>
      <c r="J768">
        <v>1</v>
      </c>
      <c r="K768">
        <v>6</v>
      </c>
      <c r="L768">
        <v>2.9580000000000002</v>
      </c>
      <c r="M768">
        <v>2.6619999999999999</v>
      </c>
      <c r="N768">
        <v>11.76</v>
      </c>
      <c r="O768">
        <v>70.56</v>
      </c>
      <c r="P768">
        <v>6.6</v>
      </c>
      <c r="Q768">
        <v>39.6</v>
      </c>
    </row>
    <row r="769" spans="1:17" x14ac:dyDescent="0.25">
      <c r="A769">
        <v>18834497</v>
      </c>
      <c r="B769">
        <v>952877</v>
      </c>
      <c r="C769" t="s">
        <v>272</v>
      </c>
      <c r="E769" t="str">
        <f>"3491955658038"</f>
        <v>3491955658038</v>
      </c>
      <c r="H769" t="s">
        <v>787</v>
      </c>
      <c r="I769">
        <v>1</v>
      </c>
      <c r="J769">
        <v>6</v>
      </c>
      <c r="K769">
        <v>6</v>
      </c>
      <c r="L769">
        <v>3.996</v>
      </c>
      <c r="M769">
        <v>3.5960000000000001</v>
      </c>
      <c r="N769">
        <v>2.625</v>
      </c>
      <c r="O769">
        <v>15.75</v>
      </c>
      <c r="P769">
        <v>5.52</v>
      </c>
      <c r="Q769">
        <v>33.119999999999997</v>
      </c>
    </row>
    <row r="770" spans="1:17" x14ac:dyDescent="0.25">
      <c r="A770">
        <v>18834497</v>
      </c>
      <c r="B770">
        <v>907323</v>
      </c>
      <c r="C770" t="s">
        <v>271</v>
      </c>
      <c r="E770" t="str">
        <f>"5420023187802"</f>
        <v>5420023187802</v>
      </c>
      <c r="H770" t="s">
        <v>787</v>
      </c>
      <c r="I770">
        <v>1</v>
      </c>
      <c r="J770">
        <v>4</v>
      </c>
      <c r="K770">
        <v>4</v>
      </c>
      <c r="L770">
        <v>0.33200000000000002</v>
      </c>
      <c r="M770">
        <v>0.29899999999999999</v>
      </c>
      <c r="N770">
        <v>8.1370000000000005</v>
      </c>
      <c r="O770">
        <v>32.548000000000002</v>
      </c>
      <c r="P770">
        <v>7.97</v>
      </c>
      <c r="Q770">
        <v>31.88</v>
      </c>
    </row>
    <row r="771" spans="1:17" x14ac:dyDescent="0.25">
      <c r="A771">
        <v>18834497</v>
      </c>
      <c r="B771">
        <v>1005564</v>
      </c>
      <c r="C771" t="s">
        <v>269</v>
      </c>
      <c r="E771" t="str">
        <f>"8410446311172"</f>
        <v>8410446311172</v>
      </c>
      <c r="H771" t="s">
        <v>906</v>
      </c>
      <c r="I771">
        <v>1</v>
      </c>
      <c r="J771">
        <v>2</v>
      </c>
      <c r="K771">
        <v>2</v>
      </c>
      <c r="L771">
        <v>1.6659999999999999</v>
      </c>
      <c r="M771">
        <v>1.4990000000000001</v>
      </c>
      <c r="N771">
        <v>3.5</v>
      </c>
      <c r="O771">
        <v>7</v>
      </c>
      <c r="P771">
        <v>14.72</v>
      </c>
      <c r="Q771">
        <v>29.44</v>
      </c>
    </row>
    <row r="772" spans="1:17" x14ac:dyDescent="0.25">
      <c r="A772">
        <v>18834497</v>
      </c>
      <c r="B772">
        <v>909861</v>
      </c>
      <c r="C772" t="s">
        <v>260</v>
      </c>
      <c r="E772" t="str">
        <f>"8711808310308"</f>
        <v>8711808310308</v>
      </c>
      <c r="H772" t="s">
        <v>837</v>
      </c>
      <c r="I772">
        <v>1</v>
      </c>
      <c r="J772">
        <v>2</v>
      </c>
      <c r="K772">
        <v>2</v>
      </c>
      <c r="L772">
        <v>1.4</v>
      </c>
      <c r="M772">
        <v>1.26</v>
      </c>
      <c r="N772">
        <v>9.6</v>
      </c>
      <c r="O772">
        <v>19.2</v>
      </c>
      <c r="P772">
        <v>12.58</v>
      </c>
      <c r="Q772">
        <v>25.16</v>
      </c>
    </row>
    <row r="773" spans="1:17" x14ac:dyDescent="0.25">
      <c r="A773">
        <v>18834497</v>
      </c>
      <c r="B773">
        <v>952873</v>
      </c>
      <c r="C773" t="s">
        <v>268</v>
      </c>
      <c r="E773" t="str">
        <f>"3491955635411"</f>
        <v>3491955635411</v>
      </c>
      <c r="H773" t="s">
        <v>905</v>
      </c>
      <c r="I773">
        <v>6</v>
      </c>
      <c r="J773">
        <v>1</v>
      </c>
      <c r="K773">
        <v>6</v>
      </c>
      <c r="L773">
        <v>18.995999999999999</v>
      </c>
      <c r="M773">
        <v>17.096</v>
      </c>
      <c r="N773">
        <v>23.74</v>
      </c>
      <c r="O773">
        <v>142.44</v>
      </c>
      <c r="P773">
        <v>20.59</v>
      </c>
      <c r="Q773">
        <v>123.54</v>
      </c>
    </row>
    <row r="774" spans="1:17" x14ac:dyDescent="0.25">
      <c r="A774">
        <v>18834497</v>
      </c>
      <c r="B774">
        <v>991735</v>
      </c>
      <c r="C774" t="s">
        <v>267</v>
      </c>
      <c r="E774" t="str">
        <f>"3491955954406"</f>
        <v>3491955954406</v>
      </c>
      <c r="H774" t="s">
        <v>903</v>
      </c>
      <c r="I774">
        <v>1</v>
      </c>
      <c r="J774">
        <v>2</v>
      </c>
      <c r="K774">
        <v>2</v>
      </c>
      <c r="L774">
        <v>0.96599999999999997</v>
      </c>
      <c r="M774">
        <v>0.86899999999999999</v>
      </c>
      <c r="N774">
        <v>2.6059999999999999</v>
      </c>
      <c r="O774">
        <v>5.2119999999999997</v>
      </c>
      <c r="P774">
        <v>6.11</v>
      </c>
      <c r="Q774">
        <v>12.22</v>
      </c>
    </row>
    <row r="775" spans="1:17" x14ac:dyDescent="0.25">
      <c r="A775">
        <v>18834497</v>
      </c>
      <c r="B775">
        <v>1007952</v>
      </c>
      <c r="C775" t="s">
        <v>266</v>
      </c>
      <c r="E775" t="str">
        <f>"8411865026920"</f>
        <v>8411865026920</v>
      </c>
      <c r="H775" t="s">
        <v>786</v>
      </c>
      <c r="I775">
        <v>1</v>
      </c>
      <c r="J775">
        <v>2</v>
      </c>
      <c r="K775">
        <v>2</v>
      </c>
      <c r="L775">
        <v>2</v>
      </c>
      <c r="M775">
        <v>1.8</v>
      </c>
      <c r="N775">
        <v>8.0640000000000001</v>
      </c>
      <c r="O775">
        <v>16.128</v>
      </c>
      <c r="P775">
        <v>6.09</v>
      </c>
      <c r="Q775">
        <v>12.18</v>
      </c>
    </row>
    <row r="776" spans="1:17" x14ac:dyDescent="0.25">
      <c r="A776">
        <v>18834497</v>
      </c>
      <c r="B776">
        <v>392025</v>
      </c>
      <c r="C776" t="s">
        <v>265</v>
      </c>
      <c r="E776" t="str">
        <f>"5420023188175"</f>
        <v>5420023188175</v>
      </c>
      <c r="F776" t="str">
        <f>"6918110300115"</f>
        <v>6918110300115</v>
      </c>
      <c r="G776" t="str">
        <f>"2090001145846"</f>
        <v>2090001145846</v>
      </c>
      <c r="H776" t="s">
        <v>837</v>
      </c>
      <c r="I776">
        <v>6</v>
      </c>
      <c r="J776">
        <v>1</v>
      </c>
      <c r="K776">
        <v>6</v>
      </c>
      <c r="L776">
        <v>3</v>
      </c>
      <c r="M776">
        <v>2.7</v>
      </c>
      <c r="N776">
        <v>7.093</v>
      </c>
      <c r="O776">
        <v>42.558</v>
      </c>
      <c r="P776">
        <v>4.1900000000000004</v>
      </c>
      <c r="Q776">
        <v>25.14</v>
      </c>
    </row>
    <row r="777" spans="1:17" x14ac:dyDescent="0.25">
      <c r="A777">
        <v>18834497</v>
      </c>
      <c r="B777">
        <v>976055</v>
      </c>
      <c r="C777" t="s">
        <v>264</v>
      </c>
      <c r="E777" t="str">
        <f>"5420023187161"</f>
        <v>5420023187161</v>
      </c>
      <c r="H777" t="s">
        <v>872</v>
      </c>
      <c r="I777">
        <v>1</v>
      </c>
      <c r="J777">
        <v>2</v>
      </c>
      <c r="K777">
        <v>2</v>
      </c>
      <c r="L777">
        <v>1.32</v>
      </c>
      <c r="M777">
        <v>1.1879999999999999</v>
      </c>
      <c r="N777">
        <v>11.506</v>
      </c>
      <c r="O777">
        <v>23.012</v>
      </c>
      <c r="P777">
        <v>9.83</v>
      </c>
      <c r="Q777">
        <v>19.66</v>
      </c>
    </row>
    <row r="778" spans="1:17" x14ac:dyDescent="0.25">
      <c r="A778">
        <v>18834497</v>
      </c>
      <c r="B778">
        <v>982522</v>
      </c>
      <c r="C778" t="s">
        <v>258</v>
      </c>
      <c r="E778" t="str">
        <f>"887961612042"</f>
        <v>887961612042</v>
      </c>
      <c r="H778" t="s">
        <v>837</v>
      </c>
      <c r="I778">
        <v>2</v>
      </c>
      <c r="J778">
        <v>1</v>
      </c>
      <c r="K778">
        <v>2</v>
      </c>
      <c r="L778">
        <v>1.5</v>
      </c>
      <c r="M778">
        <v>1.35</v>
      </c>
      <c r="N778">
        <v>15.282999999999999</v>
      </c>
      <c r="O778">
        <v>30.565999999999999</v>
      </c>
      <c r="P778">
        <v>16.329999999999998</v>
      </c>
      <c r="Q778">
        <v>32.659999999999997</v>
      </c>
    </row>
    <row r="779" spans="1:17" x14ac:dyDescent="0.25">
      <c r="A779">
        <v>18834497</v>
      </c>
      <c r="B779">
        <v>907265</v>
      </c>
      <c r="C779" t="s">
        <v>262</v>
      </c>
      <c r="E779" t="str">
        <f>"5420023187918"</f>
        <v>5420023187918</v>
      </c>
      <c r="H779" t="s">
        <v>787</v>
      </c>
      <c r="I779">
        <v>1</v>
      </c>
      <c r="J779">
        <v>2</v>
      </c>
      <c r="K779">
        <v>2</v>
      </c>
      <c r="L779">
        <v>1.222</v>
      </c>
      <c r="M779">
        <v>1.1000000000000001</v>
      </c>
      <c r="N779">
        <v>5.7350000000000003</v>
      </c>
      <c r="O779">
        <v>11.47</v>
      </c>
      <c r="P779">
        <v>4.51</v>
      </c>
      <c r="Q779">
        <v>9.02</v>
      </c>
    </row>
    <row r="780" spans="1:17" x14ac:dyDescent="0.25">
      <c r="A780">
        <v>18834497</v>
      </c>
      <c r="B780">
        <v>991751</v>
      </c>
      <c r="C780" t="s">
        <v>263</v>
      </c>
      <c r="E780" t="str">
        <f>"3491955953812"</f>
        <v>3491955953812</v>
      </c>
      <c r="F780" t="str">
        <f>"3491955952815"</f>
        <v>3491955952815</v>
      </c>
      <c r="H780" t="s">
        <v>904</v>
      </c>
      <c r="I780">
        <v>1</v>
      </c>
      <c r="J780">
        <v>2</v>
      </c>
      <c r="K780">
        <v>2</v>
      </c>
      <c r="L780">
        <v>0.64400000000000002</v>
      </c>
      <c r="M780">
        <v>0.57999999999999996</v>
      </c>
      <c r="N780">
        <v>0.85</v>
      </c>
      <c r="O780">
        <v>1.7</v>
      </c>
      <c r="P780">
        <v>3.07</v>
      </c>
      <c r="Q780">
        <v>6.14</v>
      </c>
    </row>
    <row r="781" spans="1:17" x14ac:dyDescent="0.25">
      <c r="A781">
        <v>18834697</v>
      </c>
      <c r="B781">
        <v>275282</v>
      </c>
      <c r="C781" t="s">
        <v>279</v>
      </c>
      <c r="E781" t="str">
        <f>"5413548280585"</f>
        <v>5413548280585</v>
      </c>
      <c r="F781" t="str">
        <f>"5413548283128"</f>
        <v>5413548283128</v>
      </c>
      <c r="H781" t="s">
        <v>909</v>
      </c>
      <c r="I781">
        <v>1</v>
      </c>
      <c r="J781">
        <v>1</v>
      </c>
      <c r="K781">
        <v>27</v>
      </c>
      <c r="L781">
        <v>6.0209999999999999</v>
      </c>
      <c r="M781">
        <v>5.4189999999999996</v>
      </c>
      <c r="N781">
        <v>1.333</v>
      </c>
      <c r="O781">
        <v>35.991</v>
      </c>
      <c r="P781">
        <v>2.5099999999999998</v>
      </c>
      <c r="Q781">
        <v>67.77</v>
      </c>
    </row>
    <row r="782" spans="1:17" x14ac:dyDescent="0.25">
      <c r="A782">
        <v>18834697</v>
      </c>
      <c r="B782">
        <v>381193</v>
      </c>
      <c r="C782" t="s">
        <v>280</v>
      </c>
      <c r="E782" t="str">
        <f>"4008400202525"</f>
        <v>4008400202525</v>
      </c>
      <c r="F782">
        <v>80177609</v>
      </c>
      <c r="H782" t="s">
        <v>910</v>
      </c>
      <c r="I782">
        <v>1</v>
      </c>
      <c r="J782">
        <v>1</v>
      </c>
      <c r="K782">
        <v>30</v>
      </c>
      <c r="L782">
        <v>1.8</v>
      </c>
      <c r="M782">
        <v>1.62</v>
      </c>
      <c r="N782">
        <v>9.9000000000000005E-2</v>
      </c>
      <c r="O782">
        <v>2.97</v>
      </c>
      <c r="P782">
        <v>0.45</v>
      </c>
      <c r="Q782">
        <v>13.5</v>
      </c>
    </row>
    <row r="783" spans="1:17" x14ac:dyDescent="0.25">
      <c r="A783">
        <v>18834697</v>
      </c>
      <c r="B783">
        <v>397282</v>
      </c>
      <c r="C783" t="s">
        <v>281</v>
      </c>
      <c r="E783" t="str">
        <f>"8000500141601"</f>
        <v>8000500141601</v>
      </c>
      <c r="H783" t="s">
        <v>911</v>
      </c>
      <c r="I783">
        <v>1</v>
      </c>
      <c r="J783">
        <v>1</v>
      </c>
      <c r="K783">
        <v>24</v>
      </c>
      <c r="L783">
        <v>4.2</v>
      </c>
      <c r="M783">
        <v>3.78</v>
      </c>
      <c r="N783">
        <v>0.309</v>
      </c>
      <c r="O783">
        <v>7.4160000000000004</v>
      </c>
      <c r="P783">
        <v>1.48</v>
      </c>
      <c r="Q783">
        <v>35.520000000000003</v>
      </c>
    </row>
    <row r="784" spans="1:17" x14ac:dyDescent="0.25">
      <c r="A784">
        <v>18834697</v>
      </c>
      <c r="B784">
        <v>625297</v>
      </c>
      <c r="C784" t="s">
        <v>282</v>
      </c>
      <c r="E784" t="str">
        <f>"4008400240527"</f>
        <v>4008400240527</v>
      </c>
      <c r="H784" t="s">
        <v>912</v>
      </c>
      <c r="I784">
        <v>1</v>
      </c>
      <c r="J784">
        <v>1</v>
      </c>
      <c r="K784">
        <v>40</v>
      </c>
      <c r="L784">
        <v>6.92</v>
      </c>
      <c r="M784">
        <v>6.2279999999999998</v>
      </c>
      <c r="N784">
        <v>1.5169999999999999</v>
      </c>
      <c r="O784">
        <v>60.68</v>
      </c>
      <c r="P784">
        <v>2.73</v>
      </c>
      <c r="Q784">
        <v>109.2</v>
      </c>
    </row>
    <row r="785" spans="1:17" x14ac:dyDescent="0.25">
      <c r="A785">
        <v>18834697</v>
      </c>
      <c r="B785">
        <v>681025</v>
      </c>
      <c r="C785" t="s">
        <v>283</v>
      </c>
      <c r="E785" t="str">
        <f>"8000500026731"</f>
        <v>8000500026731</v>
      </c>
      <c r="H785" t="s">
        <v>911</v>
      </c>
      <c r="I785">
        <v>1</v>
      </c>
      <c r="J785">
        <v>1</v>
      </c>
      <c r="K785">
        <v>64</v>
      </c>
      <c r="L785">
        <v>3.7759999999999998</v>
      </c>
      <c r="M785">
        <v>3.3980000000000001</v>
      </c>
      <c r="N785">
        <v>0.44800000000000001</v>
      </c>
      <c r="O785">
        <v>28.672000000000001</v>
      </c>
      <c r="P785">
        <v>2.06</v>
      </c>
      <c r="Q785">
        <v>131.84</v>
      </c>
    </row>
    <row r="786" spans="1:17" x14ac:dyDescent="0.25">
      <c r="A786">
        <v>18834697</v>
      </c>
      <c r="B786">
        <v>913426</v>
      </c>
      <c r="C786" t="s">
        <v>284</v>
      </c>
      <c r="E786" t="str">
        <f>"4008400280127"</f>
        <v>4008400280127</v>
      </c>
      <c r="F786">
        <v>80846116</v>
      </c>
      <c r="H786" t="s">
        <v>912</v>
      </c>
      <c r="I786">
        <v>1</v>
      </c>
      <c r="J786">
        <v>1</v>
      </c>
      <c r="K786">
        <v>14</v>
      </c>
      <c r="L786">
        <v>2.3940000000000001</v>
      </c>
      <c r="M786">
        <v>2.1549999999999998</v>
      </c>
      <c r="N786">
        <v>1.954</v>
      </c>
      <c r="O786">
        <v>27.356000000000002</v>
      </c>
      <c r="P786">
        <v>3.54</v>
      </c>
      <c r="Q786">
        <v>49.56</v>
      </c>
    </row>
    <row r="787" spans="1:17" x14ac:dyDescent="0.25">
      <c r="A787">
        <v>18834697</v>
      </c>
      <c r="B787">
        <v>917555</v>
      </c>
      <c r="C787" t="s">
        <v>285</v>
      </c>
      <c r="E787" t="str">
        <f>"4008400511528"</f>
        <v>4008400511528</v>
      </c>
      <c r="H787" t="s">
        <v>913</v>
      </c>
      <c r="I787">
        <v>1</v>
      </c>
      <c r="J787">
        <v>1</v>
      </c>
      <c r="K787">
        <v>52</v>
      </c>
      <c r="L787">
        <v>2.028</v>
      </c>
      <c r="M787">
        <v>1.825</v>
      </c>
      <c r="N787">
        <v>0.47799999999999998</v>
      </c>
      <c r="O787">
        <v>24.856000000000002</v>
      </c>
      <c r="P787">
        <v>1.34</v>
      </c>
      <c r="Q787">
        <v>69.680000000000007</v>
      </c>
    </row>
    <row r="788" spans="1:17" x14ac:dyDescent="0.25">
      <c r="A788">
        <v>18834697</v>
      </c>
      <c r="B788">
        <v>1015840</v>
      </c>
      <c r="C788" t="s">
        <v>286</v>
      </c>
      <c r="E788">
        <v>80969112</v>
      </c>
      <c r="H788" t="s">
        <v>913</v>
      </c>
      <c r="I788">
        <v>1</v>
      </c>
      <c r="J788">
        <v>1</v>
      </c>
      <c r="K788">
        <v>36</v>
      </c>
      <c r="L788">
        <v>1.8</v>
      </c>
      <c r="M788">
        <v>1.62</v>
      </c>
      <c r="N788">
        <v>0.32500000000000001</v>
      </c>
      <c r="O788">
        <v>11.7</v>
      </c>
      <c r="P788">
        <v>0.86</v>
      </c>
      <c r="Q788">
        <v>30.96</v>
      </c>
    </row>
    <row r="789" spans="1:17" x14ac:dyDescent="0.25">
      <c r="A789">
        <v>18834697</v>
      </c>
      <c r="B789">
        <v>919927</v>
      </c>
      <c r="C789" t="s">
        <v>278</v>
      </c>
      <c r="E789" t="str">
        <f>"3395503109969"</f>
        <v>3395503109969</v>
      </c>
      <c r="H789" t="s">
        <v>908</v>
      </c>
      <c r="I789">
        <v>1</v>
      </c>
      <c r="J789">
        <v>14</v>
      </c>
      <c r="K789">
        <v>14</v>
      </c>
      <c r="L789">
        <v>28</v>
      </c>
      <c r="M789">
        <v>25.2</v>
      </c>
      <c r="N789">
        <v>10.101000000000001</v>
      </c>
      <c r="O789">
        <v>141.41399999999999</v>
      </c>
      <c r="P789">
        <v>0.71</v>
      </c>
      <c r="Q789">
        <v>9.94</v>
      </c>
    </row>
    <row r="790" spans="1:17" x14ac:dyDescent="0.25">
      <c r="A790">
        <v>18834697</v>
      </c>
      <c r="B790">
        <v>777168</v>
      </c>
      <c r="C790" t="s">
        <v>289</v>
      </c>
      <c r="E790" t="str">
        <f>"4008400230726"</f>
        <v>4008400230726</v>
      </c>
      <c r="H790" t="s">
        <v>912</v>
      </c>
      <c r="I790">
        <v>1</v>
      </c>
      <c r="J790">
        <v>1</v>
      </c>
      <c r="K790">
        <v>36</v>
      </c>
      <c r="L790">
        <v>6.8760000000000003</v>
      </c>
      <c r="M790">
        <v>6.1879999999999997</v>
      </c>
      <c r="N790">
        <v>1.4690000000000001</v>
      </c>
      <c r="O790">
        <v>52.884</v>
      </c>
      <c r="P790">
        <v>4.2699999999999996</v>
      </c>
      <c r="Q790">
        <v>153.72</v>
      </c>
    </row>
    <row r="791" spans="1:17" x14ac:dyDescent="0.25">
      <c r="A791">
        <v>18834697</v>
      </c>
      <c r="B791">
        <v>777170</v>
      </c>
      <c r="C791" t="s">
        <v>290</v>
      </c>
      <c r="E791" t="str">
        <f>"4008400270326"</f>
        <v>4008400270326</v>
      </c>
      <c r="H791" t="s">
        <v>916</v>
      </c>
      <c r="I791">
        <v>1</v>
      </c>
      <c r="J791">
        <v>1</v>
      </c>
      <c r="K791">
        <v>16</v>
      </c>
      <c r="L791">
        <v>5.12</v>
      </c>
      <c r="M791">
        <v>4.6079999999999997</v>
      </c>
      <c r="N791">
        <v>4.5</v>
      </c>
      <c r="O791">
        <v>72</v>
      </c>
      <c r="P791">
        <v>6.1</v>
      </c>
      <c r="Q791">
        <v>97.6</v>
      </c>
    </row>
    <row r="792" spans="1:17" x14ac:dyDescent="0.25">
      <c r="A792">
        <v>18834697</v>
      </c>
      <c r="B792">
        <v>1015783</v>
      </c>
      <c r="C792" t="s">
        <v>291</v>
      </c>
      <c r="E792" t="str">
        <f>"8000500391440"</f>
        <v>8000500391440</v>
      </c>
      <c r="H792" t="s">
        <v>912</v>
      </c>
      <c r="I792">
        <v>1</v>
      </c>
      <c r="J792">
        <v>1</v>
      </c>
      <c r="K792">
        <v>8</v>
      </c>
      <c r="L792">
        <v>1.528</v>
      </c>
      <c r="M792">
        <v>1.375</v>
      </c>
      <c r="N792">
        <v>1.734</v>
      </c>
      <c r="O792">
        <v>13.872</v>
      </c>
      <c r="P792">
        <v>4.91</v>
      </c>
      <c r="Q792">
        <v>39.28</v>
      </c>
    </row>
    <row r="793" spans="1:17" x14ac:dyDescent="0.25">
      <c r="A793">
        <v>18834697</v>
      </c>
      <c r="B793">
        <v>1015799</v>
      </c>
      <c r="C793" t="s">
        <v>292</v>
      </c>
      <c r="E793" t="str">
        <f>"8000500392379"</f>
        <v>8000500392379</v>
      </c>
      <c r="H793" t="s">
        <v>916</v>
      </c>
      <c r="I793">
        <v>1</v>
      </c>
      <c r="J793">
        <v>1</v>
      </c>
      <c r="K793">
        <v>18</v>
      </c>
      <c r="L793">
        <v>3.6720000000000002</v>
      </c>
      <c r="M793">
        <v>3.3050000000000002</v>
      </c>
      <c r="N793">
        <v>1.4359999999999999</v>
      </c>
      <c r="O793">
        <v>25.847999999999999</v>
      </c>
      <c r="P793">
        <v>5.26</v>
      </c>
      <c r="Q793">
        <v>94.68</v>
      </c>
    </row>
    <row r="794" spans="1:17" x14ac:dyDescent="0.25">
      <c r="A794">
        <v>18834697</v>
      </c>
      <c r="B794">
        <v>1015838</v>
      </c>
      <c r="C794" t="s">
        <v>293</v>
      </c>
      <c r="E794">
        <v>80935179</v>
      </c>
      <c r="H794" t="s">
        <v>916</v>
      </c>
      <c r="I794">
        <v>1</v>
      </c>
      <c r="J794">
        <v>1</v>
      </c>
      <c r="K794">
        <v>18</v>
      </c>
      <c r="L794">
        <v>14.4</v>
      </c>
      <c r="M794">
        <v>12.96</v>
      </c>
      <c r="N794">
        <v>1.4359999999999999</v>
      </c>
      <c r="O794">
        <v>25.847999999999999</v>
      </c>
      <c r="P794">
        <v>2.1800000000000002</v>
      </c>
      <c r="Q794">
        <v>39.24</v>
      </c>
    </row>
    <row r="795" spans="1:17" x14ac:dyDescent="0.25">
      <c r="A795">
        <v>18834697</v>
      </c>
      <c r="B795">
        <v>1015839</v>
      </c>
      <c r="C795" t="s">
        <v>294</v>
      </c>
      <c r="E795" t="str">
        <f>"8000500266564"</f>
        <v>8000500266564</v>
      </c>
      <c r="H795" t="s">
        <v>912</v>
      </c>
      <c r="I795">
        <v>1</v>
      </c>
      <c r="J795">
        <v>1</v>
      </c>
      <c r="K795">
        <v>6</v>
      </c>
      <c r="L795">
        <v>1.32</v>
      </c>
      <c r="M795">
        <v>1.1879999999999999</v>
      </c>
      <c r="N795">
        <v>0.432</v>
      </c>
      <c r="O795">
        <v>2.5920000000000001</v>
      </c>
      <c r="P795">
        <v>8.42</v>
      </c>
      <c r="Q795">
        <v>50.52</v>
      </c>
    </row>
    <row r="796" spans="1:17" x14ac:dyDescent="0.25">
      <c r="A796">
        <v>18834697</v>
      </c>
      <c r="B796">
        <v>591389</v>
      </c>
      <c r="C796" t="s">
        <v>288</v>
      </c>
      <c r="E796" t="str">
        <f>"4008613005432"</f>
        <v>4008613005432</v>
      </c>
      <c r="H796" t="s">
        <v>915</v>
      </c>
      <c r="I796">
        <v>32</v>
      </c>
      <c r="J796">
        <v>1</v>
      </c>
      <c r="K796">
        <v>32</v>
      </c>
      <c r="L796">
        <v>4.992</v>
      </c>
      <c r="M796">
        <v>4.4930000000000003</v>
      </c>
      <c r="N796">
        <v>0.93700000000000006</v>
      </c>
      <c r="O796">
        <v>29.984000000000002</v>
      </c>
      <c r="P796">
        <v>0.72</v>
      </c>
      <c r="Q796">
        <v>23.04</v>
      </c>
    </row>
    <row r="797" spans="1:17" x14ac:dyDescent="0.25">
      <c r="A797">
        <v>18834697</v>
      </c>
      <c r="B797">
        <v>717595</v>
      </c>
      <c r="C797" t="s">
        <v>287</v>
      </c>
      <c r="E797">
        <v>80809180</v>
      </c>
      <c r="H797" t="s">
        <v>914</v>
      </c>
      <c r="I797">
        <v>64</v>
      </c>
      <c r="J797">
        <v>1</v>
      </c>
      <c r="K797">
        <v>64</v>
      </c>
      <c r="L797">
        <v>4.5439999999999996</v>
      </c>
      <c r="M797">
        <v>4.09</v>
      </c>
      <c r="N797">
        <v>0.125</v>
      </c>
      <c r="O797">
        <v>8</v>
      </c>
      <c r="P797">
        <v>0.54</v>
      </c>
      <c r="Q797">
        <v>34.56</v>
      </c>
    </row>
    <row r="798" spans="1:17" x14ac:dyDescent="0.25">
      <c r="A798">
        <v>18838561</v>
      </c>
      <c r="B798">
        <v>777178</v>
      </c>
      <c r="C798" t="s">
        <v>297</v>
      </c>
      <c r="E798" t="str">
        <f>"5411446006047"</f>
        <v>5411446006047</v>
      </c>
      <c r="H798" t="s">
        <v>793</v>
      </c>
      <c r="I798">
        <v>30</v>
      </c>
      <c r="J798">
        <v>2</v>
      </c>
      <c r="K798">
        <v>60</v>
      </c>
      <c r="L798">
        <v>2.52</v>
      </c>
      <c r="M798">
        <v>2.2679999999999998</v>
      </c>
      <c r="N798">
        <v>0.184</v>
      </c>
      <c r="O798">
        <v>11.04</v>
      </c>
      <c r="P798">
        <v>0.36</v>
      </c>
      <c r="Q798">
        <v>21.6</v>
      </c>
    </row>
    <row r="799" spans="1:17" x14ac:dyDescent="0.25">
      <c r="A799">
        <v>18838561</v>
      </c>
      <c r="B799">
        <v>963073</v>
      </c>
      <c r="C799" t="s">
        <v>295</v>
      </c>
      <c r="E799" t="str">
        <f>"7622201784843"</f>
        <v>7622201784843</v>
      </c>
      <c r="F799" t="str">
        <f>"7622201784904"</f>
        <v>7622201784904</v>
      </c>
      <c r="H799" t="s">
        <v>917</v>
      </c>
      <c r="I799">
        <v>14</v>
      </c>
      <c r="J799">
        <v>1</v>
      </c>
      <c r="K799">
        <v>14</v>
      </c>
      <c r="L799">
        <v>2.6880000000000002</v>
      </c>
      <c r="M799">
        <v>2.419</v>
      </c>
      <c r="N799">
        <v>1.85</v>
      </c>
      <c r="O799">
        <v>25.9</v>
      </c>
      <c r="P799">
        <v>2.1</v>
      </c>
      <c r="Q799">
        <v>29.4</v>
      </c>
    </row>
    <row r="800" spans="1:17" x14ac:dyDescent="0.25">
      <c r="A800">
        <v>18838561</v>
      </c>
      <c r="B800">
        <v>724084</v>
      </c>
      <c r="C800" t="s">
        <v>298</v>
      </c>
      <c r="E800" t="str">
        <f>"5411446001103"</f>
        <v>5411446001103</v>
      </c>
      <c r="H800" t="s">
        <v>793</v>
      </c>
      <c r="I800">
        <v>24</v>
      </c>
      <c r="J800">
        <v>2</v>
      </c>
      <c r="K800">
        <v>48</v>
      </c>
      <c r="L800">
        <v>11.76</v>
      </c>
      <c r="M800">
        <v>10.584</v>
      </c>
      <c r="N800">
        <v>1.2410000000000001</v>
      </c>
      <c r="O800">
        <v>59.567999999999998</v>
      </c>
      <c r="P800">
        <v>1.05</v>
      </c>
      <c r="Q800">
        <v>50.4</v>
      </c>
    </row>
    <row r="801" spans="1:17" x14ac:dyDescent="0.25">
      <c r="A801">
        <v>18840387</v>
      </c>
      <c r="B801">
        <v>950232</v>
      </c>
      <c r="C801" t="s">
        <v>301</v>
      </c>
      <c r="E801" t="str">
        <f>"3491955968649"</f>
        <v>3491955968649</v>
      </c>
      <c r="F801" t="str">
        <f>"3491955680992"</f>
        <v>3491955680992</v>
      </c>
      <c r="H801" t="s">
        <v>919</v>
      </c>
      <c r="I801">
        <v>3</v>
      </c>
      <c r="J801">
        <v>2</v>
      </c>
      <c r="K801">
        <v>6</v>
      </c>
      <c r="L801">
        <v>2.04</v>
      </c>
      <c r="M801">
        <v>1.8360000000000001</v>
      </c>
      <c r="N801">
        <v>2.4500000000000002</v>
      </c>
      <c r="O801">
        <v>14.7</v>
      </c>
      <c r="P801">
        <v>11.8</v>
      </c>
      <c r="Q801">
        <v>70.8</v>
      </c>
    </row>
    <row r="802" spans="1:17" x14ac:dyDescent="0.25">
      <c r="A802">
        <v>18840387</v>
      </c>
      <c r="B802">
        <v>986213</v>
      </c>
      <c r="C802" t="s">
        <v>300</v>
      </c>
      <c r="E802" t="str">
        <f>"3491955927479"</f>
        <v>3491955927479</v>
      </c>
      <c r="H802" t="s">
        <v>838</v>
      </c>
      <c r="I802">
        <v>1</v>
      </c>
      <c r="J802">
        <v>4</v>
      </c>
      <c r="K802">
        <v>4</v>
      </c>
      <c r="L802">
        <v>2</v>
      </c>
      <c r="M802">
        <v>1.8</v>
      </c>
      <c r="N802">
        <v>7.2</v>
      </c>
      <c r="O802">
        <v>28.8</v>
      </c>
      <c r="P802">
        <v>8.09</v>
      </c>
      <c r="Q802">
        <v>32.36</v>
      </c>
    </row>
    <row r="803" spans="1:17" x14ac:dyDescent="0.25">
      <c r="A803">
        <v>18840387</v>
      </c>
      <c r="B803">
        <v>950453</v>
      </c>
      <c r="C803" t="s">
        <v>302</v>
      </c>
      <c r="E803" t="str">
        <f>"3491955634384"</f>
        <v>3491955634384</v>
      </c>
      <c r="H803" t="s">
        <v>865</v>
      </c>
      <c r="I803">
        <v>1</v>
      </c>
      <c r="J803">
        <v>3</v>
      </c>
      <c r="K803">
        <v>3</v>
      </c>
      <c r="L803">
        <v>2.25</v>
      </c>
      <c r="M803">
        <v>2.0249999999999999</v>
      </c>
      <c r="N803">
        <v>8.9250000000000007</v>
      </c>
      <c r="O803">
        <v>26.774999999999999</v>
      </c>
      <c r="P803">
        <v>18.23</v>
      </c>
      <c r="Q803">
        <v>54.69</v>
      </c>
    </row>
    <row r="804" spans="1:17" x14ac:dyDescent="0.25">
      <c r="A804">
        <v>18840387</v>
      </c>
      <c r="B804">
        <v>986221</v>
      </c>
      <c r="C804" t="s">
        <v>303</v>
      </c>
      <c r="E804" t="str">
        <f>"3491955927677"</f>
        <v>3491955927677</v>
      </c>
      <c r="H804" t="s">
        <v>838</v>
      </c>
      <c r="I804">
        <v>1</v>
      </c>
      <c r="J804">
        <v>3</v>
      </c>
      <c r="K804">
        <v>3</v>
      </c>
      <c r="L804">
        <v>1.7849999999999999</v>
      </c>
      <c r="M804">
        <v>1.607</v>
      </c>
      <c r="N804">
        <v>5.25</v>
      </c>
      <c r="O804">
        <v>15.75</v>
      </c>
      <c r="P804">
        <v>5.67</v>
      </c>
      <c r="Q804">
        <v>17.010000000000002</v>
      </c>
    </row>
    <row r="805" spans="1:17" x14ac:dyDescent="0.25">
      <c r="A805">
        <v>18840387</v>
      </c>
      <c r="B805">
        <v>1003544</v>
      </c>
      <c r="C805" t="s">
        <v>299</v>
      </c>
      <c r="E805" t="str">
        <f>"3491955963668"</f>
        <v>3491955963668</v>
      </c>
      <c r="F805" t="str">
        <f>"3491956020131"</f>
        <v>3491956020131</v>
      </c>
      <c r="H805" t="s">
        <v>918</v>
      </c>
      <c r="I805">
        <v>4</v>
      </c>
      <c r="J805">
        <v>1</v>
      </c>
      <c r="K805">
        <v>4</v>
      </c>
      <c r="L805">
        <v>13</v>
      </c>
      <c r="M805">
        <v>11.7</v>
      </c>
      <c r="N805">
        <v>21.527999999999999</v>
      </c>
      <c r="O805">
        <v>86.111999999999995</v>
      </c>
      <c r="P805">
        <v>10.02</v>
      </c>
      <c r="Q805">
        <v>40.08</v>
      </c>
    </row>
    <row r="806" spans="1:17" x14ac:dyDescent="0.25">
      <c r="A806">
        <v>18840387</v>
      </c>
      <c r="B806">
        <v>986220</v>
      </c>
      <c r="C806" t="s">
        <v>304</v>
      </c>
      <c r="E806" t="str">
        <f>"3491955927608"</f>
        <v>3491955927608</v>
      </c>
      <c r="H806" t="s">
        <v>838</v>
      </c>
      <c r="I806">
        <v>3</v>
      </c>
      <c r="J806">
        <v>2</v>
      </c>
      <c r="K806">
        <v>6</v>
      </c>
      <c r="L806">
        <v>4.8</v>
      </c>
      <c r="M806">
        <v>4.32</v>
      </c>
      <c r="N806">
        <v>10.176</v>
      </c>
      <c r="O806">
        <v>61.055999999999997</v>
      </c>
      <c r="P806">
        <v>12.91</v>
      </c>
      <c r="Q806">
        <v>77.459999999999994</v>
      </c>
    </row>
    <row r="807" spans="1:17" x14ac:dyDescent="0.25">
      <c r="A807">
        <v>18840387</v>
      </c>
      <c r="B807">
        <v>986189</v>
      </c>
      <c r="C807" t="s">
        <v>314</v>
      </c>
      <c r="E807" t="str">
        <f>"3491955927455"</f>
        <v>3491955927455</v>
      </c>
      <c r="H807" t="s">
        <v>838</v>
      </c>
      <c r="I807">
        <v>1</v>
      </c>
      <c r="J807">
        <v>4</v>
      </c>
      <c r="K807">
        <v>4</v>
      </c>
      <c r="L807">
        <v>1.3320000000000001</v>
      </c>
      <c r="M807">
        <v>1.1990000000000001</v>
      </c>
      <c r="N807">
        <v>8.2319999999999993</v>
      </c>
      <c r="O807">
        <v>32.927999999999997</v>
      </c>
      <c r="P807">
        <v>6.45</v>
      </c>
      <c r="Q807">
        <v>25.8</v>
      </c>
    </row>
    <row r="808" spans="1:17" x14ac:dyDescent="0.25">
      <c r="A808">
        <v>18840387</v>
      </c>
      <c r="B808">
        <v>751147</v>
      </c>
      <c r="C808" t="s">
        <v>315</v>
      </c>
      <c r="E808" t="str">
        <f>"3491954636822"</f>
        <v>3491954636822</v>
      </c>
      <c r="F808" t="str">
        <f>"3491955968670"</f>
        <v>3491955968670</v>
      </c>
      <c r="H808" t="s">
        <v>921</v>
      </c>
      <c r="I808">
        <v>24</v>
      </c>
      <c r="J808">
        <v>1</v>
      </c>
      <c r="K808">
        <v>24</v>
      </c>
      <c r="L808">
        <v>9.9600000000000009</v>
      </c>
      <c r="M808">
        <v>8.9640000000000004</v>
      </c>
      <c r="N808">
        <v>1.577</v>
      </c>
      <c r="O808">
        <v>37.847999999999999</v>
      </c>
      <c r="P808">
        <v>1.23</v>
      </c>
      <c r="Q808">
        <v>29.52</v>
      </c>
    </row>
    <row r="809" spans="1:17" x14ac:dyDescent="0.25">
      <c r="A809">
        <v>18840387</v>
      </c>
      <c r="B809">
        <v>986214</v>
      </c>
      <c r="C809" t="s">
        <v>305</v>
      </c>
      <c r="E809" t="str">
        <f>"3491955927707"</f>
        <v>3491955927707</v>
      </c>
      <c r="H809" t="s">
        <v>838</v>
      </c>
      <c r="I809">
        <v>4</v>
      </c>
      <c r="J809">
        <v>1</v>
      </c>
      <c r="K809">
        <v>4</v>
      </c>
      <c r="L809">
        <v>6.4</v>
      </c>
      <c r="M809">
        <v>5.76</v>
      </c>
      <c r="N809">
        <v>11.137</v>
      </c>
      <c r="O809">
        <v>44.548000000000002</v>
      </c>
      <c r="P809">
        <v>16.11</v>
      </c>
      <c r="Q809">
        <v>64.44</v>
      </c>
    </row>
    <row r="810" spans="1:17" x14ac:dyDescent="0.25">
      <c r="A810">
        <v>18840387</v>
      </c>
      <c r="B810">
        <v>950447</v>
      </c>
      <c r="C810" t="s">
        <v>306</v>
      </c>
      <c r="E810" t="str">
        <f>"3491955526566"</f>
        <v>3491955526566</v>
      </c>
      <c r="H810" t="s">
        <v>865</v>
      </c>
      <c r="I810">
        <v>2</v>
      </c>
      <c r="J810">
        <v>2</v>
      </c>
      <c r="K810">
        <v>4</v>
      </c>
      <c r="L810">
        <v>17.72</v>
      </c>
      <c r="M810">
        <v>15.948</v>
      </c>
      <c r="N810">
        <v>29.6</v>
      </c>
      <c r="O810">
        <v>118.4</v>
      </c>
      <c r="P810">
        <v>22.81</v>
      </c>
      <c r="Q810">
        <v>91.24</v>
      </c>
    </row>
    <row r="811" spans="1:17" x14ac:dyDescent="0.25">
      <c r="A811">
        <v>18840387</v>
      </c>
      <c r="B811">
        <v>986206</v>
      </c>
      <c r="C811" t="s">
        <v>307</v>
      </c>
      <c r="E811" t="str">
        <f>"3491955927622"</f>
        <v>3491955927622</v>
      </c>
      <c r="H811" t="s">
        <v>838</v>
      </c>
      <c r="I811">
        <v>6</v>
      </c>
      <c r="J811">
        <v>2</v>
      </c>
      <c r="K811">
        <v>12</v>
      </c>
      <c r="L811">
        <v>3.24</v>
      </c>
      <c r="M811">
        <v>2.9159999999999999</v>
      </c>
      <c r="N811">
        <v>3.1030000000000002</v>
      </c>
      <c r="O811">
        <v>37.235999999999997</v>
      </c>
      <c r="P811">
        <v>2.23</v>
      </c>
      <c r="Q811">
        <v>26.76</v>
      </c>
    </row>
    <row r="812" spans="1:17" x14ac:dyDescent="0.25">
      <c r="A812">
        <v>18840387</v>
      </c>
      <c r="B812">
        <v>799445</v>
      </c>
      <c r="C812" t="s">
        <v>317</v>
      </c>
      <c r="E812" t="str">
        <f>"3491955932404"</f>
        <v>3491955932404</v>
      </c>
      <c r="F812" t="str">
        <f>"3491955331276"</f>
        <v>3491955331276</v>
      </c>
      <c r="H812" t="s">
        <v>838</v>
      </c>
      <c r="I812">
        <v>18</v>
      </c>
      <c r="J812">
        <v>1</v>
      </c>
      <c r="K812">
        <v>18</v>
      </c>
      <c r="L812">
        <v>0.93600000000000005</v>
      </c>
      <c r="M812">
        <v>0.84199999999999997</v>
      </c>
      <c r="N812">
        <v>0.44400000000000001</v>
      </c>
      <c r="O812">
        <v>7.992</v>
      </c>
      <c r="P812">
        <v>0.96</v>
      </c>
      <c r="Q812">
        <v>17.28</v>
      </c>
    </row>
    <row r="813" spans="1:17" x14ac:dyDescent="0.25">
      <c r="A813">
        <v>18840387</v>
      </c>
      <c r="B813">
        <v>986216</v>
      </c>
      <c r="C813" t="s">
        <v>308</v>
      </c>
      <c r="E813" t="str">
        <f>"3491955927691"</f>
        <v>3491955927691</v>
      </c>
      <c r="H813" t="s">
        <v>838</v>
      </c>
      <c r="I813">
        <v>1</v>
      </c>
      <c r="J813">
        <v>3</v>
      </c>
      <c r="K813">
        <v>3</v>
      </c>
      <c r="L813">
        <v>1.887</v>
      </c>
      <c r="M813">
        <v>1.698</v>
      </c>
      <c r="N813">
        <v>5.25</v>
      </c>
      <c r="O813">
        <v>15.75</v>
      </c>
      <c r="P813">
        <v>5.96</v>
      </c>
      <c r="Q813">
        <v>17.88</v>
      </c>
    </row>
    <row r="814" spans="1:17" x14ac:dyDescent="0.25">
      <c r="A814">
        <v>18840387</v>
      </c>
      <c r="B814">
        <v>904609</v>
      </c>
      <c r="C814" t="s">
        <v>318</v>
      </c>
      <c r="E814" t="str">
        <f>"3491955933135"</f>
        <v>3491955933135</v>
      </c>
      <c r="F814" t="str">
        <f>"3491955531775"</f>
        <v>3491955531775</v>
      </c>
      <c r="H814" t="s">
        <v>838</v>
      </c>
      <c r="I814">
        <v>12</v>
      </c>
      <c r="J814">
        <v>1</v>
      </c>
      <c r="K814">
        <v>12</v>
      </c>
      <c r="L814">
        <v>0.39600000000000002</v>
      </c>
      <c r="M814">
        <v>0.35599999999999998</v>
      </c>
      <c r="N814">
        <v>0.23699999999999999</v>
      </c>
      <c r="O814">
        <v>2.8439999999999999</v>
      </c>
      <c r="P814">
        <v>0.55000000000000004</v>
      </c>
      <c r="Q814">
        <v>6.6</v>
      </c>
    </row>
    <row r="815" spans="1:17" x14ac:dyDescent="0.25">
      <c r="A815">
        <v>18840387</v>
      </c>
      <c r="B815">
        <v>904594</v>
      </c>
      <c r="C815" t="s">
        <v>316</v>
      </c>
      <c r="E815" t="str">
        <f>"3491955341169"</f>
        <v>3491955341169</v>
      </c>
      <c r="H815" t="s">
        <v>838</v>
      </c>
      <c r="I815">
        <v>1</v>
      </c>
      <c r="J815">
        <v>3</v>
      </c>
      <c r="K815">
        <v>3</v>
      </c>
      <c r="L815">
        <v>6.96</v>
      </c>
      <c r="M815">
        <v>6.2640000000000002</v>
      </c>
      <c r="N815">
        <v>39.904000000000003</v>
      </c>
      <c r="O815">
        <v>119.712</v>
      </c>
      <c r="P815">
        <v>29.56</v>
      </c>
      <c r="Q815">
        <v>88.68</v>
      </c>
    </row>
    <row r="816" spans="1:17" x14ac:dyDescent="0.25">
      <c r="A816">
        <v>18840387</v>
      </c>
      <c r="B816">
        <v>654135</v>
      </c>
      <c r="C816" t="s">
        <v>310</v>
      </c>
      <c r="E816" t="str">
        <f>"3491955929664"</f>
        <v>3491955929664</v>
      </c>
      <c r="F816" t="str">
        <f>"3491953661221"</f>
        <v>3491953661221</v>
      </c>
      <c r="H816" t="s">
        <v>838</v>
      </c>
      <c r="I816">
        <v>6</v>
      </c>
      <c r="J816">
        <v>2</v>
      </c>
      <c r="K816">
        <v>12</v>
      </c>
      <c r="L816">
        <v>2.94</v>
      </c>
      <c r="M816">
        <v>2.6459999999999999</v>
      </c>
      <c r="N816">
        <v>2.097</v>
      </c>
      <c r="O816">
        <v>25.164000000000001</v>
      </c>
      <c r="P816">
        <v>1.83</v>
      </c>
      <c r="Q816">
        <v>21.96</v>
      </c>
    </row>
    <row r="817" spans="1:17" x14ac:dyDescent="0.25">
      <c r="A817">
        <v>18840387</v>
      </c>
      <c r="B817">
        <v>986212</v>
      </c>
      <c r="C817" t="s">
        <v>313</v>
      </c>
      <c r="E817" t="str">
        <f>"3491955927448"</f>
        <v>3491955927448</v>
      </c>
      <c r="H817" t="s">
        <v>838</v>
      </c>
      <c r="I817">
        <v>1</v>
      </c>
      <c r="J817">
        <v>4</v>
      </c>
      <c r="K817">
        <v>4</v>
      </c>
      <c r="L817">
        <v>1.6639999999999999</v>
      </c>
      <c r="M817">
        <v>1.498</v>
      </c>
      <c r="N817">
        <v>5.3259999999999996</v>
      </c>
      <c r="O817">
        <v>21.303999999999998</v>
      </c>
      <c r="P817">
        <v>6.45</v>
      </c>
      <c r="Q817">
        <v>25.8</v>
      </c>
    </row>
    <row r="818" spans="1:17" x14ac:dyDescent="0.25">
      <c r="A818">
        <v>18840387</v>
      </c>
      <c r="B818">
        <v>986210</v>
      </c>
      <c r="C818" t="s">
        <v>312</v>
      </c>
      <c r="E818" t="str">
        <f>"3491955524524"</f>
        <v>3491955524524</v>
      </c>
      <c r="H818" t="s">
        <v>920</v>
      </c>
      <c r="I818">
        <v>24</v>
      </c>
      <c r="J818">
        <v>1</v>
      </c>
      <c r="K818">
        <v>24</v>
      </c>
      <c r="L818">
        <v>3</v>
      </c>
      <c r="M818">
        <v>2.7</v>
      </c>
      <c r="N818">
        <v>2.7090000000000001</v>
      </c>
      <c r="O818">
        <v>65.016000000000005</v>
      </c>
      <c r="P818">
        <v>2.1</v>
      </c>
      <c r="Q818">
        <v>50.4</v>
      </c>
    </row>
    <row r="819" spans="1:17" x14ac:dyDescent="0.25">
      <c r="A819">
        <v>18840387</v>
      </c>
      <c r="B819">
        <v>799545</v>
      </c>
      <c r="C819" t="s">
        <v>311</v>
      </c>
      <c r="E819" t="str">
        <f>"3491955932787"</f>
        <v>3491955932787</v>
      </c>
      <c r="F819" t="str">
        <f>"3491955525897"</f>
        <v>3491955525897</v>
      </c>
      <c r="H819" t="s">
        <v>838</v>
      </c>
      <c r="I819">
        <v>12</v>
      </c>
      <c r="J819">
        <v>1</v>
      </c>
      <c r="K819">
        <v>12</v>
      </c>
      <c r="L819">
        <v>0.80400000000000005</v>
      </c>
      <c r="M819">
        <v>0.72399999999999998</v>
      </c>
      <c r="N819">
        <v>1.1679999999999999</v>
      </c>
      <c r="O819">
        <v>14.016</v>
      </c>
      <c r="P819">
        <v>1.82</v>
      </c>
      <c r="Q819">
        <v>21.84</v>
      </c>
    </row>
    <row r="820" spans="1:17" x14ac:dyDescent="0.25">
      <c r="A820">
        <v>18840387</v>
      </c>
      <c r="B820">
        <v>986204</v>
      </c>
      <c r="C820" t="s">
        <v>309</v>
      </c>
      <c r="E820" t="str">
        <f>"3491955927301"</f>
        <v>3491955927301</v>
      </c>
      <c r="H820" t="s">
        <v>838</v>
      </c>
      <c r="I820">
        <v>1</v>
      </c>
      <c r="J820">
        <v>4</v>
      </c>
      <c r="K820">
        <v>4</v>
      </c>
      <c r="L820">
        <v>2.0640000000000001</v>
      </c>
      <c r="M820">
        <v>1.8580000000000001</v>
      </c>
      <c r="N820">
        <v>6.2329999999999997</v>
      </c>
      <c r="O820">
        <v>24.931999999999999</v>
      </c>
      <c r="P820">
        <v>5.43</v>
      </c>
      <c r="Q820">
        <v>21.72</v>
      </c>
    </row>
    <row r="821" spans="1:17" x14ac:dyDescent="0.25">
      <c r="A821">
        <v>18844009</v>
      </c>
      <c r="B821">
        <v>907287</v>
      </c>
      <c r="C821" t="s">
        <v>320</v>
      </c>
      <c r="E821" t="str">
        <f>"5420023187352"</f>
        <v>5420023187352</v>
      </c>
      <c r="H821" t="s">
        <v>837</v>
      </c>
      <c r="I821">
        <v>1</v>
      </c>
      <c r="J821">
        <v>3</v>
      </c>
      <c r="K821">
        <v>3</v>
      </c>
      <c r="L821">
        <v>8.94</v>
      </c>
      <c r="M821">
        <v>8.0459999999999994</v>
      </c>
      <c r="N821">
        <v>45.432000000000002</v>
      </c>
      <c r="O821">
        <v>136.29599999999999</v>
      </c>
      <c r="P821">
        <v>25.01</v>
      </c>
      <c r="Q821">
        <v>75.03</v>
      </c>
    </row>
    <row r="822" spans="1:17" x14ac:dyDescent="0.25">
      <c r="A822">
        <v>18844009</v>
      </c>
      <c r="B822">
        <v>757126</v>
      </c>
      <c r="C822" t="s">
        <v>319</v>
      </c>
      <c r="E822" t="str">
        <f>"5420023187017"</f>
        <v>5420023187017</v>
      </c>
      <c r="F822" t="str">
        <f>"2000006849045"</f>
        <v>2000006849045</v>
      </c>
      <c r="H822" t="s">
        <v>837</v>
      </c>
      <c r="I822">
        <v>8</v>
      </c>
      <c r="J822">
        <v>1</v>
      </c>
      <c r="K822">
        <v>8</v>
      </c>
      <c r="L822">
        <v>4.6959999999999997</v>
      </c>
      <c r="M822">
        <v>4.226</v>
      </c>
      <c r="N822">
        <v>8.64</v>
      </c>
      <c r="O822">
        <v>69.12</v>
      </c>
      <c r="P822">
        <v>4.59</v>
      </c>
      <c r="Q822">
        <v>36.72</v>
      </c>
    </row>
    <row r="823" spans="1:17" x14ac:dyDescent="0.25">
      <c r="A823">
        <v>18844009</v>
      </c>
      <c r="B823">
        <v>907289</v>
      </c>
      <c r="C823" t="s">
        <v>321</v>
      </c>
      <c r="E823" t="str">
        <f>"5420023188991"</f>
        <v>5420023188991</v>
      </c>
      <c r="F823" t="str">
        <f>"2018203963099"</f>
        <v>2018203963099</v>
      </c>
      <c r="H823" t="s">
        <v>835</v>
      </c>
      <c r="I823">
        <v>6</v>
      </c>
      <c r="J823">
        <v>1</v>
      </c>
      <c r="K823">
        <v>6</v>
      </c>
      <c r="L823">
        <v>8.298</v>
      </c>
      <c r="M823">
        <v>7.468</v>
      </c>
      <c r="N823">
        <v>22.331</v>
      </c>
      <c r="O823">
        <v>133.98599999999999</v>
      </c>
      <c r="P823">
        <v>7.86</v>
      </c>
      <c r="Q823">
        <v>47.16</v>
      </c>
    </row>
    <row r="824" spans="1:17" x14ac:dyDescent="0.25">
      <c r="A824">
        <v>18845917</v>
      </c>
      <c r="B824">
        <v>644385</v>
      </c>
      <c r="C824" t="s">
        <v>610</v>
      </c>
      <c r="E824" t="str">
        <f>"3086960217228"</f>
        <v>3086960217228</v>
      </c>
      <c r="F824" t="str">
        <f>"3491953127819"</f>
        <v>3491953127819</v>
      </c>
      <c r="H824" t="s">
        <v>935</v>
      </c>
      <c r="I824">
        <v>1</v>
      </c>
      <c r="J824">
        <v>2</v>
      </c>
      <c r="K824">
        <v>2</v>
      </c>
      <c r="L824">
        <v>4.1280000000000001</v>
      </c>
      <c r="M824">
        <v>3.7149999999999999</v>
      </c>
      <c r="N824">
        <v>38.4</v>
      </c>
      <c r="O824">
        <v>76.8</v>
      </c>
      <c r="P824">
        <v>5.67</v>
      </c>
      <c r="Q824">
        <v>11.34</v>
      </c>
    </row>
    <row r="825" spans="1:17" x14ac:dyDescent="0.25">
      <c r="A825">
        <v>18845917</v>
      </c>
      <c r="B825">
        <v>387533</v>
      </c>
      <c r="C825" t="s">
        <v>611</v>
      </c>
      <c r="E825" t="str">
        <f>"3497917000907"</f>
        <v>3497917000907</v>
      </c>
      <c r="F825" t="str">
        <f>"3497917001522"</f>
        <v>3497917001522</v>
      </c>
      <c r="H825" t="s">
        <v>936</v>
      </c>
      <c r="I825">
        <v>10</v>
      </c>
      <c r="J825">
        <v>1</v>
      </c>
      <c r="K825">
        <v>10</v>
      </c>
      <c r="L825">
        <v>1.6</v>
      </c>
      <c r="M825">
        <v>1.44</v>
      </c>
      <c r="N825">
        <v>2.76</v>
      </c>
      <c r="O825">
        <v>27.6</v>
      </c>
      <c r="P825">
        <v>1.3</v>
      </c>
      <c r="Q825">
        <v>13</v>
      </c>
    </row>
    <row r="826" spans="1:17" x14ac:dyDescent="0.25">
      <c r="A826">
        <v>18845917</v>
      </c>
      <c r="B826">
        <v>634127</v>
      </c>
      <c r="C826" t="s">
        <v>612</v>
      </c>
      <c r="E826" t="str">
        <f>"5425006034937"</f>
        <v>5425006034937</v>
      </c>
      <c r="F826" t="str">
        <f>"8718836050978"</f>
        <v>8718836050978</v>
      </c>
      <c r="H826" t="s">
        <v>937</v>
      </c>
      <c r="I826">
        <v>1</v>
      </c>
      <c r="J826">
        <v>2</v>
      </c>
      <c r="K826">
        <v>2</v>
      </c>
      <c r="L826">
        <v>13.08</v>
      </c>
      <c r="M826">
        <v>11.772</v>
      </c>
      <c r="N826">
        <v>8</v>
      </c>
      <c r="O826">
        <v>16</v>
      </c>
      <c r="P826">
        <v>1.53</v>
      </c>
      <c r="Q826">
        <v>3.06</v>
      </c>
    </row>
    <row r="827" spans="1:17" x14ac:dyDescent="0.25">
      <c r="A827">
        <v>18845917</v>
      </c>
      <c r="B827">
        <v>648776</v>
      </c>
      <c r="C827" t="s">
        <v>613</v>
      </c>
      <c r="E827">
        <v>49000033939</v>
      </c>
      <c r="H827" t="s">
        <v>938</v>
      </c>
      <c r="I827">
        <v>12</v>
      </c>
      <c r="J827">
        <v>1</v>
      </c>
      <c r="K827">
        <v>12</v>
      </c>
      <c r="L827">
        <v>4.74</v>
      </c>
      <c r="M827">
        <v>4.266</v>
      </c>
      <c r="N827">
        <v>0.52</v>
      </c>
      <c r="O827">
        <v>6.24</v>
      </c>
      <c r="P827">
        <v>0.82</v>
      </c>
      <c r="Q827">
        <v>9.84</v>
      </c>
    </row>
    <row r="828" spans="1:17" x14ac:dyDescent="0.25">
      <c r="A828">
        <v>18845917</v>
      </c>
      <c r="B828">
        <v>351500</v>
      </c>
      <c r="C828" t="s">
        <v>614</v>
      </c>
      <c r="E828" t="str">
        <f>"5449000284617"</f>
        <v>5449000284617</v>
      </c>
      <c r="F828" t="str">
        <f>"5449000098917"</f>
        <v>5449000098917</v>
      </c>
      <c r="H828" t="s">
        <v>939</v>
      </c>
      <c r="I828">
        <v>24</v>
      </c>
      <c r="J828">
        <v>1</v>
      </c>
      <c r="K828">
        <v>24</v>
      </c>
      <c r="L828">
        <v>8.952</v>
      </c>
      <c r="M828">
        <v>8.0570000000000004</v>
      </c>
      <c r="N828">
        <v>0.51</v>
      </c>
      <c r="O828">
        <v>12.24</v>
      </c>
      <c r="P828">
        <v>0.65</v>
      </c>
      <c r="Q828">
        <v>15.6</v>
      </c>
    </row>
    <row r="829" spans="1:17" x14ac:dyDescent="0.25">
      <c r="A829">
        <v>18845917</v>
      </c>
      <c r="B829">
        <v>358921</v>
      </c>
      <c r="C829" t="s">
        <v>616</v>
      </c>
      <c r="E829" t="str">
        <f>"5449000111715"</f>
        <v>5449000111715</v>
      </c>
      <c r="F829" t="str">
        <f>"5449000111739"</f>
        <v>5449000111739</v>
      </c>
      <c r="H829" t="s">
        <v>940</v>
      </c>
      <c r="I829">
        <v>6</v>
      </c>
      <c r="J829">
        <v>2</v>
      </c>
      <c r="K829">
        <v>12</v>
      </c>
      <c r="L829">
        <v>6.3</v>
      </c>
      <c r="M829">
        <v>5.67</v>
      </c>
      <c r="N829">
        <v>0.93700000000000006</v>
      </c>
      <c r="O829">
        <v>11.244</v>
      </c>
      <c r="P829">
        <v>0.39</v>
      </c>
      <c r="Q829">
        <v>4.68</v>
      </c>
    </row>
    <row r="830" spans="1:17" x14ac:dyDescent="0.25">
      <c r="A830">
        <v>18845917</v>
      </c>
      <c r="B830">
        <v>272288</v>
      </c>
      <c r="C830" t="s">
        <v>617</v>
      </c>
      <c r="E830" t="str">
        <f>"3124480002594"</f>
        <v>3124480002594</v>
      </c>
      <c r="H830" t="s">
        <v>941</v>
      </c>
      <c r="I830">
        <v>24</v>
      </c>
      <c r="J830">
        <v>1</v>
      </c>
      <c r="K830">
        <v>24</v>
      </c>
      <c r="L830">
        <v>13.103999999999999</v>
      </c>
      <c r="M830">
        <v>11.794</v>
      </c>
      <c r="N830">
        <v>0.69499999999999995</v>
      </c>
      <c r="O830">
        <v>16.68</v>
      </c>
      <c r="P830">
        <v>1.24</v>
      </c>
      <c r="Q830">
        <v>29.76</v>
      </c>
    </row>
    <row r="831" spans="1:17" x14ac:dyDescent="0.25">
      <c r="A831">
        <v>18845917</v>
      </c>
      <c r="B831">
        <v>967938</v>
      </c>
      <c r="C831" t="s">
        <v>210</v>
      </c>
      <c r="E831" t="str">
        <f>"3560239686439"</f>
        <v>3560239686439</v>
      </c>
      <c r="H831" t="s">
        <v>887</v>
      </c>
      <c r="I831">
        <v>1</v>
      </c>
      <c r="J831">
        <v>2</v>
      </c>
      <c r="K831">
        <v>2</v>
      </c>
      <c r="L831">
        <v>1.6759999999999999</v>
      </c>
      <c r="M831">
        <v>1.508</v>
      </c>
      <c r="N831">
        <v>5.3760000000000003</v>
      </c>
      <c r="O831">
        <v>10.752000000000001</v>
      </c>
      <c r="P831">
        <v>4.82</v>
      </c>
      <c r="Q831">
        <v>9.64</v>
      </c>
    </row>
    <row r="832" spans="1:17" x14ac:dyDescent="0.25">
      <c r="A832">
        <v>18845917</v>
      </c>
      <c r="B832">
        <v>953657</v>
      </c>
      <c r="C832" t="s">
        <v>618</v>
      </c>
      <c r="E832" t="str">
        <f>"3560234521285"</f>
        <v>3560234521285</v>
      </c>
      <c r="H832" t="s">
        <v>805</v>
      </c>
      <c r="I832">
        <v>1</v>
      </c>
      <c r="J832">
        <v>2</v>
      </c>
      <c r="K832">
        <v>2</v>
      </c>
      <c r="L832">
        <v>1.1000000000000001</v>
      </c>
      <c r="M832">
        <v>0.99</v>
      </c>
      <c r="N832">
        <v>6.72</v>
      </c>
      <c r="O832">
        <v>13.44</v>
      </c>
      <c r="P832">
        <v>4.03</v>
      </c>
      <c r="Q832">
        <v>8.06</v>
      </c>
    </row>
    <row r="833" spans="1:17" x14ac:dyDescent="0.25">
      <c r="A833">
        <v>18845917</v>
      </c>
      <c r="B833">
        <v>326042</v>
      </c>
      <c r="C833" t="s">
        <v>619</v>
      </c>
      <c r="E833">
        <v>74299548864</v>
      </c>
      <c r="F833" t="str">
        <f>"887961309751"</f>
        <v>887961309751</v>
      </c>
      <c r="H833" t="s">
        <v>942</v>
      </c>
      <c r="I833">
        <v>1</v>
      </c>
      <c r="J833">
        <v>2</v>
      </c>
      <c r="K833">
        <v>2</v>
      </c>
      <c r="L833">
        <v>1</v>
      </c>
      <c r="M833">
        <v>0.9</v>
      </c>
      <c r="N833">
        <v>3.125</v>
      </c>
      <c r="O833">
        <v>6.25</v>
      </c>
      <c r="P833">
        <v>15.11</v>
      </c>
      <c r="Q833">
        <v>30.22</v>
      </c>
    </row>
    <row r="834" spans="1:17" x14ac:dyDescent="0.25">
      <c r="A834">
        <v>18845917</v>
      </c>
      <c r="B834">
        <v>707638</v>
      </c>
      <c r="C834" t="s">
        <v>621</v>
      </c>
      <c r="E834" t="str">
        <f>"3491955927110"</f>
        <v>3491955927110</v>
      </c>
      <c r="F834" t="str">
        <f>"3491953626626"</f>
        <v>3491953626626</v>
      </c>
      <c r="G834" t="str">
        <f>"3491953841920"</f>
        <v>3491953841920</v>
      </c>
      <c r="H834" t="s">
        <v>943</v>
      </c>
      <c r="I834">
        <v>18</v>
      </c>
      <c r="J834">
        <v>1</v>
      </c>
      <c r="K834">
        <v>18</v>
      </c>
      <c r="L834">
        <v>9.4860000000000007</v>
      </c>
      <c r="M834">
        <v>8.5370000000000008</v>
      </c>
      <c r="N834">
        <v>3.7440000000000002</v>
      </c>
      <c r="O834">
        <v>67.391999999999996</v>
      </c>
      <c r="P834">
        <v>1.99</v>
      </c>
      <c r="Q834">
        <v>35.82</v>
      </c>
    </row>
    <row r="835" spans="1:17" x14ac:dyDescent="0.25">
      <c r="A835">
        <v>18845917</v>
      </c>
      <c r="B835">
        <v>789290</v>
      </c>
      <c r="C835" t="s">
        <v>622</v>
      </c>
      <c r="E835" t="str">
        <f>"3497917002376"</f>
        <v>3497917002376</v>
      </c>
      <c r="H835" t="s">
        <v>936</v>
      </c>
      <c r="I835">
        <v>10</v>
      </c>
      <c r="J835">
        <v>1</v>
      </c>
      <c r="K835">
        <v>10</v>
      </c>
      <c r="L835">
        <v>1.5</v>
      </c>
      <c r="M835">
        <v>1.35</v>
      </c>
      <c r="N835">
        <v>2.88</v>
      </c>
      <c r="O835">
        <v>28.8</v>
      </c>
      <c r="P835">
        <v>1.29</v>
      </c>
      <c r="Q835">
        <v>12.9</v>
      </c>
    </row>
    <row r="838" spans="1:17" x14ac:dyDescent="0.25">
      <c r="A838" s="1">
        <f t="shared" ref="A838:P838" si="1">SUM(A2:A837)</f>
        <v>15689018832</v>
      </c>
      <c r="B838" s="1">
        <f t="shared" si="1"/>
        <v>710518416</v>
      </c>
      <c r="C838" s="1">
        <f t="shared" si="1"/>
        <v>0</v>
      </c>
      <c r="D838" s="1">
        <f t="shared" si="1"/>
        <v>0</v>
      </c>
      <c r="E838" s="1">
        <f t="shared" si="1"/>
        <v>674097600820500</v>
      </c>
      <c r="F838" s="1">
        <f t="shared" si="1"/>
        <v>78404533770576</v>
      </c>
      <c r="G838" s="1">
        <f t="shared" si="1"/>
        <v>32565310808866</v>
      </c>
      <c r="H838" s="1"/>
      <c r="I838" s="1">
        <f t="shared" si="1"/>
        <v>4103</v>
      </c>
      <c r="J838" s="1">
        <f t="shared" si="1"/>
        <v>2161</v>
      </c>
      <c r="K838" s="1">
        <f t="shared" si="1"/>
        <v>6742</v>
      </c>
      <c r="L838" s="1">
        <f t="shared" si="1"/>
        <v>2626.2570000000032</v>
      </c>
      <c r="M838" s="1">
        <f t="shared" si="1"/>
        <v>2363.6309999999985</v>
      </c>
      <c r="N838" s="1">
        <f t="shared" si="1"/>
        <v>5307.4900000000034</v>
      </c>
      <c r="O838" s="1">
        <f t="shared" si="1"/>
        <v>23321.755000000012</v>
      </c>
      <c r="P838" s="1">
        <f t="shared" si="1"/>
        <v>5467.590000000002</v>
      </c>
      <c r="Q838" s="1">
        <f>SUM(Q2:Q837)</f>
        <v>24618.769999999986</v>
      </c>
    </row>
  </sheetData>
  <autoFilter ref="A1:Q835" xr:uid="{00000000-0009-0000-0000-000002000000}"/>
  <dataConsolidate topLabels="1">
    <dataRefs count="1">
      <dataRef ref="H1:Q835" sheet="Combiner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6"/>
  <dimension ref="A1:X838"/>
  <sheetViews>
    <sheetView tabSelected="1" workbookViewId="0">
      <pane ySplit="1" topLeftCell="A2" activePane="bottomLeft" state="frozen"/>
      <selection pane="bottomLeft" activeCell="W4" sqref="W4"/>
    </sheetView>
  </sheetViews>
  <sheetFormatPr baseColWidth="10" defaultRowHeight="15" x14ac:dyDescent="0.25"/>
  <cols>
    <col min="1" max="1" width="17.28515625" hidden="1" customWidth="1"/>
    <col min="2" max="2" width="14.5703125" hidden="1" customWidth="1"/>
    <col min="3" max="4" width="11.5703125" hidden="1" customWidth="1"/>
    <col min="5" max="5" width="22" hidden="1" customWidth="1"/>
    <col min="6" max="7" width="20.85546875" hidden="1" customWidth="1"/>
    <col min="8" max="8" width="9" bestFit="1" customWidth="1"/>
    <col min="9" max="9" width="7.5703125" bestFit="1" customWidth="1"/>
    <col min="10" max="12" width="11.5703125" bestFit="1" customWidth="1"/>
    <col min="13" max="13" width="17.28515625" bestFit="1" customWidth="1"/>
    <col min="14" max="18" width="11.5703125" bestFit="1" customWidth="1"/>
  </cols>
  <sheetData>
    <row r="1" spans="8:24" ht="15.75" thickBot="1" x14ac:dyDescent="0.3">
      <c r="H1" t="s">
        <v>567</v>
      </c>
      <c r="I1" t="s">
        <v>566</v>
      </c>
      <c r="J1" t="s">
        <v>7</v>
      </c>
      <c r="K1" t="s">
        <v>8</v>
      </c>
      <c r="L1" t="s">
        <v>9</v>
      </c>
      <c r="M1" t="s">
        <v>960</v>
      </c>
      <c r="N1" t="s">
        <v>10</v>
      </c>
      <c r="O1" t="s">
        <v>11</v>
      </c>
      <c r="P1" t="s">
        <v>12</v>
      </c>
      <c r="Q1" t="s">
        <v>13</v>
      </c>
      <c r="R1" t="s">
        <v>15</v>
      </c>
    </row>
    <row r="2" spans="8:24" ht="15.75" thickBot="1" x14ac:dyDescent="0.3">
      <c r="H2" s="38" t="s">
        <v>680</v>
      </c>
      <c r="I2" t="s">
        <v>54</v>
      </c>
      <c r="J2">
        <v>1</v>
      </c>
      <c r="K2">
        <v>5</v>
      </c>
      <c r="L2">
        <v>5</v>
      </c>
      <c r="M2" s="8">
        <f>LOOKUP(H2,$W$4:$W$192,Séparer!$X$4:$X$192)</f>
        <v>0</v>
      </c>
      <c r="N2">
        <v>1.145</v>
      </c>
      <c r="O2">
        <v>1.0309999999999999</v>
      </c>
      <c r="P2">
        <v>0.746</v>
      </c>
      <c r="Q2">
        <v>3.73</v>
      </c>
      <c r="R2">
        <v>2.9</v>
      </c>
    </row>
    <row r="3" spans="8:24" ht="15.75" thickBot="1" x14ac:dyDescent="0.3">
      <c r="H3">
        <v>17049061</v>
      </c>
      <c r="I3" t="s">
        <v>498</v>
      </c>
      <c r="J3">
        <v>16</v>
      </c>
      <c r="K3">
        <v>1</v>
      </c>
      <c r="L3">
        <v>16</v>
      </c>
      <c r="M3" s="8">
        <f>LOOKUP(H3,$W$4:$W$192,Séparer!$X$4:$X$192)</f>
        <v>0</v>
      </c>
      <c r="N3">
        <v>1.04</v>
      </c>
      <c r="O3">
        <v>0.93600000000000005</v>
      </c>
      <c r="P3">
        <v>0.111</v>
      </c>
      <c r="Q3">
        <v>1.776</v>
      </c>
      <c r="R3">
        <v>19.36</v>
      </c>
    </row>
    <row r="4" spans="8:24" ht="15.75" thickBot="1" x14ac:dyDescent="0.3">
      <c r="H4">
        <v>17049065</v>
      </c>
      <c r="I4" t="s">
        <v>200</v>
      </c>
      <c r="J4">
        <v>115</v>
      </c>
      <c r="K4">
        <v>14</v>
      </c>
      <c r="L4">
        <v>227</v>
      </c>
      <c r="M4" s="8">
        <f>LOOKUP(H4,$W$4:$W$192,Séparer!$X$4:$X$192)</f>
        <v>0</v>
      </c>
      <c r="N4">
        <v>30.595999999999997</v>
      </c>
      <c r="O4">
        <v>27.535999999999998</v>
      </c>
      <c r="P4">
        <v>4.3049999999999997</v>
      </c>
      <c r="Q4">
        <v>149.46299999999997</v>
      </c>
      <c r="R4">
        <v>153.84</v>
      </c>
      <c r="W4" s="38" t="s">
        <v>680</v>
      </c>
    </row>
    <row r="5" spans="8:24" ht="15.75" thickBot="1" x14ac:dyDescent="0.3">
      <c r="H5">
        <v>17049065</v>
      </c>
      <c r="I5" t="s">
        <v>137</v>
      </c>
      <c r="J5">
        <v>33</v>
      </c>
      <c r="K5">
        <v>4</v>
      </c>
      <c r="L5">
        <v>44</v>
      </c>
      <c r="M5" s="8">
        <f>LOOKUP(H5,$W$4:$W$192,Séparer!$X$4:$X$192)</f>
        <v>0</v>
      </c>
      <c r="N5">
        <v>4.6310000000000002</v>
      </c>
      <c r="O5">
        <v>4.1679999999999993</v>
      </c>
      <c r="P5">
        <v>1.512</v>
      </c>
      <c r="Q5">
        <v>22.043999999999997</v>
      </c>
      <c r="R5">
        <v>31.68</v>
      </c>
      <c r="W5">
        <v>17049061</v>
      </c>
    </row>
    <row r="6" spans="8:24" ht="15.75" thickBot="1" x14ac:dyDescent="0.3">
      <c r="H6">
        <v>17049065</v>
      </c>
      <c r="I6" t="s">
        <v>17</v>
      </c>
      <c r="J6">
        <v>24</v>
      </c>
      <c r="K6">
        <v>2</v>
      </c>
      <c r="L6">
        <v>24</v>
      </c>
      <c r="M6" s="8">
        <f>LOOKUP(H6,$W$4:$W$192,Séparer!$X$4:$X$192)</f>
        <v>0</v>
      </c>
      <c r="N6">
        <v>6.6</v>
      </c>
      <c r="O6">
        <v>5.94</v>
      </c>
      <c r="P6">
        <v>5.4</v>
      </c>
      <c r="Q6">
        <v>64.8</v>
      </c>
      <c r="R6">
        <v>61.2</v>
      </c>
      <c r="W6">
        <v>17049065</v>
      </c>
      <c r="X6">
        <v>0</v>
      </c>
    </row>
    <row r="7" spans="8:24" ht="15.75" thickBot="1" x14ac:dyDescent="0.3">
      <c r="H7">
        <v>17049071</v>
      </c>
      <c r="I7" t="s">
        <v>200</v>
      </c>
      <c r="J7">
        <v>6</v>
      </c>
      <c r="K7">
        <v>1</v>
      </c>
      <c r="L7">
        <v>6</v>
      </c>
      <c r="M7" s="8">
        <f>LOOKUP(H7,$W$4:$W$192,Séparer!$X$4:$X$192)</f>
        <v>0</v>
      </c>
      <c r="N7">
        <v>1.476</v>
      </c>
      <c r="O7">
        <v>1.3280000000000001</v>
      </c>
      <c r="P7">
        <v>0.88400000000000001</v>
      </c>
      <c r="Q7">
        <v>5.3040000000000003</v>
      </c>
      <c r="R7">
        <v>8.0399999999999991</v>
      </c>
      <c r="W7">
        <v>17049071</v>
      </c>
      <c r="X7">
        <v>0</v>
      </c>
    </row>
    <row r="8" spans="8:24" ht="15.75" thickBot="1" x14ac:dyDescent="0.3">
      <c r="H8">
        <v>17049071</v>
      </c>
      <c r="I8" t="s">
        <v>17</v>
      </c>
      <c r="J8">
        <v>2</v>
      </c>
      <c r="K8">
        <v>28</v>
      </c>
      <c r="L8">
        <v>28</v>
      </c>
      <c r="M8" s="8">
        <f>LOOKUP(H8,$W$4:$W$192,Séparer!$X$4:$X$192)</f>
        <v>0</v>
      </c>
      <c r="N8">
        <v>56</v>
      </c>
      <c r="O8">
        <v>50.4</v>
      </c>
      <c r="P8">
        <v>20.202000000000002</v>
      </c>
      <c r="Q8">
        <v>282.82799999999997</v>
      </c>
      <c r="R8">
        <v>19.88</v>
      </c>
      <c r="W8">
        <v>18063100</v>
      </c>
      <c r="X8">
        <v>0</v>
      </c>
    </row>
    <row r="9" spans="8:24" ht="15.75" thickBot="1" x14ac:dyDescent="0.3">
      <c r="H9">
        <v>18063100</v>
      </c>
      <c r="I9" t="s">
        <v>54</v>
      </c>
      <c r="J9">
        <v>6</v>
      </c>
      <c r="K9">
        <v>6</v>
      </c>
      <c r="L9">
        <v>104</v>
      </c>
      <c r="M9" s="8">
        <f>LOOKUP(H9,$W$4:$W$192,Séparer!$X$4:$X$192)</f>
        <v>0</v>
      </c>
      <c r="N9">
        <v>46.384</v>
      </c>
      <c r="O9">
        <v>41.746000000000002</v>
      </c>
      <c r="P9">
        <v>14.744</v>
      </c>
      <c r="Q9">
        <v>247.392</v>
      </c>
      <c r="R9">
        <v>463.04</v>
      </c>
      <c r="W9">
        <v>18069019</v>
      </c>
      <c r="X9">
        <v>0</v>
      </c>
    </row>
    <row r="10" spans="8:24" ht="15.75" thickBot="1" x14ac:dyDescent="0.3">
      <c r="H10">
        <v>18069019</v>
      </c>
      <c r="I10" t="s">
        <v>54</v>
      </c>
      <c r="J10">
        <v>2</v>
      </c>
      <c r="K10">
        <v>2</v>
      </c>
      <c r="L10">
        <v>54</v>
      </c>
      <c r="M10" s="8">
        <f>LOOKUP(H10,$W$4:$W$192,Séparer!$X$4:$X$192)</f>
        <v>0</v>
      </c>
      <c r="N10">
        <v>12.042</v>
      </c>
      <c r="O10">
        <v>10.837999999999999</v>
      </c>
      <c r="P10">
        <v>2.6659999999999999</v>
      </c>
      <c r="Q10">
        <v>71.981999999999999</v>
      </c>
      <c r="R10">
        <v>135.54</v>
      </c>
      <c r="W10">
        <v>18069031</v>
      </c>
      <c r="X10">
        <v>0</v>
      </c>
    </row>
    <row r="11" spans="8:24" ht="15.75" thickBot="1" x14ac:dyDescent="0.3">
      <c r="H11">
        <v>18069019</v>
      </c>
      <c r="I11" t="s">
        <v>203</v>
      </c>
      <c r="J11">
        <v>2</v>
      </c>
      <c r="K11">
        <v>2</v>
      </c>
      <c r="L11">
        <v>60</v>
      </c>
      <c r="M11" s="8">
        <f>LOOKUP(H11,$W$4:$W$192,Séparer!$X$4:$X$192)</f>
        <v>0</v>
      </c>
      <c r="N11">
        <v>3.6</v>
      </c>
      <c r="O11">
        <v>3.24</v>
      </c>
      <c r="P11">
        <v>0.19800000000000001</v>
      </c>
      <c r="Q11">
        <v>5.94</v>
      </c>
      <c r="R11">
        <v>27</v>
      </c>
      <c r="W11">
        <v>18069039</v>
      </c>
      <c r="X11">
        <v>0</v>
      </c>
    </row>
    <row r="12" spans="8:24" ht="15.75" thickBot="1" x14ac:dyDescent="0.3">
      <c r="H12">
        <v>18069019</v>
      </c>
      <c r="I12" t="s">
        <v>200</v>
      </c>
      <c r="J12">
        <v>4</v>
      </c>
      <c r="K12">
        <v>4</v>
      </c>
      <c r="L12">
        <v>176</v>
      </c>
      <c r="M12" s="8">
        <f>LOOKUP(H12,$W$4:$W$192,Séparer!$X$4:$X$192)</f>
        <v>0</v>
      </c>
      <c r="N12">
        <v>15.952</v>
      </c>
      <c r="O12">
        <v>14.356</v>
      </c>
      <c r="P12">
        <v>1.514</v>
      </c>
      <c r="Q12">
        <v>72.176000000000002</v>
      </c>
      <c r="R12">
        <v>334.72</v>
      </c>
      <c r="W12">
        <v>18069060</v>
      </c>
      <c r="X12">
        <v>0</v>
      </c>
    </row>
    <row r="13" spans="8:24" ht="15.75" thickBot="1" x14ac:dyDescent="0.3">
      <c r="H13">
        <v>18069019</v>
      </c>
      <c r="I13" t="s">
        <v>296</v>
      </c>
      <c r="J13">
        <v>28</v>
      </c>
      <c r="K13">
        <v>2</v>
      </c>
      <c r="L13">
        <v>28</v>
      </c>
      <c r="M13" s="8">
        <f>LOOKUP(H13,$W$4:$W$192,Séparer!$X$4:$X$192)</f>
        <v>0</v>
      </c>
      <c r="N13">
        <v>5.3760000000000003</v>
      </c>
      <c r="O13">
        <v>4.8380000000000001</v>
      </c>
      <c r="P13">
        <v>3.7</v>
      </c>
      <c r="Q13">
        <v>51.8</v>
      </c>
      <c r="R13">
        <v>58.8</v>
      </c>
      <c r="W13">
        <v>19053119</v>
      </c>
      <c r="X13">
        <v>0</v>
      </c>
    </row>
    <row r="14" spans="8:24" ht="15.75" thickBot="1" x14ac:dyDescent="0.3">
      <c r="H14">
        <v>18069031</v>
      </c>
      <c r="I14" t="s">
        <v>200</v>
      </c>
      <c r="J14">
        <v>10</v>
      </c>
      <c r="K14">
        <v>10</v>
      </c>
      <c r="L14">
        <v>208</v>
      </c>
      <c r="M14" s="8">
        <f>LOOKUP(H14,$W$4:$W$192,Séparer!$X$4:$X$192)</f>
        <v>0</v>
      </c>
      <c r="N14">
        <v>38.075999999999993</v>
      </c>
      <c r="O14">
        <v>34.268000000000001</v>
      </c>
      <c r="P14">
        <v>14.212000000000002</v>
      </c>
      <c r="Q14">
        <v>314.76800000000003</v>
      </c>
      <c r="R14">
        <v>804.56</v>
      </c>
      <c r="W14">
        <v>19053199</v>
      </c>
      <c r="X14">
        <v>0</v>
      </c>
    </row>
    <row r="15" spans="8:24" ht="15.75" thickBot="1" x14ac:dyDescent="0.3">
      <c r="H15">
        <v>18069031</v>
      </c>
      <c r="I15" t="s">
        <v>206</v>
      </c>
      <c r="J15">
        <v>4</v>
      </c>
      <c r="K15">
        <v>4</v>
      </c>
      <c r="L15">
        <v>176</v>
      </c>
      <c r="M15" s="8">
        <f>LOOKUP(H15,$W$4:$W$192,Séparer!$X$4:$X$192)</f>
        <v>0</v>
      </c>
      <c r="N15">
        <v>7.6559999999999997</v>
      </c>
      <c r="O15">
        <v>6.8900000000000006</v>
      </c>
      <c r="P15">
        <v>1.6059999999999999</v>
      </c>
      <c r="Q15">
        <v>73.111999999999995</v>
      </c>
      <c r="R15">
        <v>201.28000000000003</v>
      </c>
      <c r="W15">
        <v>20052020</v>
      </c>
      <c r="X15">
        <v>0</v>
      </c>
    </row>
    <row r="16" spans="8:24" ht="15.75" thickBot="1" x14ac:dyDescent="0.3">
      <c r="H16">
        <v>18069039</v>
      </c>
      <c r="I16" t="s">
        <v>54</v>
      </c>
      <c r="J16">
        <v>64</v>
      </c>
      <c r="K16">
        <v>2</v>
      </c>
      <c r="L16">
        <v>64</v>
      </c>
      <c r="M16" s="8">
        <f>LOOKUP(H16,$W$4:$W$192,Séparer!$X$4:$X$192)</f>
        <v>0</v>
      </c>
      <c r="N16">
        <v>9.984</v>
      </c>
      <c r="O16">
        <v>8.9860000000000007</v>
      </c>
      <c r="P16">
        <v>1.8740000000000001</v>
      </c>
      <c r="Q16">
        <v>59.968000000000004</v>
      </c>
      <c r="R16">
        <v>46.08</v>
      </c>
      <c r="W16">
        <v>21069051</v>
      </c>
      <c r="X16">
        <v>0</v>
      </c>
    </row>
    <row r="17" spans="8:24" ht="15.75" thickBot="1" x14ac:dyDescent="0.3">
      <c r="H17">
        <v>18069060</v>
      </c>
      <c r="I17" t="s">
        <v>203</v>
      </c>
      <c r="J17">
        <v>128</v>
      </c>
      <c r="K17">
        <v>2</v>
      </c>
      <c r="L17">
        <v>128</v>
      </c>
      <c r="M17" s="8">
        <f>LOOKUP(H17,$W$4:$W$192,Séparer!$X$4:$X$192)</f>
        <v>0</v>
      </c>
      <c r="N17">
        <v>9.0879999999999992</v>
      </c>
      <c r="O17">
        <v>8.18</v>
      </c>
      <c r="P17">
        <v>0.25</v>
      </c>
      <c r="Q17">
        <v>16</v>
      </c>
      <c r="R17">
        <v>69.12</v>
      </c>
      <c r="W17">
        <v>21069059</v>
      </c>
      <c r="X17">
        <v>0</v>
      </c>
    </row>
    <row r="18" spans="8:24" ht="15.75" thickBot="1" x14ac:dyDescent="0.3">
      <c r="H18">
        <v>19053119</v>
      </c>
      <c r="I18" t="s">
        <v>200</v>
      </c>
      <c r="J18">
        <v>20</v>
      </c>
      <c r="K18">
        <v>1</v>
      </c>
      <c r="L18">
        <v>20</v>
      </c>
      <c r="M18" s="8">
        <f>LOOKUP(H18,$W$4:$W$192,Séparer!$X$4:$X$192)</f>
        <v>0</v>
      </c>
      <c r="N18">
        <v>1.34</v>
      </c>
      <c r="O18">
        <v>1.206</v>
      </c>
      <c r="P18">
        <v>0.22800000000000001</v>
      </c>
      <c r="Q18">
        <v>4.5599999999999996</v>
      </c>
      <c r="R18">
        <v>8.8000000000000007</v>
      </c>
      <c r="W18">
        <v>22011090</v>
      </c>
      <c r="X18" t="s">
        <v>681</v>
      </c>
    </row>
    <row r="19" spans="8:24" ht="15.75" thickBot="1" x14ac:dyDescent="0.3">
      <c r="H19">
        <v>19053199</v>
      </c>
      <c r="I19" t="s">
        <v>200</v>
      </c>
      <c r="J19">
        <v>1</v>
      </c>
      <c r="K19">
        <v>5</v>
      </c>
      <c r="L19">
        <v>5</v>
      </c>
      <c r="M19" s="8">
        <f>LOOKUP(H19,$W$4:$W$192,Séparer!$X$4:$X$192)</f>
        <v>0</v>
      </c>
      <c r="N19">
        <v>3.13</v>
      </c>
      <c r="O19">
        <v>2.8170000000000002</v>
      </c>
      <c r="P19">
        <v>2.97</v>
      </c>
      <c r="Q19">
        <v>14.85</v>
      </c>
      <c r="R19">
        <v>14.25</v>
      </c>
      <c r="W19">
        <v>22021000</v>
      </c>
      <c r="X19" t="s">
        <v>681</v>
      </c>
    </row>
    <row r="20" spans="8:24" ht="15.75" thickBot="1" x14ac:dyDescent="0.3">
      <c r="H20">
        <v>20052020</v>
      </c>
      <c r="I20" t="s">
        <v>97</v>
      </c>
      <c r="J20">
        <v>20</v>
      </c>
      <c r="K20">
        <v>2</v>
      </c>
      <c r="L20">
        <v>20</v>
      </c>
      <c r="M20" s="8">
        <f>LOOKUP(H20,$W$4:$W$192,Séparer!$X$4:$X$192)</f>
        <v>0</v>
      </c>
      <c r="N20">
        <v>3.1</v>
      </c>
      <c r="O20">
        <v>2.79</v>
      </c>
      <c r="P20">
        <v>5.64</v>
      </c>
      <c r="Q20">
        <v>56.400000000000006</v>
      </c>
      <c r="R20">
        <v>25.9</v>
      </c>
      <c r="W20">
        <v>23091090</v>
      </c>
      <c r="X20">
        <v>0</v>
      </c>
    </row>
    <row r="21" spans="8:24" ht="15.75" thickBot="1" x14ac:dyDescent="0.3">
      <c r="H21">
        <v>21069051</v>
      </c>
      <c r="I21" t="s">
        <v>296</v>
      </c>
      <c r="J21">
        <v>1</v>
      </c>
      <c r="K21">
        <v>2</v>
      </c>
      <c r="L21">
        <v>2</v>
      </c>
      <c r="M21" s="8">
        <f>LOOKUP(H21,$W$4:$W$192,Séparer!$X$4:$X$192)</f>
        <v>0</v>
      </c>
      <c r="N21">
        <v>0.08</v>
      </c>
      <c r="O21">
        <v>7.1999999999999995E-2</v>
      </c>
      <c r="P21">
        <v>0.23899999999999999</v>
      </c>
      <c r="Q21">
        <v>0.47799999999999998</v>
      </c>
      <c r="R21">
        <v>2.8</v>
      </c>
      <c r="W21">
        <v>23099096</v>
      </c>
      <c r="X21">
        <v>0</v>
      </c>
    </row>
    <row r="22" spans="8:24" ht="15.75" thickBot="1" x14ac:dyDescent="0.3">
      <c r="H22">
        <v>21069059</v>
      </c>
      <c r="I22" t="s">
        <v>17</v>
      </c>
      <c r="J22">
        <v>48</v>
      </c>
      <c r="K22">
        <v>2</v>
      </c>
      <c r="L22">
        <v>48</v>
      </c>
      <c r="M22" s="8">
        <f>LOOKUP(H22,$W$4:$W$192,Séparer!$X$4:$X$192)</f>
        <v>0</v>
      </c>
      <c r="N22">
        <v>6.1680000000000001</v>
      </c>
      <c r="O22">
        <v>5.5510000000000002</v>
      </c>
      <c r="P22">
        <v>0.76500000000000001</v>
      </c>
      <c r="Q22">
        <v>18.36</v>
      </c>
      <c r="R22">
        <v>77.759999999999991</v>
      </c>
      <c r="W22">
        <v>28363000</v>
      </c>
      <c r="X22">
        <v>0</v>
      </c>
    </row>
    <row r="23" spans="8:24" ht="15.75" thickBot="1" x14ac:dyDescent="0.3">
      <c r="H23">
        <v>22011090</v>
      </c>
      <c r="I23" t="s">
        <v>200</v>
      </c>
      <c r="J23">
        <v>6</v>
      </c>
      <c r="K23">
        <v>2</v>
      </c>
      <c r="L23">
        <v>12</v>
      </c>
      <c r="M23" s="8" t="str">
        <f>LOOKUP(H23,$W$4:$W$192,Séparer!$X$4:$X$192)</f>
        <v>LTR</v>
      </c>
      <c r="N23">
        <v>6.3</v>
      </c>
      <c r="O23">
        <v>5.67</v>
      </c>
      <c r="P23">
        <v>0.93700000000000006</v>
      </c>
      <c r="Q23">
        <v>11.244</v>
      </c>
      <c r="R23">
        <v>4.68</v>
      </c>
      <c r="W23">
        <v>30051000</v>
      </c>
      <c r="X23">
        <v>0</v>
      </c>
    </row>
    <row r="24" spans="8:24" ht="15.75" thickBot="1" x14ac:dyDescent="0.3">
      <c r="H24">
        <v>22021000</v>
      </c>
      <c r="I24" t="s">
        <v>51</v>
      </c>
      <c r="J24">
        <v>12</v>
      </c>
      <c r="K24">
        <v>1</v>
      </c>
      <c r="L24">
        <v>12</v>
      </c>
      <c r="M24" s="8" t="str">
        <f>LOOKUP(H24,$W$4:$W$192,Séparer!$X$4:$X$192)</f>
        <v>LTR</v>
      </c>
      <c r="N24">
        <v>4.74</v>
      </c>
      <c r="O24">
        <v>4.266</v>
      </c>
      <c r="P24">
        <v>0.52</v>
      </c>
      <c r="Q24">
        <v>6.24</v>
      </c>
      <c r="R24">
        <v>9.84</v>
      </c>
      <c r="W24">
        <v>33012949</v>
      </c>
      <c r="X24">
        <v>0</v>
      </c>
    </row>
    <row r="25" spans="8:24" ht="15.75" thickBot="1" x14ac:dyDescent="0.3">
      <c r="H25">
        <v>22021000</v>
      </c>
      <c r="I25" t="s">
        <v>615</v>
      </c>
      <c r="J25">
        <v>24</v>
      </c>
      <c r="K25">
        <v>1</v>
      </c>
      <c r="L25">
        <v>24</v>
      </c>
      <c r="M25" s="8" t="str">
        <f>LOOKUP(H25,$W$4:$W$192,Séparer!$X$4:$X$192)</f>
        <v>LTR</v>
      </c>
      <c r="N25">
        <v>8.952</v>
      </c>
      <c r="O25">
        <v>8.0570000000000004</v>
      </c>
      <c r="P25">
        <v>0.51</v>
      </c>
      <c r="Q25">
        <v>12.24</v>
      </c>
      <c r="R25">
        <v>15.6</v>
      </c>
      <c r="W25">
        <v>33012991</v>
      </c>
      <c r="X25">
        <v>0</v>
      </c>
    </row>
    <row r="26" spans="8:24" ht="15.75" thickBot="1" x14ac:dyDescent="0.3">
      <c r="H26">
        <v>22021000</v>
      </c>
      <c r="I26" t="s">
        <v>200</v>
      </c>
      <c r="J26">
        <v>24</v>
      </c>
      <c r="K26">
        <v>1</v>
      </c>
      <c r="L26">
        <v>24</v>
      </c>
      <c r="M26" s="8" t="str">
        <f>LOOKUP(H26,$W$4:$W$192,Séparer!$X$4:$X$192)</f>
        <v>LTR</v>
      </c>
      <c r="N26">
        <v>13.103999999999999</v>
      </c>
      <c r="O26">
        <v>11.794</v>
      </c>
      <c r="P26">
        <v>0.69499999999999995</v>
      </c>
      <c r="Q26">
        <v>16.68</v>
      </c>
      <c r="R26">
        <v>29.76</v>
      </c>
      <c r="W26">
        <v>33021010</v>
      </c>
      <c r="X26">
        <v>0</v>
      </c>
    </row>
    <row r="27" spans="8:24" ht="15.75" thickBot="1" x14ac:dyDescent="0.3">
      <c r="H27">
        <v>23091090</v>
      </c>
      <c r="I27" t="s">
        <v>97</v>
      </c>
      <c r="J27">
        <v>1</v>
      </c>
      <c r="K27">
        <v>5</v>
      </c>
      <c r="L27">
        <v>5</v>
      </c>
      <c r="M27" s="8">
        <f>LOOKUP(H27,$W$4:$W$192,Séparer!$X$4:$X$192)</f>
        <v>0</v>
      </c>
      <c r="N27">
        <v>0.57999999999999996</v>
      </c>
      <c r="O27">
        <v>0.52200000000000002</v>
      </c>
      <c r="P27">
        <v>0.75600000000000001</v>
      </c>
      <c r="Q27">
        <v>3.78</v>
      </c>
      <c r="R27">
        <v>8.4499999999999993</v>
      </c>
      <c r="W27">
        <v>33030010</v>
      </c>
      <c r="X27">
        <v>0</v>
      </c>
    </row>
    <row r="28" spans="8:24" ht="15.75" thickBot="1" x14ac:dyDescent="0.3">
      <c r="H28">
        <v>23099096</v>
      </c>
      <c r="I28" t="s">
        <v>464</v>
      </c>
      <c r="J28">
        <v>11</v>
      </c>
      <c r="K28">
        <v>5</v>
      </c>
      <c r="L28">
        <v>14</v>
      </c>
      <c r="M28" s="8">
        <f>LOOKUP(H28,$W$4:$W$192,Séparer!$X$4:$X$192)</f>
        <v>0</v>
      </c>
      <c r="N28">
        <v>7.58</v>
      </c>
      <c r="O28">
        <v>6.8220000000000001</v>
      </c>
      <c r="P28">
        <v>5.9779999999999998</v>
      </c>
      <c r="Q28">
        <v>26.18</v>
      </c>
      <c r="R28">
        <v>18.16</v>
      </c>
      <c r="W28">
        <v>33030090</v>
      </c>
      <c r="X28">
        <v>0</v>
      </c>
    </row>
    <row r="29" spans="8:24" ht="15.75" thickBot="1" x14ac:dyDescent="0.3">
      <c r="H29">
        <v>23099096</v>
      </c>
      <c r="I29" t="s">
        <v>200</v>
      </c>
      <c r="J29">
        <v>2</v>
      </c>
      <c r="K29">
        <v>5</v>
      </c>
      <c r="L29">
        <v>9</v>
      </c>
      <c r="M29" s="8">
        <f>LOOKUP(H29,$W$4:$W$192,Séparer!$X$4:$X$192)</f>
        <v>0</v>
      </c>
      <c r="N29">
        <v>23.724</v>
      </c>
      <c r="O29">
        <v>21.350999999999999</v>
      </c>
      <c r="P29">
        <v>7.84</v>
      </c>
      <c r="Q29">
        <v>43.680000000000007</v>
      </c>
      <c r="R29">
        <v>20.779999999999998</v>
      </c>
      <c r="W29">
        <v>33043000</v>
      </c>
      <c r="X29">
        <v>0</v>
      </c>
    </row>
    <row r="30" spans="8:24" ht="15.75" thickBot="1" x14ac:dyDescent="0.3">
      <c r="H30">
        <v>28363000</v>
      </c>
      <c r="I30" t="s">
        <v>200</v>
      </c>
      <c r="J30">
        <v>7</v>
      </c>
      <c r="K30">
        <v>4</v>
      </c>
      <c r="L30">
        <v>9</v>
      </c>
      <c r="M30" s="8">
        <f>LOOKUP(H30,$W$4:$W$192,Séparer!$X$4:$X$192)</f>
        <v>0</v>
      </c>
      <c r="N30">
        <v>6.7560000000000002</v>
      </c>
      <c r="O30">
        <v>6.08</v>
      </c>
      <c r="P30">
        <v>2.948</v>
      </c>
      <c r="Q30">
        <v>11.516999999999999</v>
      </c>
      <c r="R30">
        <v>21.270000000000003</v>
      </c>
      <c r="W30">
        <v>33049900</v>
      </c>
      <c r="X30">
        <v>0</v>
      </c>
    </row>
    <row r="31" spans="8:24" ht="15.75" thickBot="1" x14ac:dyDescent="0.3">
      <c r="H31">
        <v>30051000</v>
      </c>
      <c r="I31" t="s">
        <v>137</v>
      </c>
      <c r="J31">
        <v>1</v>
      </c>
      <c r="K31">
        <v>4</v>
      </c>
      <c r="L31">
        <v>4</v>
      </c>
      <c r="M31" s="8">
        <f>LOOKUP(H31,$W$4:$W$192,Séparer!$X$4:$X$192)</f>
        <v>0</v>
      </c>
      <c r="N31">
        <v>0.104</v>
      </c>
      <c r="O31">
        <v>9.4E-2</v>
      </c>
      <c r="P31">
        <v>0.26900000000000002</v>
      </c>
      <c r="Q31">
        <v>1.0760000000000001</v>
      </c>
      <c r="R31">
        <v>8.7200000000000006</v>
      </c>
      <c r="W31">
        <v>33051000</v>
      </c>
      <c r="X31">
        <v>0</v>
      </c>
    </row>
    <row r="32" spans="8:24" ht="15.75" thickBot="1" x14ac:dyDescent="0.3">
      <c r="H32">
        <v>33012949</v>
      </c>
      <c r="I32" t="s">
        <v>137</v>
      </c>
      <c r="J32">
        <v>1</v>
      </c>
      <c r="K32">
        <v>2</v>
      </c>
      <c r="L32">
        <v>7</v>
      </c>
      <c r="M32" s="8">
        <f>LOOKUP(H32,$W$4:$W$192,Séparer!$X$4:$X$192)</f>
        <v>0</v>
      </c>
      <c r="N32">
        <v>0.38500000000000001</v>
      </c>
      <c r="O32">
        <v>0.34699999999999998</v>
      </c>
      <c r="P32">
        <v>0.14199999999999999</v>
      </c>
      <c r="Q32">
        <v>0.99399999999999999</v>
      </c>
      <c r="R32">
        <v>14.77</v>
      </c>
      <c r="W32">
        <v>33059000</v>
      </c>
      <c r="X32">
        <v>0</v>
      </c>
    </row>
    <row r="33" spans="8:24" ht="15.75" thickBot="1" x14ac:dyDescent="0.3">
      <c r="H33">
        <v>33012991</v>
      </c>
      <c r="I33" t="s">
        <v>525</v>
      </c>
      <c r="J33">
        <v>1</v>
      </c>
      <c r="K33">
        <v>3</v>
      </c>
      <c r="L33">
        <v>3</v>
      </c>
      <c r="M33" s="8">
        <f>LOOKUP(H33,$W$4:$W$192,Séparer!$X$4:$X$192)</f>
        <v>0</v>
      </c>
      <c r="N33">
        <v>6.3E-2</v>
      </c>
      <c r="O33">
        <v>5.7000000000000002E-2</v>
      </c>
      <c r="P33">
        <v>5.7000000000000002E-2</v>
      </c>
      <c r="Q33">
        <v>0.17100000000000001</v>
      </c>
      <c r="R33">
        <v>6.3</v>
      </c>
      <c r="W33">
        <v>33073000</v>
      </c>
      <c r="X33">
        <v>0</v>
      </c>
    </row>
    <row r="34" spans="8:24" ht="15.75" thickBot="1" x14ac:dyDescent="0.3">
      <c r="H34">
        <v>33021010</v>
      </c>
      <c r="I34" t="s">
        <v>97</v>
      </c>
      <c r="J34">
        <v>2</v>
      </c>
      <c r="K34">
        <v>7</v>
      </c>
      <c r="L34">
        <v>7</v>
      </c>
      <c r="M34" s="8">
        <f>LOOKUP(H34,$W$4:$W$192,Séparer!$X$4:$X$192)</f>
        <v>0</v>
      </c>
      <c r="N34">
        <v>0.113</v>
      </c>
      <c r="O34">
        <v>0.10200000000000001</v>
      </c>
      <c r="P34">
        <v>0.14000000000000001</v>
      </c>
      <c r="Q34">
        <v>0.48499999999999999</v>
      </c>
      <c r="R34">
        <v>17.240000000000002</v>
      </c>
      <c r="W34">
        <v>33074900</v>
      </c>
      <c r="X34">
        <v>0</v>
      </c>
    </row>
    <row r="35" spans="8:24" ht="15.75" thickBot="1" x14ac:dyDescent="0.3">
      <c r="H35">
        <v>33030010</v>
      </c>
      <c r="I35" t="s">
        <v>17</v>
      </c>
      <c r="J35">
        <v>1</v>
      </c>
      <c r="K35">
        <v>2</v>
      </c>
      <c r="L35">
        <v>2</v>
      </c>
      <c r="M35" s="8">
        <f>LOOKUP(H35,$W$4:$W$192,Séparer!$X$4:$X$192)</f>
        <v>0</v>
      </c>
      <c r="N35">
        <v>2.4239999999999999</v>
      </c>
      <c r="O35">
        <v>2.1819999999999999</v>
      </c>
      <c r="P35">
        <v>4</v>
      </c>
      <c r="Q35">
        <v>8</v>
      </c>
      <c r="R35">
        <v>3.66</v>
      </c>
      <c r="W35">
        <v>33079000</v>
      </c>
      <c r="X35">
        <v>0</v>
      </c>
    </row>
    <row r="36" spans="8:24" ht="15.75" thickBot="1" x14ac:dyDescent="0.3">
      <c r="H36">
        <v>33030090</v>
      </c>
      <c r="I36" t="s">
        <v>97</v>
      </c>
      <c r="J36">
        <v>6</v>
      </c>
      <c r="K36">
        <v>1</v>
      </c>
      <c r="L36">
        <v>6</v>
      </c>
      <c r="M36" s="8">
        <f>LOOKUP(H36,$W$4:$W$192,Séparer!$X$4:$X$192)</f>
        <v>0</v>
      </c>
      <c r="N36">
        <v>1.278</v>
      </c>
      <c r="O36">
        <v>1.1499999999999999</v>
      </c>
      <c r="P36">
        <v>0.504</v>
      </c>
      <c r="Q36">
        <v>3.024</v>
      </c>
      <c r="R36">
        <v>17.760000000000002</v>
      </c>
      <c r="W36">
        <v>34011900</v>
      </c>
      <c r="X36">
        <v>0</v>
      </c>
    </row>
    <row r="37" spans="8:24" ht="15.75" thickBot="1" x14ac:dyDescent="0.3">
      <c r="H37">
        <v>33043000</v>
      </c>
      <c r="I37" t="s">
        <v>137</v>
      </c>
      <c r="J37">
        <v>1</v>
      </c>
      <c r="K37">
        <v>5</v>
      </c>
      <c r="L37">
        <v>5</v>
      </c>
      <c r="M37" s="8">
        <f>LOOKUP(H37,$W$4:$W$192,Séparer!$X$4:$X$192)</f>
        <v>0</v>
      </c>
      <c r="N37">
        <v>1.335</v>
      </c>
      <c r="O37">
        <v>1.202</v>
      </c>
      <c r="P37">
        <v>0.50700000000000001</v>
      </c>
      <c r="Q37">
        <v>2.5350000000000001</v>
      </c>
      <c r="R37">
        <v>3.45</v>
      </c>
      <c r="W37">
        <v>34013000</v>
      </c>
      <c r="X37">
        <v>0</v>
      </c>
    </row>
    <row r="38" spans="8:24" ht="15.75" thickBot="1" x14ac:dyDescent="0.3">
      <c r="H38">
        <v>33049900</v>
      </c>
      <c r="I38" t="s">
        <v>97</v>
      </c>
      <c r="J38">
        <v>3</v>
      </c>
      <c r="K38">
        <v>9</v>
      </c>
      <c r="L38">
        <v>9</v>
      </c>
      <c r="M38" s="8">
        <f>LOOKUP(H38,$W$4:$W$192,Séparer!$X$4:$X$192)</f>
        <v>0</v>
      </c>
      <c r="N38">
        <v>3.6870000000000003</v>
      </c>
      <c r="O38">
        <v>3.3180000000000001</v>
      </c>
      <c r="P38">
        <v>2.996</v>
      </c>
      <c r="Q38">
        <v>6.8199999999999994</v>
      </c>
      <c r="R38">
        <v>20.91</v>
      </c>
      <c r="W38">
        <v>34025090</v>
      </c>
      <c r="X38">
        <v>0</v>
      </c>
    </row>
    <row r="39" spans="8:24" ht="15.75" thickBot="1" x14ac:dyDescent="0.3">
      <c r="H39">
        <v>33049900</v>
      </c>
      <c r="I39" t="s">
        <v>137</v>
      </c>
      <c r="J39">
        <v>1</v>
      </c>
      <c r="K39">
        <v>4</v>
      </c>
      <c r="L39">
        <v>4</v>
      </c>
      <c r="M39" s="8">
        <f>LOOKUP(H39,$W$4:$W$192,Séparer!$X$4:$X$192)</f>
        <v>0</v>
      </c>
      <c r="N39">
        <v>0.53200000000000003</v>
      </c>
      <c r="O39">
        <v>0.47899999999999998</v>
      </c>
      <c r="P39">
        <v>0.26</v>
      </c>
      <c r="Q39">
        <v>1.04</v>
      </c>
      <c r="R39">
        <v>2.64</v>
      </c>
      <c r="W39">
        <v>34060000</v>
      </c>
      <c r="X39">
        <v>0</v>
      </c>
    </row>
    <row r="40" spans="8:24" ht="15.75" thickBot="1" x14ac:dyDescent="0.3">
      <c r="H40">
        <v>33049900</v>
      </c>
      <c r="I40" t="s">
        <v>54</v>
      </c>
      <c r="J40">
        <v>10</v>
      </c>
      <c r="K40">
        <v>1</v>
      </c>
      <c r="L40">
        <v>10</v>
      </c>
      <c r="M40" s="8">
        <f>LOOKUP(H40,$W$4:$W$192,Séparer!$X$4:$X$192)</f>
        <v>0</v>
      </c>
      <c r="N40">
        <v>0.36</v>
      </c>
      <c r="O40">
        <v>0.32400000000000001</v>
      </c>
      <c r="P40">
        <v>6.4000000000000001E-2</v>
      </c>
      <c r="Q40">
        <v>0.64</v>
      </c>
      <c r="R40">
        <v>4.3</v>
      </c>
      <c r="W40">
        <v>38249996</v>
      </c>
      <c r="X40">
        <v>0</v>
      </c>
    </row>
    <row r="41" spans="8:24" ht="15.75" thickBot="1" x14ac:dyDescent="0.3">
      <c r="H41">
        <v>33049900</v>
      </c>
      <c r="I41" t="s">
        <v>17</v>
      </c>
      <c r="J41">
        <v>4</v>
      </c>
      <c r="K41">
        <v>200</v>
      </c>
      <c r="L41">
        <v>200</v>
      </c>
      <c r="M41" s="8">
        <f>LOOKUP(H41,$W$4:$W$192,Séparer!$X$4:$X$192)</f>
        <v>0</v>
      </c>
      <c r="N41">
        <v>27.84</v>
      </c>
      <c r="O41">
        <v>25.055999999999997</v>
      </c>
      <c r="P41">
        <v>0.69199999999999995</v>
      </c>
      <c r="Q41">
        <v>34.76</v>
      </c>
      <c r="R41">
        <v>192</v>
      </c>
      <c r="W41">
        <v>39232100</v>
      </c>
      <c r="X41">
        <v>0</v>
      </c>
    </row>
    <row r="42" spans="8:24" ht="15.75" thickBot="1" x14ac:dyDescent="0.3">
      <c r="H42">
        <v>33051000</v>
      </c>
      <c r="I42" t="s">
        <v>97</v>
      </c>
      <c r="J42">
        <v>2</v>
      </c>
      <c r="K42">
        <v>4</v>
      </c>
      <c r="L42">
        <v>4</v>
      </c>
      <c r="M42" s="8">
        <f>LOOKUP(H42,$W$4:$W$192,Séparer!$X$4:$X$192)</f>
        <v>0</v>
      </c>
      <c r="N42">
        <v>4.6579999999999995</v>
      </c>
      <c r="O42">
        <v>4.1920000000000002</v>
      </c>
      <c r="P42">
        <v>4.3550000000000004</v>
      </c>
      <c r="Q42">
        <v>8.7100000000000009</v>
      </c>
      <c r="R42">
        <v>7.9</v>
      </c>
      <c r="W42">
        <v>39233010</v>
      </c>
      <c r="X42" t="s">
        <v>683</v>
      </c>
    </row>
    <row r="43" spans="8:24" ht="15.75" thickBot="1" x14ac:dyDescent="0.3">
      <c r="H43">
        <v>33059000</v>
      </c>
      <c r="I43" t="s">
        <v>97</v>
      </c>
      <c r="J43">
        <v>1</v>
      </c>
      <c r="K43">
        <v>2</v>
      </c>
      <c r="L43">
        <v>2</v>
      </c>
      <c r="M43" s="8">
        <f>LOOKUP(H43,$W$4:$W$192,Séparer!$X$4:$X$192)</f>
        <v>0</v>
      </c>
      <c r="N43">
        <v>1.1359999999999999</v>
      </c>
      <c r="O43">
        <v>1.022</v>
      </c>
      <c r="P43">
        <v>0.96</v>
      </c>
      <c r="Q43">
        <v>1.92</v>
      </c>
      <c r="R43">
        <v>4.6399999999999997</v>
      </c>
      <c r="W43">
        <v>39241000</v>
      </c>
      <c r="X43">
        <v>0</v>
      </c>
    </row>
    <row r="44" spans="8:24" ht="15.75" thickBot="1" x14ac:dyDescent="0.3">
      <c r="H44">
        <v>33073000</v>
      </c>
      <c r="I44" t="s">
        <v>17</v>
      </c>
      <c r="J44">
        <v>12</v>
      </c>
      <c r="K44">
        <v>2</v>
      </c>
      <c r="L44">
        <v>12</v>
      </c>
      <c r="M44" s="8">
        <f>LOOKUP(H44,$W$4:$W$192,Séparer!$X$4:$X$192)</f>
        <v>0</v>
      </c>
      <c r="N44">
        <v>0.24</v>
      </c>
      <c r="O44">
        <v>0.216</v>
      </c>
      <c r="P44">
        <v>3.5</v>
      </c>
      <c r="Q44">
        <v>21</v>
      </c>
      <c r="R44">
        <v>79.8</v>
      </c>
      <c r="W44">
        <v>39249000</v>
      </c>
      <c r="X44">
        <v>0</v>
      </c>
    </row>
    <row r="45" spans="8:24" ht="15.75" thickBot="1" x14ac:dyDescent="0.3">
      <c r="H45">
        <v>33074900</v>
      </c>
      <c r="I45" t="s">
        <v>17</v>
      </c>
      <c r="J45">
        <v>2</v>
      </c>
      <c r="K45">
        <v>5</v>
      </c>
      <c r="L45">
        <v>5</v>
      </c>
      <c r="M45" s="8">
        <f>LOOKUP(H45,$W$4:$W$192,Séparer!$X$4:$X$192)</f>
        <v>0</v>
      </c>
      <c r="N45">
        <v>1.24</v>
      </c>
      <c r="O45">
        <v>1.1160000000000001</v>
      </c>
      <c r="P45">
        <v>4.9770000000000003</v>
      </c>
      <c r="Q45">
        <v>7.8119999999999994</v>
      </c>
      <c r="R45">
        <v>9.629999999999999</v>
      </c>
      <c r="W45">
        <v>39261000</v>
      </c>
      <c r="X45">
        <v>0</v>
      </c>
    </row>
    <row r="46" spans="8:24" ht="15.75" thickBot="1" x14ac:dyDescent="0.3">
      <c r="H46">
        <v>33079000</v>
      </c>
      <c r="I46" t="s">
        <v>97</v>
      </c>
      <c r="J46">
        <v>2</v>
      </c>
      <c r="K46">
        <v>6</v>
      </c>
      <c r="L46">
        <v>6</v>
      </c>
      <c r="M46" s="8">
        <f>LOOKUP(H46,$W$4:$W$192,Séparer!$X$4:$X$192)</f>
        <v>0</v>
      </c>
      <c r="N46">
        <v>1.46</v>
      </c>
      <c r="O46">
        <v>1.3140000000000001</v>
      </c>
      <c r="P46">
        <v>0.876</v>
      </c>
      <c r="Q46">
        <v>2.6739999999999999</v>
      </c>
      <c r="R46">
        <v>23.08</v>
      </c>
      <c r="W46">
        <v>39262000</v>
      </c>
      <c r="X46">
        <v>0</v>
      </c>
    </row>
    <row r="47" spans="8:24" ht="15.75" thickBot="1" x14ac:dyDescent="0.3">
      <c r="H47">
        <v>34011900</v>
      </c>
      <c r="I47" t="s">
        <v>423</v>
      </c>
      <c r="J47">
        <v>1</v>
      </c>
      <c r="K47">
        <v>2</v>
      </c>
      <c r="L47">
        <v>2</v>
      </c>
      <c r="M47" s="8">
        <f>LOOKUP(H47,$W$4:$W$192,Séparer!$X$4:$X$192)</f>
        <v>0</v>
      </c>
      <c r="N47">
        <v>2.306</v>
      </c>
      <c r="O47">
        <v>2.0750000000000002</v>
      </c>
      <c r="P47">
        <v>4.3330000000000002</v>
      </c>
      <c r="Q47">
        <v>8.6660000000000004</v>
      </c>
      <c r="R47">
        <v>20.04</v>
      </c>
      <c r="W47">
        <v>39264000</v>
      </c>
      <c r="X47">
        <v>0</v>
      </c>
    </row>
    <row r="48" spans="8:24" ht="15.75" thickBot="1" x14ac:dyDescent="0.3">
      <c r="H48">
        <v>34013000</v>
      </c>
      <c r="I48" t="s">
        <v>97</v>
      </c>
      <c r="J48">
        <v>1</v>
      </c>
      <c r="K48">
        <v>2</v>
      </c>
      <c r="L48">
        <v>2</v>
      </c>
      <c r="M48" s="8">
        <f>LOOKUP(H48,$W$4:$W$192,Séparer!$X$4:$X$192)</f>
        <v>0</v>
      </c>
      <c r="N48">
        <v>2.36</v>
      </c>
      <c r="O48">
        <v>2.1240000000000001</v>
      </c>
      <c r="P48">
        <v>2.08</v>
      </c>
      <c r="Q48">
        <v>4.16</v>
      </c>
      <c r="R48">
        <v>3.96</v>
      </c>
      <c r="W48">
        <v>39269097</v>
      </c>
      <c r="X48">
        <v>0</v>
      </c>
    </row>
    <row r="49" spans="8:24" ht="15.75" thickBot="1" x14ac:dyDescent="0.3">
      <c r="H49">
        <v>34013000</v>
      </c>
      <c r="I49" t="s">
        <v>137</v>
      </c>
      <c r="J49">
        <v>1</v>
      </c>
      <c r="K49">
        <v>3</v>
      </c>
      <c r="L49">
        <v>3</v>
      </c>
      <c r="M49" s="8">
        <f>LOOKUP(H49,$W$4:$W$192,Séparer!$X$4:$X$192)</f>
        <v>0</v>
      </c>
      <c r="N49">
        <v>1.764</v>
      </c>
      <c r="O49">
        <v>1.587</v>
      </c>
      <c r="P49">
        <v>1.155</v>
      </c>
      <c r="Q49">
        <v>3.4649999999999999</v>
      </c>
      <c r="R49">
        <v>2.5499999999999998</v>
      </c>
      <c r="W49">
        <v>40169200</v>
      </c>
      <c r="X49">
        <v>0</v>
      </c>
    </row>
    <row r="50" spans="8:24" ht="15.75" thickBot="1" x14ac:dyDescent="0.3">
      <c r="H50">
        <v>34025090</v>
      </c>
      <c r="I50" t="s">
        <v>97</v>
      </c>
      <c r="J50">
        <v>19</v>
      </c>
      <c r="K50">
        <v>5</v>
      </c>
      <c r="L50">
        <v>20</v>
      </c>
      <c r="M50" s="8">
        <f>LOOKUP(H50,$W$4:$W$192,Séparer!$X$4:$X$192)</f>
        <v>0</v>
      </c>
      <c r="N50">
        <v>19.738</v>
      </c>
      <c r="O50">
        <v>17.764000000000003</v>
      </c>
      <c r="P50">
        <v>10.35</v>
      </c>
      <c r="Q50">
        <v>49.927999999999997</v>
      </c>
      <c r="R50">
        <v>31.380000000000003</v>
      </c>
      <c r="W50">
        <v>42010000</v>
      </c>
      <c r="X50">
        <v>0</v>
      </c>
    </row>
    <row r="51" spans="8:24" ht="15.75" thickBot="1" x14ac:dyDescent="0.3">
      <c r="H51">
        <v>34025090</v>
      </c>
      <c r="I51" t="s">
        <v>206</v>
      </c>
      <c r="J51">
        <v>10</v>
      </c>
      <c r="K51">
        <v>1</v>
      </c>
      <c r="L51">
        <v>10</v>
      </c>
      <c r="M51" s="8">
        <f>LOOKUP(H51,$W$4:$W$192,Séparer!$X$4:$X$192)</f>
        <v>0</v>
      </c>
      <c r="N51">
        <v>0.86</v>
      </c>
      <c r="O51">
        <v>0.77400000000000002</v>
      </c>
      <c r="P51">
        <v>1.2</v>
      </c>
      <c r="Q51">
        <v>12</v>
      </c>
      <c r="R51">
        <v>18.3</v>
      </c>
      <c r="W51">
        <v>42022100</v>
      </c>
      <c r="X51" t="s">
        <v>685</v>
      </c>
    </row>
    <row r="52" spans="8:24" ht="15.75" thickBot="1" x14ac:dyDescent="0.3">
      <c r="H52">
        <v>34025090</v>
      </c>
      <c r="I52" t="s">
        <v>203</v>
      </c>
      <c r="J52">
        <v>24</v>
      </c>
      <c r="K52">
        <v>2</v>
      </c>
      <c r="L52">
        <v>24</v>
      </c>
      <c r="M52" s="8">
        <f>LOOKUP(H52,$W$4:$W$192,Séparer!$X$4:$X$192)</f>
        <v>0</v>
      </c>
      <c r="N52">
        <v>21.996000000000002</v>
      </c>
      <c r="O52">
        <v>19.795999999999999</v>
      </c>
      <c r="P52">
        <v>4.5999999999999996</v>
      </c>
      <c r="Q52">
        <v>55.2</v>
      </c>
      <c r="R52">
        <v>31.2</v>
      </c>
      <c r="W52">
        <v>44013100</v>
      </c>
      <c r="X52">
        <v>0</v>
      </c>
    </row>
    <row r="53" spans="8:24" ht="15.75" thickBot="1" x14ac:dyDescent="0.3">
      <c r="H53">
        <v>34060000</v>
      </c>
      <c r="I53" t="s">
        <v>200</v>
      </c>
      <c r="J53">
        <v>13</v>
      </c>
      <c r="K53">
        <v>11</v>
      </c>
      <c r="L53">
        <v>20</v>
      </c>
      <c r="M53" s="8">
        <f>LOOKUP(H53,$W$4:$W$192,Séparer!$X$4:$X$192)</f>
        <v>0</v>
      </c>
      <c r="N53">
        <v>18.060000000000002</v>
      </c>
      <c r="O53">
        <v>16.255000000000003</v>
      </c>
      <c r="P53">
        <v>7.9490000000000007</v>
      </c>
      <c r="Q53">
        <v>49.433999999999997</v>
      </c>
      <c r="R53">
        <v>52.78</v>
      </c>
      <c r="W53">
        <v>44191900</v>
      </c>
      <c r="X53">
        <v>0</v>
      </c>
    </row>
    <row r="54" spans="8:24" ht="15.75" thickBot="1" x14ac:dyDescent="0.3">
      <c r="H54">
        <v>34060000</v>
      </c>
      <c r="I54" t="s">
        <v>99</v>
      </c>
      <c r="J54">
        <v>2</v>
      </c>
      <c r="K54">
        <v>3</v>
      </c>
      <c r="L54">
        <v>6</v>
      </c>
      <c r="M54" s="8">
        <f>LOOKUP(H54,$W$4:$W$192,Séparer!$X$4:$X$192)</f>
        <v>0</v>
      </c>
      <c r="N54">
        <v>6.423</v>
      </c>
      <c r="O54">
        <v>5.7810000000000006</v>
      </c>
      <c r="P54">
        <v>4.7320000000000002</v>
      </c>
      <c r="Q54">
        <v>14.196</v>
      </c>
      <c r="R54">
        <v>30.25</v>
      </c>
      <c r="W54">
        <v>44209010</v>
      </c>
      <c r="X54" t="s">
        <v>686</v>
      </c>
    </row>
    <row r="55" spans="8:24" ht="15.75" thickBot="1" x14ac:dyDescent="0.3">
      <c r="H55">
        <v>34060000</v>
      </c>
      <c r="I55" t="s">
        <v>17</v>
      </c>
      <c r="J55">
        <v>1</v>
      </c>
      <c r="K55">
        <v>3</v>
      </c>
      <c r="L55">
        <v>3</v>
      </c>
      <c r="M55" s="8">
        <f>LOOKUP(H55,$W$4:$W$192,Séparer!$X$4:$X$192)</f>
        <v>0</v>
      </c>
      <c r="N55">
        <v>2.3340000000000001</v>
      </c>
      <c r="O55">
        <v>2.101</v>
      </c>
      <c r="P55">
        <v>2.004</v>
      </c>
      <c r="Q55">
        <v>6.0119999999999996</v>
      </c>
      <c r="R55">
        <v>10.65</v>
      </c>
      <c r="W55">
        <v>44211000</v>
      </c>
      <c r="X55" t="s">
        <v>683</v>
      </c>
    </row>
    <row r="56" spans="8:24" ht="15.75" thickBot="1" x14ac:dyDescent="0.3">
      <c r="H56">
        <v>34060000</v>
      </c>
      <c r="I56" t="s">
        <v>206</v>
      </c>
      <c r="J56">
        <v>1</v>
      </c>
      <c r="K56">
        <v>2</v>
      </c>
      <c r="L56">
        <v>2</v>
      </c>
      <c r="M56" s="8">
        <f>LOOKUP(H56,$W$4:$W$192,Séparer!$X$4:$X$192)</f>
        <v>0</v>
      </c>
      <c r="N56">
        <v>1.732</v>
      </c>
      <c r="O56">
        <v>1.5589999999999999</v>
      </c>
      <c r="P56">
        <v>1.41</v>
      </c>
      <c r="Q56">
        <v>2.82</v>
      </c>
      <c r="R56">
        <v>4.8</v>
      </c>
      <c r="W56">
        <v>44219100</v>
      </c>
      <c r="X56">
        <v>0</v>
      </c>
    </row>
    <row r="57" spans="8:24" ht="15.75" thickBot="1" x14ac:dyDescent="0.3">
      <c r="H57">
        <v>38249996</v>
      </c>
      <c r="I57" t="s">
        <v>54</v>
      </c>
      <c r="J57">
        <v>1</v>
      </c>
      <c r="K57">
        <v>8</v>
      </c>
      <c r="L57">
        <v>8</v>
      </c>
      <c r="M57" s="8">
        <f>LOOKUP(H57,$W$4:$W$192,Séparer!$X$4:$X$192)</f>
        <v>0</v>
      </c>
      <c r="N57">
        <v>35.200000000000003</v>
      </c>
      <c r="O57">
        <v>31.68</v>
      </c>
      <c r="P57">
        <v>12</v>
      </c>
      <c r="Q57">
        <v>96</v>
      </c>
      <c r="R57">
        <v>26.8</v>
      </c>
      <c r="W57">
        <v>48030090</v>
      </c>
      <c r="X57">
        <v>0</v>
      </c>
    </row>
    <row r="58" spans="8:24" ht="15.75" thickBot="1" x14ac:dyDescent="0.3">
      <c r="H58">
        <v>39232100</v>
      </c>
      <c r="I58" t="s">
        <v>97</v>
      </c>
      <c r="J58">
        <v>25</v>
      </c>
      <c r="K58">
        <v>3</v>
      </c>
      <c r="L58">
        <v>75</v>
      </c>
      <c r="M58" s="8">
        <f>LOOKUP(H58,$W$4:$W$192,Séparer!$X$4:$X$192)</f>
        <v>0</v>
      </c>
      <c r="N58">
        <v>25.125</v>
      </c>
      <c r="O58">
        <v>22.613</v>
      </c>
      <c r="P58">
        <v>3</v>
      </c>
      <c r="Q58">
        <v>225</v>
      </c>
      <c r="R58">
        <v>91.5</v>
      </c>
      <c r="W58">
        <v>48102200</v>
      </c>
      <c r="X58">
        <v>0</v>
      </c>
    </row>
    <row r="59" spans="8:24" ht="15.75" thickBot="1" x14ac:dyDescent="0.3">
      <c r="H59">
        <v>39233010</v>
      </c>
      <c r="I59" t="s">
        <v>17</v>
      </c>
      <c r="J59">
        <v>1</v>
      </c>
      <c r="K59">
        <v>3</v>
      </c>
      <c r="L59">
        <v>3</v>
      </c>
      <c r="M59" s="8" t="str">
        <f>LOOKUP(H59,$W$4:$W$192,Séparer!$X$4:$X$192)</f>
        <v>NAR</v>
      </c>
      <c r="N59">
        <v>0.22500000000000001</v>
      </c>
      <c r="O59">
        <v>0.20300000000000001</v>
      </c>
      <c r="P59">
        <v>1.127</v>
      </c>
      <c r="Q59">
        <v>3.3809999999999998</v>
      </c>
      <c r="R59">
        <v>3.09</v>
      </c>
      <c r="W59">
        <v>48114900</v>
      </c>
      <c r="X59">
        <v>0</v>
      </c>
    </row>
    <row r="60" spans="8:24" ht="15.75" thickBot="1" x14ac:dyDescent="0.3">
      <c r="H60">
        <v>39241000</v>
      </c>
      <c r="I60" t="s">
        <v>17</v>
      </c>
      <c r="J60">
        <v>42</v>
      </c>
      <c r="K60">
        <v>26</v>
      </c>
      <c r="L60">
        <v>59</v>
      </c>
      <c r="M60" s="8">
        <f>LOOKUP(H60,$W$4:$W$192,Séparer!$X$4:$X$192)</f>
        <v>0</v>
      </c>
      <c r="N60">
        <v>7.5140000000000002</v>
      </c>
      <c r="O60">
        <v>6.7610000000000001</v>
      </c>
      <c r="P60">
        <v>11.768000000000001</v>
      </c>
      <c r="Q60">
        <v>50.216000000000001</v>
      </c>
      <c r="R60">
        <v>81.050000000000011</v>
      </c>
      <c r="W60">
        <v>48119000</v>
      </c>
      <c r="X60">
        <v>0</v>
      </c>
    </row>
    <row r="61" spans="8:24" ht="15.75" thickBot="1" x14ac:dyDescent="0.3">
      <c r="H61">
        <v>39241000</v>
      </c>
      <c r="I61" t="s">
        <v>200</v>
      </c>
      <c r="J61">
        <v>1</v>
      </c>
      <c r="K61">
        <v>3</v>
      </c>
      <c r="L61">
        <v>3</v>
      </c>
      <c r="M61" s="8">
        <f>LOOKUP(H61,$W$4:$W$192,Séparer!$X$4:$X$192)</f>
        <v>0</v>
      </c>
      <c r="N61">
        <v>0.84</v>
      </c>
      <c r="O61">
        <v>0.75600000000000001</v>
      </c>
      <c r="P61">
        <v>3.645</v>
      </c>
      <c r="Q61">
        <v>10.935</v>
      </c>
      <c r="R61">
        <v>11.1</v>
      </c>
      <c r="W61">
        <v>48131000</v>
      </c>
      <c r="X61">
        <v>0</v>
      </c>
    </row>
    <row r="62" spans="8:24" ht="15.75" thickBot="1" x14ac:dyDescent="0.3">
      <c r="H62">
        <v>39249000</v>
      </c>
      <c r="I62" t="s">
        <v>206</v>
      </c>
      <c r="J62">
        <v>1</v>
      </c>
      <c r="K62">
        <v>3</v>
      </c>
      <c r="L62">
        <v>3</v>
      </c>
      <c r="M62" s="8">
        <f>LOOKUP(H62,$W$4:$W$192,Séparer!$X$4:$X$192)</f>
        <v>0</v>
      </c>
      <c r="N62">
        <v>0.75900000000000001</v>
      </c>
      <c r="O62">
        <v>0.68300000000000005</v>
      </c>
      <c r="P62">
        <v>3.5230000000000001</v>
      </c>
      <c r="Q62">
        <v>10.569000000000001</v>
      </c>
      <c r="R62">
        <v>5.37</v>
      </c>
      <c r="W62">
        <v>48171000</v>
      </c>
      <c r="X62">
        <v>0</v>
      </c>
    </row>
    <row r="63" spans="8:24" ht="15.75" thickBot="1" x14ac:dyDescent="0.3">
      <c r="H63">
        <v>39249000</v>
      </c>
      <c r="I63" t="s">
        <v>97</v>
      </c>
      <c r="J63">
        <v>1</v>
      </c>
      <c r="K63">
        <v>2</v>
      </c>
      <c r="L63">
        <v>2</v>
      </c>
      <c r="M63" s="8">
        <f>LOOKUP(H63,$W$4:$W$192,Séparer!$X$4:$X$192)</f>
        <v>0</v>
      </c>
      <c r="N63">
        <v>5.32</v>
      </c>
      <c r="O63">
        <v>4.7880000000000003</v>
      </c>
      <c r="P63">
        <v>71.424000000000007</v>
      </c>
      <c r="Q63">
        <v>142.84800000000001</v>
      </c>
      <c r="R63">
        <v>19.7</v>
      </c>
      <c r="W63">
        <v>48182010</v>
      </c>
      <c r="X63">
        <v>0</v>
      </c>
    </row>
    <row r="64" spans="8:24" ht="15.75" thickBot="1" x14ac:dyDescent="0.3">
      <c r="H64">
        <v>39249000</v>
      </c>
      <c r="I64" t="s">
        <v>17</v>
      </c>
      <c r="J64">
        <v>12</v>
      </c>
      <c r="K64">
        <v>1</v>
      </c>
      <c r="L64">
        <v>12</v>
      </c>
      <c r="M64" s="8">
        <f>LOOKUP(H64,$W$4:$W$192,Séparer!$X$4:$X$192)</f>
        <v>0</v>
      </c>
      <c r="N64">
        <v>0.54</v>
      </c>
      <c r="O64">
        <v>0.48599999999999999</v>
      </c>
      <c r="P64">
        <v>0.73499999999999999</v>
      </c>
      <c r="Q64">
        <v>8.82</v>
      </c>
      <c r="R64">
        <v>11.16</v>
      </c>
      <c r="W64">
        <v>48191000</v>
      </c>
      <c r="X64">
        <v>0</v>
      </c>
    </row>
    <row r="65" spans="8:24" ht="15.75" thickBot="1" x14ac:dyDescent="0.3">
      <c r="H65">
        <v>39261000</v>
      </c>
      <c r="I65" t="s">
        <v>203</v>
      </c>
      <c r="J65">
        <v>1</v>
      </c>
      <c r="K65">
        <v>3</v>
      </c>
      <c r="L65">
        <v>3</v>
      </c>
      <c r="M65" s="8">
        <f>LOOKUP(H65,$W$4:$W$192,Séparer!$X$4:$X$192)</f>
        <v>0</v>
      </c>
      <c r="N65">
        <v>0.27300000000000002</v>
      </c>
      <c r="O65">
        <v>0.246</v>
      </c>
      <c r="P65">
        <v>1</v>
      </c>
      <c r="Q65">
        <v>3</v>
      </c>
      <c r="R65">
        <v>2.67</v>
      </c>
      <c r="W65">
        <v>48201030</v>
      </c>
      <c r="X65">
        <v>0</v>
      </c>
    </row>
    <row r="66" spans="8:24" ht="15.75" thickBot="1" x14ac:dyDescent="0.3">
      <c r="H66">
        <v>39262000</v>
      </c>
      <c r="I66" t="s">
        <v>17</v>
      </c>
      <c r="J66">
        <v>12</v>
      </c>
      <c r="K66">
        <v>7</v>
      </c>
      <c r="L66">
        <v>14</v>
      </c>
      <c r="M66" s="8">
        <f>LOOKUP(H66,$W$4:$W$192,Séparer!$X$4:$X$192)</f>
        <v>0</v>
      </c>
      <c r="N66">
        <v>0.81799999999999995</v>
      </c>
      <c r="O66">
        <v>0.7370000000000001</v>
      </c>
      <c r="P66">
        <v>1.4419999999999999</v>
      </c>
      <c r="Q66">
        <v>2.9039999999999999</v>
      </c>
      <c r="R66">
        <v>12.799999999999999</v>
      </c>
      <c r="W66">
        <v>48211010</v>
      </c>
      <c r="X66">
        <v>0</v>
      </c>
    </row>
    <row r="67" spans="8:24" ht="15.75" thickBot="1" x14ac:dyDescent="0.3">
      <c r="H67">
        <v>39264000</v>
      </c>
      <c r="I67" t="s">
        <v>17</v>
      </c>
      <c r="J67">
        <v>25</v>
      </c>
      <c r="K67">
        <v>15</v>
      </c>
      <c r="L67">
        <v>39</v>
      </c>
      <c r="M67" s="8">
        <f>LOOKUP(H67,$W$4:$W$192,Séparer!$X$4:$X$192)</f>
        <v>0</v>
      </c>
      <c r="N67">
        <v>49.94</v>
      </c>
      <c r="O67">
        <v>44.945999999999998</v>
      </c>
      <c r="P67">
        <v>123.39100000000002</v>
      </c>
      <c r="Q67">
        <v>413.06200000000001</v>
      </c>
      <c r="R67">
        <v>397.61</v>
      </c>
      <c r="W67">
        <v>48219010</v>
      </c>
      <c r="X67">
        <v>0</v>
      </c>
    </row>
    <row r="68" spans="8:24" ht="15.75" thickBot="1" x14ac:dyDescent="0.3">
      <c r="H68">
        <v>39269097</v>
      </c>
      <c r="I68" t="s">
        <v>137</v>
      </c>
      <c r="J68">
        <v>12</v>
      </c>
      <c r="K68">
        <v>1</v>
      </c>
      <c r="L68">
        <v>12</v>
      </c>
      <c r="M68" s="8">
        <f>LOOKUP(H68,$W$4:$W$192,Séparer!$X$4:$X$192)</f>
        <v>0</v>
      </c>
      <c r="N68">
        <v>0.9</v>
      </c>
      <c r="O68">
        <v>0.81</v>
      </c>
      <c r="P68">
        <v>0.5</v>
      </c>
      <c r="Q68">
        <v>6</v>
      </c>
      <c r="R68">
        <v>6.48</v>
      </c>
      <c r="W68">
        <v>48236910</v>
      </c>
      <c r="X68">
        <v>0</v>
      </c>
    </row>
    <row r="69" spans="8:24" ht="15.75" thickBot="1" x14ac:dyDescent="0.3">
      <c r="H69">
        <v>39269097</v>
      </c>
      <c r="I69" t="s">
        <v>17</v>
      </c>
      <c r="J69">
        <v>2</v>
      </c>
      <c r="K69">
        <v>4</v>
      </c>
      <c r="L69">
        <v>4</v>
      </c>
      <c r="M69" s="8">
        <f>LOOKUP(H69,$W$4:$W$192,Séparer!$X$4:$X$192)</f>
        <v>0</v>
      </c>
      <c r="N69">
        <v>1.006</v>
      </c>
      <c r="O69">
        <v>0.90500000000000003</v>
      </c>
      <c r="P69">
        <v>8.0750000000000011</v>
      </c>
      <c r="Q69">
        <v>16.150000000000002</v>
      </c>
      <c r="R69">
        <v>12.14</v>
      </c>
      <c r="W69">
        <v>55032000</v>
      </c>
      <c r="X69">
        <v>0</v>
      </c>
    </row>
    <row r="70" spans="8:24" ht="15.75" thickBot="1" x14ac:dyDescent="0.3">
      <c r="H70">
        <v>39269097</v>
      </c>
      <c r="I70" t="s">
        <v>206</v>
      </c>
      <c r="J70">
        <v>1</v>
      </c>
      <c r="K70">
        <v>4</v>
      </c>
      <c r="L70">
        <v>4</v>
      </c>
      <c r="M70" s="8">
        <f>LOOKUP(H70,$W$4:$W$192,Séparer!$X$4:$X$192)</f>
        <v>0</v>
      </c>
      <c r="N70">
        <v>60</v>
      </c>
      <c r="O70">
        <v>54</v>
      </c>
      <c r="P70">
        <v>54.74</v>
      </c>
      <c r="Q70">
        <v>218.96</v>
      </c>
      <c r="R70">
        <v>91.68</v>
      </c>
      <c r="W70">
        <v>55111000</v>
      </c>
      <c r="X70">
        <v>0</v>
      </c>
    </row>
    <row r="71" spans="8:24" ht="15.75" thickBot="1" x14ac:dyDescent="0.3">
      <c r="H71">
        <v>39269097</v>
      </c>
      <c r="I71" t="s">
        <v>97</v>
      </c>
      <c r="J71">
        <v>1</v>
      </c>
      <c r="K71">
        <v>2</v>
      </c>
      <c r="L71">
        <v>2</v>
      </c>
      <c r="M71" s="8">
        <f>LOOKUP(H71,$W$4:$W$192,Séparer!$X$4:$X$192)</f>
        <v>0</v>
      </c>
      <c r="N71">
        <v>4.1280000000000001</v>
      </c>
      <c r="O71">
        <v>3.7149999999999999</v>
      </c>
      <c r="P71">
        <v>38.4</v>
      </c>
      <c r="Q71">
        <v>76.8</v>
      </c>
      <c r="R71">
        <v>11.34</v>
      </c>
      <c r="W71">
        <v>56012290</v>
      </c>
      <c r="X71">
        <v>0</v>
      </c>
    </row>
    <row r="72" spans="8:24" ht="15.75" thickBot="1" x14ac:dyDescent="0.3">
      <c r="H72">
        <v>40169200</v>
      </c>
      <c r="I72" t="s">
        <v>17</v>
      </c>
      <c r="J72">
        <v>24</v>
      </c>
      <c r="K72">
        <v>2</v>
      </c>
      <c r="L72">
        <v>24</v>
      </c>
      <c r="M72" s="8">
        <f>LOOKUP(H72,$W$4:$W$192,Séparer!$X$4:$X$192)</f>
        <v>0</v>
      </c>
      <c r="N72">
        <v>3.8879999999999999</v>
      </c>
      <c r="O72">
        <v>3.5</v>
      </c>
      <c r="P72">
        <v>1.3080000000000001</v>
      </c>
      <c r="Q72">
        <v>15.696</v>
      </c>
      <c r="R72">
        <v>32.4</v>
      </c>
      <c r="W72">
        <v>56060010</v>
      </c>
      <c r="X72">
        <v>0</v>
      </c>
    </row>
    <row r="73" spans="8:24" ht="15.75" thickBot="1" x14ac:dyDescent="0.3">
      <c r="H73">
        <v>42010000</v>
      </c>
      <c r="I73" t="s">
        <v>17</v>
      </c>
      <c r="J73">
        <v>1</v>
      </c>
      <c r="K73">
        <v>2</v>
      </c>
      <c r="L73">
        <v>2</v>
      </c>
      <c r="M73" s="8">
        <f>LOOKUP(H73,$W$4:$W$192,Séparer!$X$4:$X$192)</f>
        <v>0</v>
      </c>
      <c r="N73">
        <v>0.27600000000000002</v>
      </c>
      <c r="O73">
        <v>0.248</v>
      </c>
      <c r="P73">
        <v>0.83</v>
      </c>
      <c r="Q73">
        <v>1.66</v>
      </c>
      <c r="R73">
        <v>3.74</v>
      </c>
      <c r="W73">
        <v>56075011</v>
      </c>
      <c r="X73">
        <v>0</v>
      </c>
    </row>
    <row r="74" spans="8:24" ht="15.75" thickBot="1" x14ac:dyDescent="0.3">
      <c r="H74">
        <v>42022100</v>
      </c>
      <c r="I74" t="s">
        <v>17</v>
      </c>
      <c r="J74">
        <v>12</v>
      </c>
      <c r="K74">
        <v>2</v>
      </c>
      <c r="L74">
        <v>12</v>
      </c>
      <c r="M74" s="8" t="str">
        <f>LOOKUP(H74,$W$4:$W$192,Séparer!$X$4:$X$192)</f>
        <v>Nar</v>
      </c>
      <c r="N74">
        <v>4.08</v>
      </c>
      <c r="O74">
        <v>3.6720000000000002</v>
      </c>
      <c r="P74">
        <v>1.548</v>
      </c>
      <c r="Q74">
        <v>9.2880000000000003</v>
      </c>
      <c r="R74">
        <v>93.12</v>
      </c>
      <c r="W74">
        <v>57049000</v>
      </c>
      <c r="X74" t="s">
        <v>688</v>
      </c>
    </row>
    <row r="75" spans="8:24" ht="15.75" thickBot="1" x14ac:dyDescent="0.3">
      <c r="H75">
        <v>42022100</v>
      </c>
      <c r="I75" t="s">
        <v>69</v>
      </c>
      <c r="J75">
        <v>24</v>
      </c>
      <c r="K75">
        <v>6</v>
      </c>
      <c r="L75">
        <v>24</v>
      </c>
      <c r="M75" s="8" t="str">
        <f>LOOKUP(H75,$W$4:$W$192,Séparer!$X$4:$X$192)</f>
        <v>Nar</v>
      </c>
      <c r="N75">
        <v>10.8</v>
      </c>
      <c r="O75">
        <v>9.7200000000000024</v>
      </c>
      <c r="P75">
        <v>23.231999999999999</v>
      </c>
      <c r="Q75">
        <v>92.927999999999997</v>
      </c>
      <c r="R75">
        <v>383.52000000000004</v>
      </c>
      <c r="W75">
        <v>57050030</v>
      </c>
      <c r="X75" t="s">
        <v>688</v>
      </c>
    </row>
    <row r="76" spans="8:24" ht="15.75" thickBot="1" x14ac:dyDescent="0.3">
      <c r="H76">
        <v>44013100</v>
      </c>
      <c r="I76" t="s">
        <v>448</v>
      </c>
      <c r="J76">
        <v>1</v>
      </c>
      <c r="K76">
        <v>2</v>
      </c>
      <c r="L76">
        <v>2</v>
      </c>
      <c r="M76" s="8">
        <f>LOOKUP(H76,$W$4:$W$192,Séparer!$X$4:$X$192)</f>
        <v>0</v>
      </c>
      <c r="N76">
        <v>13.08</v>
      </c>
      <c r="O76">
        <v>11.772</v>
      </c>
      <c r="P76">
        <v>8</v>
      </c>
      <c r="Q76">
        <v>16</v>
      </c>
      <c r="R76">
        <v>3.06</v>
      </c>
      <c r="W76">
        <v>61031090</v>
      </c>
      <c r="X76" t="s">
        <v>683</v>
      </c>
    </row>
    <row r="77" spans="8:24" ht="15.75" thickBot="1" x14ac:dyDescent="0.3">
      <c r="H77">
        <v>44191900</v>
      </c>
      <c r="I77" t="s">
        <v>17</v>
      </c>
      <c r="J77">
        <v>2</v>
      </c>
      <c r="K77">
        <v>2</v>
      </c>
      <c r="L77">
        <v>2</v>
      </c>
      <c r="M77" s="8">
        <f>LOOKUP(H77,$W$4:$W$192,Séparer!$X$4:$X$192)</f>
        <v>0</v>
      </c>
      <c r="N77">
        <v>1.22</v>
      </c>
      <c r="O77">
        <v>1.099</v>
      </c>
      <c r="P77">
        <v>14.34</v>
      </c>
      <c r="Q77">
        <v>14.34</v>
      </c>
      <c r="R77">
        <v>7.8599999999999994</v>
      </c>
      <c r="W77">
        <v>61032200</v>
      </c>
      <c r="X77" t="s">
        <v>683</v>
      </c>
    </row>
    <row r="78" spans="8:24" ht="15.75" thickBot="1" x14ac:dyDescent="0.3">
      <c r="H78">
        <v>44209010</v>
      </c>
      <c r="I78" t="s">
        <v>17</v>
      </c>
      <c r="J78">
        <v>2</v>
      </c>
      <c r="K78">
        <v>12</v>
      </c>
      <c r="L78">
        <v>12</v>
      </c>
      <c r="M78" s="8" t="str">
        <f>LOOKUP(H78,$W$4:$W$192,Séparer!$X$4:$X$192)</f>
        <v>MTQ</v>
      </c>
      <c r="N78">
        <v>3</v>
      </c>
      <c r="O78">
        <v>2.7</v>
      </c>
      <c r="P78">
        <v>1.87</v>
      </c>
      <c r="Q78">
        <v>11.22</v>
      </c>
      <c r="R78">
        <v>58.56</v>
      </c>
      <c r="W78">
        <v>61032300</v>
      </c>
      <c r="X78" t="s">
        <v>683</v>
      </c>
    </row>
    <row r="79" spans="8:24" ht="15.75" thickBot="1" x14ac:dyDescent="0.3">
      <c r="H79">
        <v>44211000</v>
      </c>
      <c r="I79" t="s">
        <v>17</v>
      </c>
      <c r="J79">
        <v>18</v>
      </c>
      <c r="K79">
        <v>1</v>
      </c>
      <c r="L79">
        <v>18</v>
      </c>
      <c r="M79" s="8" t="str">
        <f>LOOKUP(H79,$W$4:$W$192,Séparer!$X$4:$X$192)</f>
        <v>NAR</v>
      </c>
      <c r="N79">
        <v>9.4860000000000007</v>
      </c>
      <c r="O79">
        <v>8.5370000000000008</v>
      </c>
      <c r="P79">
        <v>3.7440000000000002</v>
      </c>
      <c r="Q79">
        <v>67.391999999999996</v>
      </c>
      <c r="R79">
        <v>35.82</v>
      </c>
      <c r="W79">
        <v>61034900</v>
      </c>
      <c r="X79" t="s">
        <v>683</v>
      </c>
    </row>
    <row r="80" spans="8:24" ht="15.75" thickBot="1" x14ac:dyDescent="0.3">
      <c r="H80">
        <v>44219100</v>
      </c>
      <c r="I80" t="s">
        <v>17</v>
      </c>
      <c r="J80">
        <v>2</v>
      </c>
      <c r="K80">
        <v>3</v>
      </c>
      <c r="L80">
        <v>3</v>
      </c>
      <c r="M80" s="8">
        <f>LOOKUP(H80,$W$4:$W$192,Séparer!$X$4:$X$192)</f>
        <v>0</v>
      </c>
      <c r="N80">
        <v>2.5139999999999998</v>
      </c>
      <c r="O80">
        <v>2.262</v>
      </c>
      <c r="P80">
        <v>10.752000000000001</v>
      </c>
      <c r="Q80">
        <v>16.128</v>
      </c>
      <c r="R80">
        <v>14.46</v>
      </c>
      <c r="W80">
        <v>61042300</v>
      </c>
      <c r="X80" t="s">
        <v>683</v>
      </c>
    </row>
    <row r="81" spans="8:24" ht="15.75" thickBot="1" x14ac:dyDescent="0.3">
      <c r="H81">
        <v>48030090</v>
      </c>
      <c r="I81" t="s">
        <v>51</v>
      </c>
      <c r="J81">
        <v>1</v>
      </c>
      <c r="K81">
        <v>6</v>
      </c>
      <c r="L81">
        <v>6</v>
      </c>
      <c r="M81" s="8">
        <f>LOOKUP(H81,$W$4:$W$192,Séparer!$X$4:$X$192)</f>
        <v>0</v>
      </c>
      <c r="N81">
        <v>0.33</v>
      </c>
      <c r="O81">
        <v>0.29699999999999999</v>
      </c>
      <c r="P81">
        <v>0.54500000000000004</v>
      </c>
      <c r="Q81">
        <v>3.27</v>
      </c>
      <c r="R81">
        <v>3.54</v>
      </c>
      <c r="W81">
        <v>61044300</v>
      </c>
      <c r="X81" t="s">
        <v>683</v>
      </c>
    </row>
    <row r="82" spans="8:24" ht="15.75" thickBot="1" x14ac:dyDescent="0.3">
      <c r="H82">
        <v>48102200</v>
      </c>
      <c r="I82" t="s">
        <v>51</v>
      </c>
      <c r="J82">
        <v>122</v>
      </c>
      <c r="K82">
        <v>4</v>
      </c>
      <c r="L82">
        <v>122</v>
      </c>
      <c r="M82" s="8">
        <f>LOOKUP(H82,$W$4:$W$192,Séparer!$X$4:$X$192)</f>
        <v>0</v>
      </c>
      <c r="N82">
        <v>33.514000000000003</v>
      </c>
      <c r="O82">
        <v>30.164000000000001</v>
      </c>
      <c r="P82">
        <v>8.6739999999999995</v>
      </c>
      <c r="Q82">
        <v>200.03200000000001</v>
      </c>
      <c r="R82">
        <v>96.720000000000013</v>
      </c>
      <c r="W82">
        <v>61046200</v>
      </c>
      <c r="X82" t="s">
        <v>683</v>
      </c>
    </row>
    <row r="83" spans="8:24" ht="15.75" thickBot="1" x14ac:dyDescent="0.3">
      <c r="H83">
        <v>48114900</v>
      </c>
      <c r="I83" t="s">
        <v>51</v>
      </c>
      <c r="J83">
        <v>72</v>
      </c>
      <c r="K83">
        <v>2</v>
      </c>
      <c r="L83">
        <v>72</v>
      </c>
      <c r="M83" s="8">
        <f>LOOKUP(H83,$W$4:$W$192,Séparer!$X$4:$X$192)</f>
        <v>0</v>
      </c>
      <c r="N83">
        <v>7.992</v>
      </c>
      <c r="O83">
        <v>7.1920000000000002</v>
      </c>
      <c r="P83">
        <v>2.64</v>
      </c>
      <c r="Q83">
        <v>95.04</v>
      </c>
      <c r="R83">
        <v>54.72</v>
      </c>
      <c r="W83">
        <v>61046300</v>
      </c>
      <c r="X83" t="s">
        <v>683</v>
      </c>
    </row>
    <row r="84" spans="8:24" ht="15.75" thickBot="1" x14ac:dyDescent="0.3">
      <c r="H84">
        <v>48119000</v>
      </c>
      <c r="I84" t="s">
        <v>17</v>
      </c>
      <c r="J84">
        <v>410</v>
      </c>
      <c r="K84">
        <v>8</v>
      </c>
      <c r="L84">
        <v>410</v>
      </c>
      <c r="M84" s="8">
        <f>LOOKUP(H84,$W$4:$W$192,Séparer!$X$4:$X$192)</f>
        <v>0</v>
      </c>
      <c r="N84">
        <v>47.8</v>
      </c>
      <c r="O84">
        <v>43.02</v>
      </c>
      <c r="P84">
        <v>10.394</v>
      </c>
      <c r="Q84">
        <v>483.98999999999995</v>
      </c>
      <c r="R84">
        <v>209.5</v>
      </c>
      <c r="W84">
        <v>61046900</v>
      </c>
      <c r="X84" t="s">
        <v>683</v>
      </c>
    </row>
    <row r="85" spans="8:24" ht="15.75" thickBot="1" x14ac:dyDescent="0.3">
      <c r="H85">
        <v>48119000</v>
      </c>
      <c r="I85" t="s">
        <v>54</v>
      </c>
      <c r="J85">
        <v>20</v>
      </c>
      <c r="K85">
        <v>2</v>
      </c>
      <c r="L85">
        <v>20</v>
      </c>
      <c r="M85" s="8">
        <f>LOOKUP(H85,$W$4:$W$192,Séparer!$X$4:$X$192)</f>
        <v>0</v>
      </c>
      <c r="N85">
        <v>3.32</v>
      </c>
      <c r="O85">
        <v>2.988</v>
      </c>
      <c r="P85">
        <v>1.2</v>
      </c>
      <c r="Q85">
        <v>12</v>
      </c>
      <c r="R85">
        <v>6</v>
      </c>
      <c r="W85">
        <v>61051000</v>
      </c>
      <c r="X85" t="s">
        <v>683</v>
      </c>
    </row>
    <row r="86" spans="8:24" ht="15.75" thickBot="1" x14ac:dyDescent="0.3">
      <c r="H86">
        <v>48131000</v>
      </c>
      <c r="I86" t="s">
        <v>137</v>
      </c>
      <c r="J86">
        <v>1</v>
      </c>
      <c r="K86">
        <v>8</v>
      </c>
      <c r="L86">
        <v>8</v>
      </c>
      <c r="M86" s="8">
        <f>LOOKUP(H86,$W$4:$W$192,Séparer!$X$4:$X$192)</f>
        <v>0</v>
      </c>
      <c r="N86">
        <v>0.496</v>
      </c>
      <c r="O86">
        <v>0.44600000000000001</v>
      </c>
      <c r="P86">
        <v>0.36199999999999999</v>
      </c>
      <c r="Q86">
        <v>2.8959999999999999</v>
      </c>
      <c r="R86">
        <v>5.6</v>
      </c>
      <c r="W86">
        <v>61071100</v>
      </c>
      <c r="X86" t="s">
        <v>683</v>
      </c>
    </row>
    <row r="87" spans="8:24" ht="15.75" thickBot="1" x14ac:dyDescent="0.3">
      <c r="H87">
        <v>48171000</v>
      </c>
      <c r="I87" t="s">
        <v>17</v>
      </c>
      <c r="J87">
        <v>10</v>
      </c>
      <c r="K87">
        <v>1</v>
      </c>
      <c r="L87">
        <v>10</v>
      </c>
      <c r="M87" s="8">
        <f>LOOKUP(H87,$W$4:$W$192,Séparer!$X$4:$X$192)</f>
        <v>0</v>
      </c>
      <c r="N87">
        <v>2.08</v>
      </c>
      <c r="O87">
        <v>1.8720000000000001</v>
      </c>
      <c r="P87">
        <v>0.63700000000000001</v>
      </c>
      <c r="Q87">
        <v>6.37</v>
      </c>
      <c r="R87">
        <v>9</v>
      </c>
      <c r="W87">
        <v>61082100</v>
      </c>
      <c r="X87" t="s">
        <v>683</v>
      </c>
    </row>
    <row r="88" spans="8:24" ht="15.75" thickBot="1" x14ac:dyDescent="0.3">
      <c r="H88">
        <v>48182010</v>
      </c>
      <c r="I88" t="s">
        <v>203</v>
      </c>
      <c r="J88">
        <v>1</v>
      </c>
      <c r="K88">
        <v>3</v>
      </c>
      <c r="L88">
        <v>3</v>
      </c>
      <c r="M88" s="8">
        <f>LOOKUP(H88,$W$4:$W$192,Séparer!$X$4:$X$192)</f>
        <v>0</v>
      </c>
      <c r="N88">
        <v>0.81</v>
      </c>
      <c r="O88">
        <v>0.72899999999999998</v>
      </c>
      <c r="P88">
        <v>1.8</v>
      </c>
      <c r="Q88">
        <v>5.4</v>
      </c>
      <c r="R88">
        <v>3.03</v>
      </c>
      <c r="W88">
        <v>61082200</v>
      </c>
      <c r="X88" t="s">
        <v>683</v>
      </c>
    </row>
    <row r="89" spans="8:24" ht="15.75" thickBot="1" x14ac:dyDescent="0.3">
      <c r="H89">
        <v>48191000</v>
      </c>
      <c r="I89" t="s">
        <v>97</v>
      </c>
      <c r="J89">
        <v>10</v>
      </c>
      <c r="K89">
        <v>5</v>
      </c>
      <c r="L89">
        <v>50</v>
      </c>
      <c r="M89" s="8">
        <f>LOOKUP(H89,$W$4:$W$192,Séparer!$X$4:$X$192)</f>
        <v>0</v>
      </c>
      <c r="N89">
        <v>10</v>
      </c>
      <c r="O89">
        <v>9</v>
      </c>
      <c r="P89">
        <v>8.5500000000000007</v>
      </c>
      <c r="Q89">
        <v>427.5</v>
      </c>
      <c r="R89">
        <v>129</v>
      </c>
      <c r="W89">
        <v>61089200</v>
      </c>
      <c r="X89" t="s">
        <v>683</v>
      </c>
    </row>
    <row r="90" spans="8:24" ht="15.75" thickBot="1" x14ac:dyDescent="0.3">
      <c r="H90">
        <v>48201030</v>
      </c>
      <c r="I90" t="s">
        <v>200</v>
      </c>
      <c r="J90">
        <v>10</v>
      </c>
      <c r="K90">
        <v>1</v>
      </c>
      <c r="L90">
        <v>10</v>
      </c>
      <c r="M90" s="8">
        <f>LOOKUP(H90,$W$4:$W$192,Séparer!$X$4:$X$192)</f>
        <v>0</v>
      </c>
      <c r="N90">
        <v>4.2</v>
      </c>
      <c r="O90">
        <v>3.78</v>
      </c>
      <c r="P90">
        <v>0.66</v>
      </c>
      <c r="Q90">
        <v>6.6</v>
      </c>
      <c r="R90">
        <v>7.7</v>
      </c>
      <c r="W90">
        <v>61091000</v>
      </c>
      <c r="X90" t="s">
        <v>683</v>
      </c>
    </row>
    <row r="91" spans="8:24" ht="15.75" thickBot="1" x14ac:dyDescent="0.3">
      <c r="H91">
        <v>48211010</v>
      </c>
      <c r="I91" t="s">
        <v>200</v>
      </c>
      <c r="J91">
        <v>1</v>
      </c>
      <c r="K91">
        <v>5</v>
      </c>
      <c r="L91">
        <v>5</v>
      </c>
      <c r="M91" s="8">
        <f>LOOKUP(H91,$W$4:$W$192,Séparer!$X$4:$X$192)</f>
        <v>0</v>
      </c>
      <c r="N91">
        <v>0.15</v>
      </c>
      <c r="O91">
        <v>0.13500000000000001</v>
      </c>
      <c r="P91">
        <v>0.157</v>
      </c>
      <c r="Q91">
        <v>0.78500000000000003</v>
      </c>
      <c r="R91">
        <v>10</v>
      </c>
      <c r="W91">
        <v>61101910</v>
      </c>
      <c r="X91" t="s">
        <v>683</v>
      </c>
    </row>
    <row r="92" spans="8:24" ht="15.75" thickBot="1" x14ac:dyDescent="0.3">
      <c r="H92">
        <v>48219010</v>
      </c>
      <c r="I92" t="s">
        <v>200</v>
      </c>
      <c r="J92">
        <v>1</v>
      </c>
      <c r="K92">
        <v>1</v>
      </c>
      <c r="L92">
        <v>1</v>
      </c>
      <c r="M92" s="8">
        <f>LOOKUP(H92,$W$4:$W$192,Séparer!$X$4:$X$192)</f>
        <v>0</v>
      </c>
      <c r="N92">
        <v>0.01</v>
      </c>
      <c r="O92">
        <v>8.9999999999999993E-3</v>
      </c>
      <c r="P92">
        <v>0.45</v>
      </c>
      <c r="Q92">
        <v>0.45</v>
      </c>
      <c r="R92">
        <v>11.02</v>
      </c>
      <c r="W92">
        <v>61101990</v>
      </c>
      <c r="X92" t="s">
        <v>683</v>
      </c>
    </row>
    <row r="93" spans="8:24" ht="15.75" thickBot="1" x14ac:dyDescent="0.3">
      <c r="H93">
        <v>48236910</v>
      </c>
      <c r="I93" t="s">
        <v>97</v>
      </c>
      <c r="J93">
        <v>1</v>
      </c>
      <c r="K93">
        <v>5</v>
      </c>
      <c r="L93">
        <v>5</v>
      </c>
      <c r="M93" s="8">
        <f>LOOKUP(H93,$W$4:$W$192,Séparer!$X$4:$X$192)</f>
        <v>0</v>
      </c>
      <c r="N93">
        <v>4.9000000000000004</v>
      </c>
      <c r="O93">
        <v>4.41</v>
      </c>
      <c r="P93">
        <v>3.5710000000000002</v>
      </c>
      <c r="Q93">
        <v>17.855</v>
      </c>
      <c r="R93">
        <v>10.1</v>
      </c>
      <c r="W93">
        <v>61102091</v>
      </c>
      <c r="X93" t="s">
        <v>685</v>
      </c>
    </row>
    <row r="94" spans="8:24" ht="15.75" thickBot="1" x14ac:dyDescent="0.3">
      <c r="H94">
        <v>55032000</v>
      </c>
      <c r="I94" t="s">
        <v>97</v>
      </c>
      <c r="J94">
        <v>1</v>
      </c>
      <c r="K94">
        <v>2</v>
      </c>
      <c r="L94">
        <v>2</v>
      </c>
      <c r="M94" s="8">
        <f>LOOKUP(H94,$W$4:$W$192,Séparer!$X$4:$X$192)</f>
        <v>0</v>
      </c>
      <c r="N94">
        <v>3.6659999999999999</v>
      </c>
      <c r="O94">
        <v>3.2989999999999999</v>
      </c>
      <c r="P94">
        <v>20</v>
      </c>
      <c r="Q94">
        <v>40</v>
      </c>
      <c r="R94">
        <v>8.08</v>
      </c>
      <c r="W94">
        <v>61103010</v>
      </c>
      <c r="X94" t="s">
        <v>685</v>
      </c>
    </row>
    <row r="95" spans="8:24" ht="15.75" thickBot="1" x14ac:dyDescent="0.3">
      <c r="H95">
        <v>55111000</v>
      </c>
      <c r="I95" t="s">
        <v>448</v>
      </c>
      <c r="J95">
        <v>10</v>
      </c>
      <c r="K95">
        <v>1</v>
      </c>
      <c r="L95">
        <v>10</v>
      </c>
      <c r="M95" s="8">
        <f>LOOKUP(H95,$W$4:$W$192,Séparer!$X$4:$X$192)</f>
        <v>0</v>
      </c>
      <c r="N95">
        <v>0.59</v>
      </c>
      <c r="O95">
        <v>0.53100000000000003</v>
      </c>
      <c r="P95">
        <v>0.66</v>
      </c>
      <c r="Q95">
        <v>6.6</v>
      </c>
      <c r="R95">
        <v>13.4</v>
      </c>
      <c r="W95">
        <v>61109090</v>
      </c>
      <c r="X95" t="s">
        <v>685</v>
      </c>
    </row>
    <row r="96" spans="8:24" ht="15.75" thickBot="1" x14ac:dyDescent="0.3">
      <c r="H96">
        <v>56012290</v>
      </c>
      <c r="I96" t="s">
        <v>54</v>
      </c>
      <c r="J96">
        <v>21</v>
      </c>
      <c r="K96">
        <v>1</v>
      </c>
      <c r="L96">
        <v>21</v>
      </c>
      <c r="M96" s="8">
        <f>LOOKUP(H96,$W$4:$W$192,Séparer!$X$4:$X$192)</f>
        <v>0</v>
      </c>
      <c r="N96">
        <v>0.92400000000000004</v>
      </c>
      <c r="O96">
        <v>0.83199999999999996</v>
      </c>
      <c r="P96">
        <v>0.84299999999999997</v>
      </c>
      <c r="Q96">
        <v>17.702999999999999</v>
      </c>
      <c r="R96">
        <v>8.19</v>
      </c>
      <c r="W96">
        <v>61142000</v>
      </c>
      <c r="X96">
        <v>0</v>
      </c>
    </row>
    <row r="97" spans="8:24" ht="15.75" thickBot="1" x14ac:dyDescent="0.3">
      <c r="H97">
        <v>56012290</v>
      </c>
      <c r="I97" t="s">
        <v>97</v>
      </c>
      <c r="J97">
        <v>24</v>
      </c>
      <c r="K97">
        <v>1</v>
      </c>
      <c r="L97">
        <v>24</v>
      </c>
      <c r="M97" s="8">
        <f>LOOKUP(H97,$W$4:$W$192,Séparer!$X$4:$X$192)</f>
        <v>0</v>
      </c>
      <c r="N97">
        <v>2.04</v>
      </c>
      <c r="O97">
        <v>1.8360000000000001</v>
      </c>
      <c r="P97">
        <v>0.59499999999999997</v>
      </c>
      <c r="Q97">
        <v>14.28</v>
      </c>
      <c r="R97">
        <v>7.2</v>
      </c>
      <c r="W97">
        <v>61152100</v>
      </c>
      <c r="X97" t="s">
        <v>685</v>
      </c>
    </row>
    <row r="98" spans="8:24" ht="15.75" thickBot="1" x14ac:dyDescent="0.3">
      <c r="H98">
        <v>56060010</v>
      </c>
      <c r="I98" t="s">
        <v>17</v>
      </c>
      <c r="J98">
        <v>12</v>
      </c>
      <c r="K98">
        <v>15</v>
      </c>
      <c r="L98">
        <v>42</v>
      </c>
      <c r="M98" s="8">
        <f>LOOKUP(H98,$W$4:$W$192,Séparer!$X$4:$X$192)</f>
        <v>0</v>
      </c>
      <c r="N98">
        <v>2.452</v>
      </c>
      <c r="O98">
        <v>2.2069999999999999</v>
      </c>
      <c r="P98">
        <v>2.0379999999999998</v>
      </c>
      <c r="Q98">
        <v>28.984000000000002</v>
      </c>
      <c r="R98">
        <v>56.28</v>
      </c>
      <c r="W98">
        <v>61152200</v>
      </c>
      <c r="X98" t="s">
        <v>685</v>
      </c>
    </row>
    <row r="99" spans="8:24" ht="15.75" thickBot="1" x14ac:dyDescent="0.3">
      <c r="H99">
        <v>56075011</v>
      </c>
      <c r="I99" t="s">
        <v>17</v>
      </c>
      <c r="J99">
        <v>1</v>
      </c>
      <c r="K99">
        <v>3</v>
      </c>
      <c r="L99">
        <v>3</v>
      </c>
      <c r="M99" s="8">
        <f>LOOKUP(H99,$W$4:$W$192,Séparer!$X$4:$X$192)</f>
        <v>0</v>
      </c>
      <c r="N99">
        <v>0.51</v>
      </c>
      <c r="O99">
        <v>0.45900000000000002</v>
      </c>
      <c r="P99">
        <v>1.127</v>
      </c>
      <c r="Q99">
        <v>3.3809999999999998</v>
      </c>
      <c r="R99">
        <v>4.41</v>
      </c>
      <c r="W99">
        <v>61152900</v>
      </c>
      <c r="X99" t="s">
        <v>685</v>
      </c>
    </row>
    <row r="100" spans="8:24" ht="15.75" thickBot="1" x14ac:dyDescent="0.3">
      <c r="H100">
        <v>57049000</v>
      </c>
      <c r="I100" t="s">
        <v>17</v>
      </c>
      <c r="J100">
        <v>1</v>
      </c>
      <c r="K100">
        <v>2</v>
      </c>
      <c r="L100">
        <v>2</v>
      </c>
      <c r="M100" s="8" t="str">
        <f>LOOKUP(H100,$W$4:$W$192,Séparer!$X$4:$X$192)</f>
        <v>MTK</v>
      </c>
      <c r="N100">
        <v>1.796</v>
      </c>
      <c r="O100">
        <v>1.6160000000000001</v>
      </c>
      <c r="P100">
        <v>3.64</v>
      </c>
      <c r="Q100">
        <v>7.28</v>
      </c>
      <c r="R100">
        <v>5.0999999999999996</v>
      </c>
      <c r="W100">
        <v>61153011</v>
      </c>
      <c r="X100" t="s">
        <v>690</v>
      </c>
    </row>
    <row r="101" spans="8:24" ht="15.75" thickBot="1" x14ac:dyDescent="0.3">
      <c r="H101">
        <v>57050030</v>
      </c>
      <c r="I101" t="s">
        <v>17</v>
      </c>
      <c r="J101">
        <v>1</v>
      </c>
      <c r="K101">
        <v>2</v>
      </c>
      <c r="L101">
        <v>2</v>
      </c>
      <c r="M101" s="8" t="str">
        <f>LOOKUP(H101,$W$4:$W$192,Séparer!$X$4:$X$192)</f>
        <v>MTK</v>
      </c>
      <c r="N101">
        <v>0.746</v>
      </c>
      <c r="O101">
        <v>0.67100000000000004</v>
      </c>
      <c r="P101">
        <v>3.0489999999999999</v>
      </c>
      <c r="Q101">
        <v>6.0979999999999999</v>
      </c>
      <c r="R101">
        <v>4.04</v>
      </c>
      <c r="W101">
        <v>61153019</v>
      </c>
      <c r="X101" t="s">
        <v>690</v>
      </c>
    </row>
    <row r="102" spans="8:24" ht="15.75" thickBot="1" x14ac:dyDescent="0.3">
      <c r="H102">
        <v>61031090</v>
      </c>
      <c r="I102" t="s">
        <v>95</v>
      </c>
      <c r="J102">
        <v>2</v>
      </c>
      <c r="K102">
        <v>2</v>
      </c>
      <c r="L102">
        <v>2</v>
      </c>
      <c r="M102" s="8" t="str">
        <f>LOOKUP(H102,$W$4:$W$192,Séparer!$X$4:$X$192)</f>
        <v>NAR</v>
      </c>
      <c r="N102">
        <v>0.67399999999999993</v>
      </c>
      <c r="O102">
        <v>0.60599999999999998</v>
      </c>
      <c r="P102">
        <v>3.2839999999999998</v>
      </c>
      <c r="Q102">
        <v>3.2839999999999998</v>
      </c>
      <c r="R102">
        <v>8.4699999999999989</v>
      </c>
      <c r="W102">
        <v>61153090</v>
      </c>
      <c r="X102" t="s">
        <v>690</v>
      </c>
    </row>
    <row r="103" spans="8:24" ht="15.75" thickBot="1" x14ac:dyDescent="0.3">
      <c r="H103">
        <v>61032200</v>
      </c>
      <c r="I103" t="s">
        <v>101</v>
      </c>
      <c r="J103">
        <v>1</v>
      </c>
      <c r="K103">
        <v>2</v>
      </c>
      <c r="L103">
        <v>2</v>
      </c>
      <c r="M103" s="8" t="str">
        <f>LOOKUP(H103,$W$4:$W$192,Séparer!$X$4:$X$192)</f>
        <v>NAR</v>
      </c>
      <c r="N103">
        <v>0.72</v>
      </c>
      <c r="O103">
        <v>0.64800000000000002</v>
      </c>
      <c r="P103">
        <v>3.2</v>
      </c>
      <c r="Q103">
        <v>6.4</v>
      </c>
      <c r="R103">
        <v>8.42</v>
      </c>
      <c r="W103">
        <v>61159500</v>
      </c>
      <c r="X103" t="s">
        <v>690</v>
      </c>
    </row>
    <row r="104" spans="8:24" ht="15.75" thickBot="1" x14ac:dyDescent="0.3">
      <c r="H104">
        <v>61032300</v>
      </c>
      <c r="I104" t="s">
        <v>17</v>
      </c>
      <c r="J104">
        <v>12</v>
      </c>
      <c r="K104">
        <v>4</v>
      </c>
      <c r="L104">
        <v>12</v>
      </c>
      <c r="M104" s="8" t="str">
        <f>LOOKUP(H104,$W$4:$W$192,Séparer!$X$4:$X$192)</f>
        <v>NAR</v>
      </c>
      <c r="N104">
        <v>4.3380000000000001</v>
      </c>
      <c r="O104">
        <v>3.9039999999999999</v>
      </c>
      <c r="P104">
        <v>8.58</v>
      </c>
      <c r="Q104">
        <v>25.740000000000002</v>
      </c>
      <c r="R104">
        <v>38.159999999999997</v>
      </c>
      <c r="W104">
        <v>62033990</v>
      </c>
      <c r="X104" t="s">
        <v>683</v>
      </c>
    </row>
    <row r="105" spans="8:24" ht="15.75" thickBot="1" x14ac:dyDescent="0.3">
      <c r="H105">
        <v>61034900</v>
      </c>
      <c r="I105" t="s">
        <v>99</v>
      </c>
      <c r="J105">
        <v>3</v>
      </c>
      <c r="K105">
        <v>3</v>
      </c>
      <c r="L105">
        <v>3</v>
      </c>
      <c r="M105" s="8" t="str">
        <f>LOOKUP(H105,$W$4:$W$192,Séparer!$X$4:$X$192)</f>
        <v>NAR</v>
      </c>
      <c r="N105">
        <v>0.81600000000000006</v>
      </c>
      <c r="O105">
        <v>0.73399999999999999</v>
      </c>
      <c r="P105">
        <v>5.76</v>
      </c>
      <c r="Q105">
        <v>5.76</v>
      </c>
      <c r="R105">
        <v>8.1300000000000008</v>
      </c>
      <c r="W105">
        <v>62034231</v>
      </c>
      <c r="X105" t="s">
        <v>683</v>
      </c>
    </row>
    <row r="106" spans="8:24" ht="15.75" thickBot="1" x14ac:dyDescent="0.3">
      <c r="H106">
        <v>61042300</v>
      </c>
      <c r="I106" t="s">
        <v>17</v>
      </c>
      <c r="J106">
        <v>6</v>
      </c>
      <c r="K106">
        <v>2</v>
      </c>
      <c r="L106">
        <v>6</v>
      </c>
      <c r="M106" s="8" t="str">
        <f>LOOKUP(H106,$W$4:$W$192,Séparer!$X$4:$X$192)</f>
        <v>NAR</v>
      </c>
      <c r="N106">
        <v>1.5960000000000001</v>
      </c>
      <c r="O106">
        <v>1.4359999999999999</v>
      </c>
      <c r="P106">
        <v>3.57</v>
      </c>
      <c r="Q106">
        <v>10.71</v>
      </c>
      <c r="R106">
        <v>29.34</v>
      </c>
      <c r="W106">
        <v>62044300</v>
      </c>
      <c r="X106" t="s">
        <v>683</v>
      </c>
    </row>
    <row r="107" spans="8:24" ht="15.75" thickBot="1" x14ac:dyDescent="0.3">
      <c r="H107">
        <v>61044300</v>
      </c>
      <c r="I107" t="s">
        <v>99</v>
      </c>
      <c r="J107">
        <v>12</v>
      </c>
      <c r="K107">
        <v>2</v>
      </c>
      <c r="L107">
        <v>12</v>
      </c>
      <c r="M107" s="8" t="str">
        <f>LOOKUP(H107,$W$4:$W$192,Séparer!$X$4:$X$192)</f>
        <v>NAR</v>
      </c>
      <c r="N107">
        <v>2.9039999999999999</v>
      </c>
      <c r="O107">
        <v>2.6139999999999999</v>
      </c>
      <c r="P107">
        <v>4</v>
      </c>
      <c r="Q107">
        <v>24</v>
      </c>
      <c r="R107">
        <v>55.68</v>
      </c>
      <c r="W107">
        <v>62044990</v>
      </c>
      <c r="X107" t="s">
        <v>683</v>
      </c>
    </row>
    <row r="108" spans="8:24" ht="15.75" thickBot="1" x14ac:dyDescent="0.3">
      <c r="H108">
        <v>61044300</v>
      </c>
      <c r="I108" t="s">
        <v>97</v>
      </c>
      <c r="J108">
        <v>12</v>
      </c>
      <c r="K108">
        <v>2</v>
      </c>
      <c r="L108">
        <v>12</v>
      </c>
      <c r="M108" s="8" t="str">
        <f>LOOKUP(H108,$W$4:$W$192,Séparer!$X$4:$X$192)</f>
        <v>NAR</v>
      </c>
      <c r="N108">
        <v>2.6280000000000001</v>
      </c>
      <c r="O108">
        <v>2.3660000000000001</v>
      </c>
      <c r="P108">
        <v>3.2759999999999998</v>
      </c>
      <c r="Q108">
        <v>19.655999999999999</v>
      </c>
      <c r="R108">
        <v>83.4</v>
      </c>
      <c r="W108">
        <v>62045990</v>
      </c>
      <c r="X108" t="s">
        <v>683</v>
      </c>
    </row>
    <row r="109" spans="8:24" ht="15.75" thickBot="1" x14ac:dyDescent="0.3">
      <c r="H109">
        <v>61046200</v>
      </c>
      <c r="I109" t="s">
        <v>101</v>
      </c>
      <c r="J109">
        <v>14</v>
      </c>
      <c r="K109">
        <v>14</v>
      </c>
      <c r="L109">
        <v>24</v>
      </c>
      <c r="M109" s="8" t="str">
        <f>LOOKUP(H109,$W$4:$W$192,Séparer!$X$4:$X$192)</f>
        <v>NAR</v>
      </c>
      <c r="N109">
        <v>6.4560000000000004</v>
      </c>
      <c r="O109">
        <v>5.8100000000000005</v>
      </c>
      <c r="P109">
        <v>4.5519999999999996</v>
      </c>
      <c r="Q109">
        <v>27.312000000000001</v>
      </c>
      <c r="R109">
        <v>101.28</v>
      </c>
      <c r="W109">
        <v>62046290</v>
      </c>
      <c r="X109" t="s">
        <v>683</v>
      </c>
    </row>
    <row r="110" spans="8:24" ht="15.75" thickBot="1" x14ac:dyDescent="0.3">
      <c r="H110">
        <v>61046300</v>
      </c>
      <c r="I110" t="s">
        <v>101</v>
      </c>
      <c r="J110">
        <v>24</v>
      </c>
      <c r="K110">
        <v>4</v>
      </c>
      <c r="L110">
        <v>24</v>
      </c>
      <c r="M110" s="8" t="str">
        <f>LOOKUP(H110,$W$4:$W$192,Séparer!$X$4:$X$192)</f>
        <v>NAR</v>
      </c>
      <c r="N110">
        <v>7.7880000000000003</v>
      </c>
      <c r="O110">
        <v>7.01</v>
      </c>
      <c r="P110">
        <v>7.8620000000000001</v>
      </c>
      <c r="Q110">
        <v>47.172000000000004</v>
      </c>
      <c r="R110">
        <v>137.28</v>
      </c>
      <c r="W110">
        <v>62046390</v>
      </c>
      <c r="X110" t="s">
        <v>683</v>
      </c>
    </row>
    <row r="111" spans="8:24" ht="15.75" thickBot="1" x14ac:dyDescent="0.3">
      <c r="H111">
        <v>61046900</v>
      </c>
      <c r="I111" t="s">
        <v>360</v>
      </c>
      <c r="J111">
        <v>1</v>
      </c>
      <c r="K111">
        <v>2</v>
      </c>
      <c r="L111">
        <v>2</v>
      </c>
      <c r="M111" s="8" t="str">
        <f>LOOKUP(H111,$W$4:$W$192,Séparer!$X$4:$X$192)</f>
        <v>NAR</v>
      </c>
      <c r="N111">
        <v>0.59199999999999997</v>
      </c>
      <c r="O111">
        <v>0.53300000000000003</v>
      </c>
      <c r="P111">
        <v>2.2850000000000001</v>
      </c>
      <c r="Q111">
        <v>4.57</v>
      </c>
      <c r="R111">
        <v>6.34</v>
      </c>
      <c r="W111">
        <v>62046990</v>
      </c>
      <c r="X111" t="s">
        <v>683</v>
      </c>
    </row>
    <row r="112" spans="8:24" ht="15.75" thickBot="1" x14ac:dyDescent="0.3">
      <c r="H112">
        <v>61051000</v>
      </c>
      <c r="I112" t="s">
        <v>99</v>
      </c>
      <c r="J112">
        <v>7</v>
      </c>
      <c r="K112">
        <v>7</v>
      </c>
      <c r="L112">
        <v>12</v>
      </c>
      <c r="M112" s="8" t="str">
        <f>LOOKUP(H112,$W$4:$W$192,Séparer!$X$4:$X$192)</f>
        <v>NAR</v>
      </c>
      <c r="N112">
        <v>3.048</v>
      </c>
      <c r="O112">
        <v>2.7430000000000003</v>
      </c>
      <c r="P112">
        <v>1.796</v>
      </c>
      <c r="Q112">
        <v>10.776</v>
      </c>
      <c r="R112">
        <v>117.24</v>
      </c>
      <c r="W112">
        <v>62052000</v>
      </c>
      <c r="X112" t="s">
        <v>683</v>
      </c>
    </row>
    <row r="113" spans="8:24" ht="15.75" thickBot="1" x14ac:dyDescent="0.3">
      <c r="H113">
        <v>61071100</v>
      </c>
      <c r="I113" t="s">
        <v>17</v>
      </c>
      <c r="J113">
        <v>1</v>
      </c>
      <c r="K113">
        <v>3</v>
      </c>
      <c r="L113">
        <v>3</v>
      </c>
      <c r="M113" s="8" t="str">
        <f>LOOKUP(H113,$W$4:$W$192,Séparer!$X$4:$X$192)</f>
        <v>NAR</v>
      </c>
      <c r="N113">
        <v>0.55200000000000005</v>
      </c>
      <c r="O113">
        <v>0.497</v>
      </c>
      <c r="P113">
        <v>1.3440000000000001</v>
      </c>
      <c r="Q113">
        <v>4.032</v>
      </c>
      <c r="R113">
        <v>5.64</v>
      </c>
      <c r="W113">
        <v>62069090</v>
      </c>
      <c r="X113" t="s">
        <v>683</v>
      </c>
    </row>
    <row r="114" spans="8:24" ht="15.75" thickBot="1" x14ac:dyDescent="0.3">
      <c r="H114">
        <v>61082100</v>
      </c>
      <c r="I114" t="s">
        <v>17</v>
      </c>
      <c r="J114">
        <v>18</v>
      </c>
      <c r="K114">
        <v>6</v>
      </c>
      <c r="L114">
        <v>20</v>
      </c>
      <c r="M114" s="8" t="str">
        <f>LOOKUP(H114,$W$4:$W$192,Séparer!$X$4:$X$192)</f>
        <v>NAR</v>
      </c>
      <c r="N114">
        <v>1.607</v>
      </c>
      <c r="O114">
        <v>1.4470000000000001</v>
      </c>
      <c r="P114">
        <v>2.8479999999999999</v>
      </c>
      <c r="Q114">
        <v>12.636999999999999</v>
      </c>
      <c r="R114">
        <v>33.75</v>
      </c>
      <c r="W114">
        <v>62114390</v>
      </c>
      <c r="X114">
        <v>0</v>
      </c>
    </row>
    <row r="115" spans="8:24" ht="15.75" thickBot="1" x14ac:dyDescent="0.3">
      <c r="H115">
        <v>61082200</v>
      </c>
      <c r="I115" t="s">
        <v>17</v>
      </c>
      <c r="J115">
        <v>18</v>
      </c>
      <c r="K115">
        <v>6</v>
      </c>
      <c r="L115">
        <v>20</v>
      </c>
      <c r="M115" s="8" t="str">
        <f>LOOKUP(H115,$W$4:$W$192,Séparer!$X$4:$X$192)</f>
        <v>NAR</v>
      </c>
      <c r="N115">
        <v>1.7050000000000001</v>
      </c>
      <c r="O115">
        <v>1.5329999999999999</v>
      </c>
      <c r="P115">
        <v>0.83299999999999996</v>
      </c>
      <c r="Q115">
        <v>1.5310000000000001</v>
      </c>
      <c r="R115">
        <v>53.33</v>
      </c>
      <c r="W115">
        <v>62121010</v>
      </c>
      <c r="X115" t="s">
        <v>683</v>
      </c>
    </row>
    <row r="116" spans="8:24" ht="15.75" thickBot="1" x14ac:dyDescent="0.3">
      <c r="H116">
        <v>61089200</v>
      </c>
      <c r="I116" t="s">
        <v>17</v>
      </c>
      <c r="J116">
        <v>6</v>
      </c>
      <c r="K116">
        <v>3</v>
      </c>
      <c r="L116">
        <v>6</v>
      </c>
      <c r="M116" s="8" t="str">
        <f>LOOKUP(H116,$W$4:$W$192,Séparer!$X$4:$X$192)</f>
        <v>NAR</v>
      </c>
      <c r="N116">
        <v>0.46199999999999997</v>
      </c>
      <c r="O116">
        <v>0.41600000000000004</v>
      </c>
      <c r="P116">
        <v>1.7969999999999999</v>
      </c>
      <c r="Q116">
        <v>3.5939999999999999</v>
      </c>
      <c r="R116">
        <v>8.620000000000001</v>
      </c>
      <c r="W116">
        <v>62121090</v>
      </c>
      <c r="X116" t="s">
        <v>683</v>
      </c>
    </row>
    <row r="117" spans="8:24" ht="15.75" thickBot="1" x14ac:dyDescent="0.3">
      <c r="H117">
        <v>61091000</v>
      </c>
      <c r="I117" t="s">
        <v>99</v>
      </c>
      <c r="J117">
        <v>52</v>
      </c>
      <c r="K117">
        <v>11</v>
      </c>
      <c r="L117">
        <v>58</v>
      </c>
      <c r="M117" s="8" t="str">
        <f>LOOKUP(H117,$W$4:$W$192,Séparer!$X$4:$X$192)</f>
        <v>NAR</v>
      </c>
      <c r="N117">
        <v>10.234</v>
      </c>
      <c r="O117">
        <v>9.2100000000000009</v>
      </c>
      <c r="P117">
        <v>15.041</v>
      </c>
      <c r="Q117">
        <v>98.02</v>
      </c>
      <c r="R117">
        <v>207.82000000000002</v>
      </c>
      <c r="W117">
        <v>62143000</v>
      </c>
      <c r="X117" t="s">
        <v>683</v>
      </c>
    </row>
    <row r="118" spans="8:24" ht="15.75" thickBot="1" x14ac:dyDescent="0.3">
      <c r="H118">
        <v>61091000</v>
      </c>
      <c r="I118" t="s">
        <v>17</v>
      </c>
      <c r="J118">
        <v>5</v>
      </c>
      <c r="K118">
        <v>1</v>
      </c>
      <c r="L118">
        <v>5</v>
      </c>
      <c r="M118" s="8" t="str">
        <f>LOOKUP(H118,$W$4:$W$192,Séparer!$X$4:$X$192)</f>
        <v>NAR</v>
      </c>
      <c r="N118">
        <v>0.63500000000000001</v>
      </c>
      <c r="O118">
        <v>0.57199999999999995</v>
      </c>
      <c r="P118">
        <v>0.5</v>
      </c>
      <c r="Q118">
        <v>2.5</v>
      </c>
      <c r="R118">
        <v>5.5</v>
      </c>
      <c r="W118">
        <v>63014090</v>
      </c>
      <c r="X118" t="s">
        <v>683</v>
      </c>
    </row>
    <row r="119" spans="8:24" ht="15.75" thickBot="1" x14ac:dyDescent="0.3">
      <c r="H119">
        <v>61101910</v>
      </c>
      <c r="I119" t="s">
        <v>101</v>
      </c>
      <c r="J119">
        <v>26</v>
      </c>
      <c r="K119">
        <v>6</v>
      </c>
      <c r="L119">
        <v>26</v>
      </c>
      <c r="M119" s="8" t="str">
        <f>LOOKUP(H119,$W$4:$W$192,Séparer!$X$4:$X$192)</f>
        <v>NAR</v>
      </c>
      <c r="N119">
        <v>10.516999999999999</v>
      </c>
      <c r="O119">
        <v>9.4649999999999999</v>
      </c>
      <c r="P119">
        <v>14.809000000000001</v>
      </c>
      <c r="Q119">
        <v>48.539000000000001</v>
      </c>
      <c r="R119">
        <v>158.05000000000001</v>
      </c>
      <c r="W119">
        <v>63022100</v>
      </c>
      <c r="X119">
        <v>0</v>
      </c>
    </row>
    <row r="120" spans="8:24" ht="15.75" thickBot="1" x14ac:dyDescent="0.3">
      <c r="H120">
        <v>61101910</v>
      </c>
      <c r="I120" t="s">
        <v>95</v>
      </c>
      <c r="J120">
        <v>19</v>
      </c>
      <c r="K120">
        <v>9</v>
      </c>
      <c r="L120">
        <v>24</v>
      </c>
      <c r="M120" s="8" t="str">
        <f>LOOKUP(H120,$W$4:$W$192,Séparer!$X$4:$X$192)</f>
        <v>NAR</v>
      </c>
      <c r="N120">
        <v>9.24</v>
      </c>
      <c r="O120">
        <v>8.3159999999999989</v>
      </c>
      <c r="P120">
        <v>5.41</v>
      </c>
      <c r="Q120">
        <v>32.46</v>
      </c>
      <c r="R120">
        <v>136.56</v>
      </c>
      <c r="W120">
        <v>63022290</v>
      </c>
      <c r="X120">
        <v>0</v>
      </c>
    </row>
    <row r="121" spans="8:24" ht="15.75" thickBot="1" x14ac:dyDescent="0.3">
      <c r="H121">
        <v>61101910</v>
      </c>
      <c r="I121" t="s">
        <v>99</v>
      </c>
      <c r="J121">
        <v>56</v>
      </c>
      <c r="K121">
        <v>2</v>
      </c>
      <c r="L121">
        <v>56</v>
      </c>
      <c r="M121" s="8" t="str">
        <f>LOOKUP(H121,$W$4:$W$192,Séparer!$X$4:$X$192)</f>
        <v>NAR</v>
      </c>
      <c r="N121">
        <v>34.776000000000003</v>
      </c>
      <c r="O121">
        <v>31.297999999999998</v>
      </c>
      <c r="P121">
        <v>9.3000000000000007</v>
      </c>
      <c r="Q121">
        <v>260.39999999999998</v>
      </c>
      <c r="R121">
        <v>414.96</v>
      </c>
      <c r="W121">
        <v>63023100</v>
      </c>
      <c r="X121">
        <v>0</v>
      </c>
    </row>
    <row r="122" spans="8:24" ht="15.75" thickBot="1" x14ac:dyDescent="0.3">
      <c r="H122">
        <v>61101990</v>
      </c>
      <c r="I122" t="s">
        <v>101</v>
      </c>
      <c r="J122">
        <v>2</v>
      </c>
      <c r="K122">
        <v>1</v>
      </c>
      <c r="L122">
        <v>2</v>
      </c>
      <c r="M122" s="8" t="str">
        <f>LOOKUP(H122,$W$4:$W$192,Séparer!$X$4:$X$192)</f>
        <v>NAR</v>
      </c>
      <c r="N122">
        <v>0.86</v>
      </c>
      <c r="O122">
        <v>0.77400000000000002</v>
      </c>
      <c r="P122">
        <v>3.52</v>
      </c>
      <c r="Q122">
        <v>7.04</v>
      </c>
      <c r="R122">
        <v>9.5399999999999991</v>
      </c>
      <c r="W122">
        <v>63029390</v>
      </c>
      <c r="X122">
        <v>0</v>
      </c>
    </row>
    <row r="123" spans="8:24" ht="15.75" thickBot="1" x14ac:dyDescent="0.3">
      <c r="H123">
        <v>61102091</v>
      </c>
      <c r="I123" t="s">
        <v>95</v>
      </c>
      <c r="J123">
        <v>24</v>
      </c>
      <c r="K123">
        <v>4</v>
      </c>
      <c r="L123">
        <v>24</v>
      </c>
      <c r="M123" s="8" t="str">
        <f>LOOKUP(H123,$W$4:$W$192,Séparer!$X$4:$X$192)</f>
        <v>Nar</v>
      </c>
      <c r="N123">
        <v>6.7080000000000002</v>
      </c>
      <c r="O123">
        <v>6.0380000000000003</v>
      </c>
      <c r="P123">
        <v>9.8420000000000005</v>
      </c>
      <c r="Q123">
        <v>59.052</v>
      </c>
      <c r="R123">
        <v>171.84</v>
      </c>
      <c r="W123">
        <v>63039290</v>
      </c>
      <c r="X123" t="s">
        <v>688</v>
      </c>
    </row>
    <row r="124" spans="8:24" ht="15.75" thickBot="1" x14ac:dyDescent="0.3">
      <c r="H124">
        <v>61103010</v>
      </c>
      <c r="I124" t="s">
        <v>17</v>
      </c>
      <c r="J124">
        <v>13</v>
      </c>
      <c r="K124">
        <v>3</v>
      </c>
      <c r="L124">
        <v>13</v>
      </c>
      <c r="M124" s="8" t="str">
        <f>LOOKUP(H124,$W$4:$W$192,Séparer!$X$4:$X$192)</f>
        <v>Nar</v>
      </c>
      <c r="N124">
        <v>3.1459999999999999</v>
      </c>
      <c r="O124">
        <v>2.831</v>
      </c>
      <c r="P124">
        <v>8.4420000000000002</v>
      </c>
      <c r="Q124">
        <v>34.152000000000001</v>
      </c>
      <c r="R124">
        <v>76.52000000000001</v>
      </c>
      <c r="W124">
        <v>63041990</v>
      </c>
      <c r="X124" t="s">
        <v>683</v>
      </c>
    </row>
    <row r="125" spans="8:24" ht="15.75" thickBot="1" x14ac:dyDescent="0.3">
      <c r="H125">
        <v>61109090</v>
      </c>
      <c r="I125" t="s">
        <v>95</v>
      </c>
      <c r="J125">
        <v>56</v>
      </c>
      <c r="K125">
        <v>18</v>
      </c>
      <c r="L125">
        <v>60</v>
      </c>
      <c r="M125" s="8" t="str">
        <f>LOOKUP(H125,$W$4:$W$192,Séparer!$X$4:$X$192)</f>
        <v>Nar</v>
      </c>
      <c r="N125">
        <v>16.601000000000003</v>
      </c>
      <c r="O125">
        <v>14.941000000000001</v>
      </c>
      <c r="P125">
        <v>41.609000000000002</v>
      </c>
      <c r="Q125">
        <v>160.584</v>
      </c>
      <c r="R125">
        <v>306.56999999999994</v>
      </c>
      <c r="W125">
        <v>63049300</v>
      </c>
      <c r="X125">
        <v>0</v>
      </c>
    </row>
    <row r="126" spans="8:24" ht="15.75" thickBot="1" x14ac:dyDescent="0.3">
      <c r="H126">
        <v>61109090</v>
      </c>
      <c r="I126" t="s">
        <v>101</v>
      </c>
      <c r="J126">
        <v>24</v>
      </c>
      <c r="K126">
        <v>4</v>
      </c>
      <c r="L126">
        <v>24</v>
      </c>
      <c r="M126" s="8" t="str">
        <f>LOOKUP(H126,$W$4:$W$192,Séparer!$X$4:$X$192)</f>
        <v>Nar</v>
      </c>
      <c r="N126">
        <v>7.8839999999999995</v>
      </c>
      <c r="O126">
        <v>7.0960000000000001</v>
      </c>
      <c r="P126">
        <v>11.332000000000001</v>
      </c>
      <c r="Q126">
        <v>67.992000000000004</v>
      </c>
      <c r="R126">
        <v>103.92</v>
      </c>
      <c r="W126">
        <v>63071010</v>
      </c>
      <c r="X126">
        <v>0</v>
      </c>
    </row>
    <row r="127" spans="8:24" ht="15.75" thickBot="1" x14ac:dyDescent="0.3">
      <c r="H127">
        <v>61142000</v>
      </c>
      <c r="I127" t="s">
        <v>99</v>
      </c>
      <c r="J127">
        <v>2</v>
      </c>
      <c r="K127">
        <v>1</v>
      </c>
      <c r="L127">
        <v>2</v>
      </c>
      <c r="M127" s="8">
        <f>LOOKUP(H127,$W$4:$W$192,Séparer!$X$4:$X$192)</f>
        <v>0</v>
      </c>
      <c r="N127">
        <v>0.35199999999999998</v>
      </c>
      <c r="O127">
        <v>0.317</v>
      </c>
      <c r="P127">
        <v>1.1759999999999999</v>
      </c>
      <c r="Q127">
        <v>2.3519999999999999</v>
      </c>
      <c r="R127">
        <v>5.0999999999999996</v>
      </c>
      <c r="W127">
        <v>63071030</v>
      </c>
      <c r="X127">
        <v>0</v>
      </c>
    </row>
    <row r="128" spans="8:24" ht="15.75" thickBot="1" x14ac:dyDescent="0.3">
      <c r="H128">
        <v>61152100</v>
      </c>
      <c r="I128" t="s">
        <v>17</v>
      </c>
      <c r="J128">
        <v>13</v>
      </c>
      <c r="K128">
        <v>6</v>
      </c>
      <c r="L128">
        <v>25</v>
      </c>
      <c r="M128" s="8" t="str">
        <f>LOOKUP(H128,$W$4:$W$192,Séparer!$X$4:$X$192)</f>
        <v>Nar</v>
      </c>
      <c r="N128">
        <v>2.7130000000000001</v>
      </c>
      <c r="O128">
        <v>2.4420000000000002</v>
      </c>
      <c r="P128">
        <v>3.343</v>
      </c>
      <c r="Q128">
        <v>24.880000000000003</v>
      </c>
      <c r="R128">
        <v>42.89</v>
      </c>
      <c r="W128">
        <v>63079010</v>
      </c>
      <c r="X128">
        <v>0</v>
      </c>
    </row>
    <row r="129" spans="8:24" ht="15.75" thickBot="1" x14ac:dyDescent="0.3">
      <c r="H129">
        <v>61152100</v>
      </c>
      <c r="I129" t="s">
        <v>206</v>
      </c>
      <c r="J129">
        <v>11</v>
      </c>
      <c r="K129">
        <v>3</v>
      </c>
      <c r="L129">
        <v>11</v>
      </c>
      <c r="M129" s="8" t="str">
        <f>LOOKUP(H129,$W$4:$W$192,Séparer!$X$4:$X$192)</f>
        <v>Nar</v>
      </c>
      <c r="N129">
        <v>0.70900000000000007</v>
      </c>
      <c r="O129">
        <v>0.63800000000000001</v>
      </c>
      <c r="P129">
        <v>1.8689999999999998</v>
      </c>
      <c r="Q129">
        <v>7.020999999999999</v>
      </c>
      <c r="R129">
        <v>11.41</v>
      </c>
      <c r="W129">
        <v>63079098</v>
      </c>
      <c r="X129">
        <v>0</v>
      </c>
    </row>
    <row r="130" spans="8:24" ht="15.75" thickBot="1" x14ac:dyDescent="0.3">
      <c r="H130">
        <v>61152100</v>
      </c>
      <c r="I130" t="s">
        <v>200</v>
      </c>
      <c r="J130">
        <v>4</v>
      </c>
      <c r="K130">
        <v>1</v>
      </c>
      <c r="L130">
        <v>4</v>
      </c>
      <c r="M130" s="8" t="str">
        <f>LOOKUP(H130,$W$4:$W$192,Séparer!$X$4:$X$192)</f>
        <v>Nar</v>
      </c>
      <c r="N130">
        <v>0.252</v>
      </c>
      <c r="O130">
        <v>0.22700000000000001</v>
      </c>
      <c r="P130">
        <v>0.63800000000000001</v>
      </c>
      <c r="Q130">
        <v>2.552</v>
      </c>
      <c r="R130">
        <v>3.28</v>
      </c>
      <c r="W130">
        <v>64019290</v>
      </c>
      <c r="X130" t="s">
        <v>690</v>
      </c>
    </row>
    <row r="131" spans="8:24" ht="15.75" thickBot="1" x14ac:dyDescent="0.3">
      <c r="H131">
        <v>61152200</v>
      </c>
      <c r="I131" t="s">
        <v>17</v>
      </c>
      <c r="J131">
        <v>17</v>
      </c>
      <c r="K131">
        <v>7</v>
      </c>
      <c r="L131">
        <v>56</v>
      </c>
      <c r="M131" s="8" t="str">
        <f>LOOKUP(H131,$W$4:$W$192,Séparer!$X$4:$X$192)</f>
        <v>Nar</v>
      </c>
      <c r="N131">
        <v>3.34</v>
      </c>
      <c r="O131">
        <v>3.0060000000000002</v>
      </c>
      <c r="P131">
        <v>1.25</v>
      </c>
      <c r="Q131">
        <v>35.116</v>
      </c>
      <c r="R131">
        <v>181.56</v>
      </c>
      <c r="W131">
        <v>64029910</v>
      </c>
      <c r="X131" t="s">
        <v>690</v>
      </c>
    </row>
    <row r="132" spans="8:24" ht="15.75" thickBot="1" x14ac:dyDescent="0.3">
      <c r="H132">
        <v>61152200</v>
      </c>
      <c r="I132" t="s">
        <v>203</v>
      </c>
      <c r="J132">
        <v>12</v>
      </c>
      <c r="K132">
        <v>3</v>
      </c>
      <c r="L132">
        <v>36</v>
      </c>
      <c r="M132" s="8" t="str">
        <f>LOOKUP(H132,$W$4:$W$192,Séparer!$X$4:$X$192)</f>
        <v>Nar</v>
      </c>
      <c r="N132">
        <v>2.3519999999999999</v>
      </c>
      <c r="O132">
        <v>2.117</v>
      </c>
      <c r="P132">
        <v>0.76</v>
      </c>
      <c r="Q132">
        <v>27.36</v>
      </c>
      <c r="R132">
        <v>133.56</v>
      </c>
      <c r="W132">
        <v>64029931</v>
      </c>
      <c r="X132" t="s">
        <v>690</v>
      </c>
    </row>
    <row r="133" spans="8:24" ht="15.75" thickBot="1" x14ac:dyDescent="0.3">
      <c r="H133">
        <v>61152200</v>
      </c>
      <c r="I133" t="s">
        <v>206</v>
      </c>
      <c r="J133">
        <v>4</v>
      </c>
      <c r="K133">
        <v>1</v>
      </c>
      <c r="L133">
        <v>4</v>
      </c>
      <c r="M133" s="8" t="str">
        <f>LOOKUP(H133,$W$4:$W$192,Séparer!$X$4:$X$192)</f>
        <v>Nar</v>
      </c>
      <c r="N133">
        <v>0.3</v>
      </c>
      <c r="O133">
        <v>0.27</v>
      </c>
      <c r="P133">
        <v>0.54100000000000004</v>
      </c>
      <c r="Q133">
        <v>2.1640000000000001</v>
      </c>
      <c r="R133">
        <v>4.88</v>
      </c>
      <c r="W133">
        <v>64039111</v>
      </c>
      <c r="X133" t="s">
        <v>690</v>
      </c>
    </row>
    <row r="134" spans="8:24" ht="15.75" thickBot="1" x14ac:dyDescent="0.3">
      <c r="H134">
        <v>61152900</v>
      </c>
      <c r="I134" t="s">
        <v>99</v>
      </c>
      <c r="J134">
        <v>2</v>
      </c>
      <c r="K134">
        <v>1</v>
      </c>
      <c r="L134">
        <v>2</v>
      </c>
      <c r="M134" s="8" t="str">
        <f>LOOKUP(H134,$W$4:$W$192,Séparer!$X$4:$X$192)</f>
        <v>Nar</v>
      </c>
      <c r="N134">
        <v>0.33400000000000002</v>
      </c>
      <c r="O134">
        <v>0.30099999999999999</v>
      </c>
      <c r="P134">
        <v>1.3859999999999999</v>
      </c>
      <c r="Q134">
        <v>2.7719999999999998</v>
      </c>
      <c r="R134">
        <v>5.16</v>
      </c>
      <c r="W134">
        <v>64039996</v>
      </c>
      <c r="X134" t="s">
        <v>690</v>
      </c>
    </row>
    <row r="135" spans="8:24" ht="15.75" thickBot="1" x14ac:dyDescent="0.3">
      <c r="H135">
        <v>61152900</v>
      </c>
      <c r="I135" t="s">
        <v>17</v>
      </c>
      <c r="J135">
        <v>5</v>
      </c>
      <c r="K135">
        <v>12</v>
      </c>
      <c r="L135">
        <v>12</v>
      </c>
      <c r="M135" s="8" t="str">
        <f>LOOKUP(H135,$W$4:$W$192,Séparer!$X$4:$X$192)</f>
        <v>Nar</v>
      </c>
      <c r="N135">
        <v>0.76400000000000001</v>
      </c>
      <c r="O135">
        <v>0.68699999999999994</v>
      </c>
      <c r="P135">
        <v>2.496</v>
      </c>
      <c r="Q135">
        <v>5.0279999999999996</v>
      </c>
      <c r="R135">
        <v>11.74</v>
      </c>
      <c r="W135">
        <v>64041910</v>
      </c>
      <c r="X135" t="s">
        <v>690</v>
      </c>
    </row>
    <row r="136" spans="8:24" ht="15.75" thickBot="1" x14ac:dyDescent="0.3">
      <c r="H136">
        <v>61153011</v>
      </c>
      <c r="I136" t="s">
        <v>206</v>
      </c>
      <c r="J136">
        <v>4</v>
      </c>
      <c r="K136">
        <v>1</v>
      </c>
      <c r="L136">
        <v>4</v>
      </c>
      <c r="M136" s="8" t="str">
        <f>LOOKUP(H136,$W$4:$W$192,Séparer!$X$4:$X$192)</f>
        <v>NPR</v>
      </c>
      <c r="N136">
        <v>0.13200000000000001</v>
      </c>
      <c r="O136">
        <v>0.11899999999999999</v>
      </c>
      <c r="P136">
        <v>0.27600000000000002</v>
      </c>
      <c r="Q136">
        <v>1.1040000000000001</v>
      </c>
      <c r="R136">
        <v>2.56</v>
      </c>
      <c r="W136">
        <v>64069050</v>
      </c>
      <c r="X136">
        <v>0</v>
      </c>
    </row>
    <row r="137" spans="8:24" ht="15.75" thickBot="1" x14ac:dyDescent="0.3">
      <c r="H137">
        <v>61153019</v>
      </c>
      <c r="I137" t="s">
        <v>206</v>
      </c>
      <c r="J137">
        <v>4</v>
      </c>
      <c r="K137">
        <v>1</v>
      </c>
      <c r="L137">
        <v>4</v>
      </c>
      <c r="M137" s="8" t="str">
        <f>LOOKUP(H137,$W$4:$W$192,Séparer!$X$4:$X$192)</f>
        <v>NPR</v>
      </c>
      <c r="N137">
        <v>0.108</v>
      </c>
      <c r="O137">
        <v>9.7000000000000003E-2</v>
      </c>
      <c r="P137">
        <v>0.34499999999999997</v>
      </c>
      <c r="Q137">
        <v>1.38</v>
      </c>
      <c r="R137">
        <v>3.24</v>
      </c>
      <c r="W137">
        <v>67021000</v>
      </c>
      <c r="X137">
        <v>0</v>
      </c>
    </row>
    <row r="138" spans="8:24" ht="15.75" thickBot="1" x14ac:dyDescent="0.3">
      <c r="H138">
        <v>61153090</v>
      </c>
      <c r="I138" t="s">
        <v>17</v>
      </c>
      <c r="J138">
        <v>4</v>
      </c>
      <c r="K138">
        <v>1</v>
      </c>
      <c r="L138">
        <v>4</v>
      </c>
      <c r="M138" s="8" t="str">
        <f>LOOKUP(H138,$W$4:$W$192,Séparer!$X$4:$X$192)</f>
        <v>NPR</v>
      </c>
      <c r="N138">
        <v>0.248</v>
      </c>
      <c r="O138">
        <v>0.223</v>
      </c>
      <c r="P138">
        <v>0.496</v>
      </c>
      <c r="Q138">
        <v>1.984</v>
      </c>
      <c r="R138">
        <v>4.68</v>
      </c>
      <c r="W138">
        <v>67029000</v>
      </c>
      <c r="X138">
        <v>0</v>
      </c>
    </row>
    <row r="139" spans="8:24" ht="15.75" thickBot="1" x14ac:dyDescent="0.3">
      <c r="H139">
        <v>61159500</v>
      </c>
      <c r="I139" t="s">
        <v>17</v>
      </c>
      <c r="J139">
        <v>30</v>
      </c>
      <c r="K139">
        <v>5</v>
      </c>
      <c r="L139">
        <v>42</v>
      </c>
      <c r="M139" s="8" t="str">
        <f>LOOKUP(H139,$W$4:$W$192,Séparer!$X$4:$X$192)</f>
        <v>NPR</v>
      </c>
      <c r="N139">
        <v>5.2319999999999993</v>
      </c>
      <c r="O139">
        <v>4.7089999999999996</v>
      </c>
      <c r="P139">
        <v>3.9139999999999997</v>
      </c>
      <c r="Q139">
        <v>37.155999999999999</v>
      </c>
      <c r="R139">
        <v>61.120000000000005</v>
      </c>
      <c r="W139">
        <v>68030090</v>
      </c>
      <c r="X139">
        <v>0</v>
      </c>
    </row>
    <row r="140" spans="8:24" ht="15.75" thickBot="1" x14ac:dyDescent="0.3">
      <c r="H140">
        <v>61159500</v>
      </c>
      <c r="I140" t="s">
        <v>397</v>
      </c>
      <c r="J140">
        <v>4</v>
      </c>
      <c r="K140">
        <v>1</v>
      </c>
      <c r="L140">
        <v>4</v>
      </c>
      <c r="M140" s="8" t="str">
        <f>LOOKUP(H140,$W$4:$W$192,Séparer!$X$4:$X$192)</f>
        <v>NPR</v>
      </c>
      <c r="N140">
        <v>0.86799999999999999</v>
      </c>
      <c r="O140">
        <v>0.78100000000000003</v>
      </c>
      <c r="P140">
        <v>1.84</v>
      </c>
      <c r="Q140">
        <v>7.36</v>
      </c>
      <c r="R140">
        <v>9.6</v>
      </c>
      <c r="W140">
        <v>68053000</v>
      </c>
      <c r="X140">
        <v>0</v>
      </c>
    </row>
    <row r="141" spans="8:24" ht="15.75" thickBot="1" x14ac:dyDescent="0.3">
      <c r="H141">
        <v>61159500</v>
      </c>
      <c r="I141" t="s">
        <v>51</v>
      </c>
      <c r="J141">
        <v>1</v>
      </c>
      <c r="K141">
        <v>3</v>
      </c>
      <c r="L141">
        <v>3</v>
      </c>
      <c r="M141" s="8" t="str">
        <f>LOOKUP(H141,$W$4:$W$192,Séparer!$X$4:$X$192)</f>
        <v>NPR</v>
      </c>
      <c r="N141">
        <v>0.69199999999999995</v>
      </c>
      <c r="O141">
        <v>0.623</v>
      </c>
      <c r="P141">
        <v>1.5329999999999999</v>
      </c>
      <c r="Q141">
        <v>4.5999999999999996</v>
      </c>
      <c r="R141">
        <v>10.5</v>
      </c>
      <c r="W141">
        <v>69111000</v>
      </c>
      <c r="X141">
        <v>0</v>
      </c>
    </row>
    <row r="142" spans="8:24" ht="15.75" thickBot="1" x14ac:dyDescent="0.3">
      <c r="H142">
        <v>62033990</v>
      </c>
      <c r="I142" t="s">
        <v>99</v>
      </c>
      <c r="J142">
        <v>2</v>
      </c>
      <c r="K142">
        <v>12</v>
      </c>
      <c r="L142">
        <v>12</v>
      </c>
      <c r="M142" s="8" t="str">
        <f>LOOKUP(H142,$W$4:$W$192,Séparer!$X$4:$X$192)</f>
        <v>NAR</v>
      </c>
      <c r="N142">
        <v>10.8</v>
      </c>
      <c r="O142">
        <v>9.7200000000000006</v>
      </c>
      <c r="P142">
        <v>3.1760000000000002</v>
      </c>
      <c r="Q142">
        <v>19.056000000000001</v>
      </c>
      <c r="R142">
        <v>105.48</v>
      </c>
      <c r="W142">
        <v>69120023</v>
      </c>
      <c r="X142">
        <v>0</v>
      </c>
    </row>
    <row r="143" spans="8:24" ht="15.75" thickBot="1" x14ac:dyDescent="0.3">
      <c r="H143">
        <v>62034231</v>
      </c>
      <c r="I143" t="s">
        <v>95</v>
      </c>
      <c r="J143">
        <v>4</v>
      </c>
      <c r="K143">
        <v>4</v>
      </c>
      <c r="L143">
        <v>4</v>
      </c>
      <c r="M143" s="8" t="str">
        <f>LOOKUP(H143,$W$4:$W$192,Séparer!$X$4:$X$192)</f>
        <v>NAR</v>
      </c>
      <c r="N143">
        <v>2.1869999999999998</v>
      </c>
      <c r="O143">
        <v>1.9690000000000001</v>
      </c>
      <c r="P143">
        <v>9.4450000000000003</v>
      </c>
      <c r="Q143">
        <v>9.4450000000000003</v>
      </c>
      <c r="R143">
        <v>27.830000000000002</v>
      </c>
      <c r="W143">
        <v>69120029</v>
      </c>
      <c r="X143">
        <v>0</v>
      </c>
    </row>
    <row r="144" spans="8:24" ht="15.75" thickBot="1" x14ac:dyDescent="0.3">
      <c r="H144">
        <v>62034231</v>
      </c>
      <c r="I144" t="s">
        <v>101</v>
      </c>
      <c r="J144">
        <v>24</v>
      </c>
      <c r="K144">
        <v>4</v>
      </c>
      <c r="L144">
        <v>24</v>
      </c>
      <c r="M144" s="8" t="str">
        <f>LOOKUP(H144,$W$4:$W$192,Séparer!$X$4:$X$192)</f>
        <v>NAR</v>
      </c>
      <c r="N144">
        <v>8.5920000000000005</v>
      </c>
      <c r="O144">
        <v>7.7320000000000002</v>
      </c>
      <c r="P144">
        <v>11.808</v>
      </c>
      <c r="Q144">
        <v>70.847999999999999</v>
      </c>
      <c r="R144">
        <v>129.36000000000001</v>
      </c>
      <c r="W144">
        <v>70109010</v>
      </c>
      <c r="X144" t="s">
        <v>685</v>
      </c>
    </row>
    <row r="145" spans="8:24" ht="15.75" thickBot="1" x14ac:dyDescent="0.3">
      <c r="H145">
        <v>62044300</v>
      </c>
      <c r="I145" t="s">
        <v>17</v>
      </c>
      <c r="J145">
        <v>6</v>
      </c>
      <c r="K145">
        <v>4</v>
      </c>
      <c r="L145">
        <v>12</v>
      </c>
      <c r="M145" s="8" t="str">
        <f>LOOKUP(H145,$W$4:$W$192,Séparer!$X$4:$X$192)</f>
        <v>NAR</v>
      </c>
      <c r="N145">
        <v>4.08</v>
      </c>
      <c r="O145">
        <v>3.6720000000000002</v>
      </c>
      <c r="P145">
        <v>4.9000000000000004</v>
      </c>
      <c r="Q145">
        <v>29.4</v>
      </c>
      <c r="R145">
        <v>141.6</v>
      </c>
      <c r="W145">
        <v>70132890</v>
      </c>
      <c r="X145" t="s">
        <v>685</v>
      </c>
    </row>
    <row r="146" spans="8:24" ht="15.75" thickBot="1" x14ac:dyDescent="0.3">
      <c r="H146">
        <v>62044990</v>
      </c>
      <c r="I146" t="s">
        <v>97</v>
      </c>
      <c r="J146">
        <v>16</v>
      </c>
      <c r="K146">
        <v>26</v>
      </c>
      <c r="L146">
        <v>36</v>
      </c>
      <c r="M146" s="8" t="str">
        <f>LOOKUP(H146,$W$4:$W$192,Séparer!$X$4:$X$192)</f>
        <v>NAR</v>
      </c>
      <c r="N146">
        <v>7.8840000000000003</v>
      </c>
      <c r="O146">
        <v>7.0960000000000001</v>
      </c>
      <c r="P146">
        <v>8.02</v>
      </c>
      <c r="Q146">
        <v>48.120000000000005</v>
      </c>
      <c r="R146">
        <v>285.48</v>
      </c>
      <c r="W146">
        <v>70133791</v>
      </c>
      <c r="X146" t="s">
        <v>685</v>
      </c>
    </row>
    <row r="147" spans="8:24" ht="15.75" thickBot="1" x14ac:dyDescent="0.3">
      <c r="H147">
        <v>62045990</v>
      </c>
      <c r="I147" t="s">
        <v>97</v>
      </c>
      <c r="J147">
        <v>12</v>
      </c>
      <c r="K147">
        <v>2</v>
      </c>
      <c r="L147">
        <v>12</v>
      </c>
      <c r="M147" s="8" t="str">
        <f>LOOKUP(H147,$W$4:$W$192,Séparer!$X$4:$X$192)</f>
        <v>NAR</v>
      </c>
      <c r="N147">
        <v>2.532</v>
      </c>
      <c r="O147">
        <v>2.278</v>
      </c>
      <c r="P147">
        <v>4</v>
      </c>
      <c r="Q147">
        <v>24</v>
      </c>
      <c r="R147">
        <v>76.08</v>
      </c>
      <c r="W147">
        <v>70133799</v>
      </c>
      <c r="X147" t="s">
        <v>685</v>
      </c>
    </row>
    <row r="148" spans="8:24" ht="15.75" thickBot="1" x14ac:dyDescent="0.3">
      <c r="H148">
        <v>62046290</v>
      </c>
      <c r="I148" t="s">
        <v>95</v>
      </c>
      <c r="J148">
        <v>2</v>
      </c>
      <c r="K148">
        <v>3</v>
      </c>
      <c r="L148">
        <v>3</v>
      </c>
      <c r="M148" s="8" t="str">
        <f>LOOKUP(H148,$W$4:$W$192,Séparer!$X$4:$X$192)</f>
        <v>NAR</v>
      </c>
      <c r="N148">
        <v>1.7400000000000002</v>
      </c>
      <c r="O148">
        <v>1.5660000000000001</v>
      </c>
      <c r="P148">
        <v>5.75</v>
      </c>
      <c r="Q148">
        <v>8.5</v>
      </c>
      <c r="R148">
        <v>22.73</v>
      </c>
      <c r="W148">
        <v>70134999</v>
      </c>
      <c r="X148" t="s">
        <v>685</v>
      </c>
    </row>
    <row r="149" spans="8:24" ht="15.75" thickBot="1" x14ac:dyDescent="0.3">
      <c r="H149">
        <v>62046390</v>
      </c>
      <c r="I149" t="s">
        <v>95</v>
      </c>
      <c r="J149">
        <v>1</v>
      </c>
      <c r="K149">
        <v>1</v>
      </c>
      <c r="L149">
        <v>1</v>
      </c>
      <c r="M149" s="8" t="str">
        <f>LOOKUP(H149,$W$4:$W$192,Séparer!$X$4:$X$192)</f>
        <v>NAR</v>
      </c>
      <c r="N149">
        <v>0.47099999999999997</v>
      </c>
      <c r="O149">
        <v>0.42399999999999999</v>
      </c>
      <c r="P149">
        <v>2.5329999999999999</v>
      </c>
      <c r="Q149">
        <v>2.5329999999999999</v>
      </c>
      <c r="R149">
        <v>7.47</v>
      </c>
      <c r="W149">
        <v>70139900</v>
      </c>
      <c r="X149" t="s">
        <v>685</v>
      </c>
    </row>
    <row r="150" spans="8:24" ht="15.75" thickBot="1" x14ac:dyDescent="0.3">
      <c r="H150">
        <v>62046990</v>
      </c>
      <c r="I150" t="s">
        <v>97</v>
      </c>
      <c r="J150">
        <v>12</v>
      </c>
      <c r="K150">
        <v>2</v>
      </c>
      <c r="L150">
        <v>12</v>
      </c>
      <c r="M150" s="8" t="str">
        <f>LOOKUP(H150,$W$4:$W$192,Séparer!$X$4:$X$192)</f>
        <v>NAR</v>
      </c>
      <c r="N150">
        <v>2.2200000000000002</v>
      </c>
      <c r="O150">
        <v>1.998</v>
      </c>
      <c r="P150">
        <v>3.3319999999999999</v>
      </c>
      <c r="Q150">
        <v>19.992000000000001</v>
      </c>
      <c r="R150">
        <v>61.56</v>
      </c>
      <c r="W150">
        <v>71171900</v>
      </c>
      <c r="X150">
        <v>0</v>
      </c>
    </row>
    <row r="151" spans="8:24" ht="15.75" thickBot="1" x14ac:dyDescent="0.3">
      <c r="H151">
        <v>62052000</v>
      </c>
      <c r="I151" t="s">
        <v>99</v>
      </c>
      <c r="J151">
        <v>12</v>
      </c>
      <c r="K151">
        <v>2</v>
      </c>
      <c r="L151">
        <v>12</v>
      </c>
      <c r="M151" s="8" t="str">
        <f>LOOKUP(H151,$W$4:$W$192,Séparer!$X$4:$X$192)</f>
        <v>NAR</v>
      </c>
      <c r="N151">
        <v>3.1920000000000002</v>
      </c>
      <c r="O151">
        <v>2.8719999999999999</v>
      </c>
      <c r="P151">
        <v>3.524</v>
      </c>
      <c r="Q151">
        <v>21.143999999999998</v>
      </c>
      <c r="R151">
        <v>56.16</v>
      </c>
      <c r="W151">
        <v>73239300</v>
      </c>
      <c r="X151">
        <v>0</v>
      </c>
    </row>
    <row r="152" spans="8:24" ht="15.75" thickBot="1" x14ac:dyDescent="0.3">
      <c r="H152">
        <v>62069090</v>
      </c>
      <c r="I152" t="s">
        <v>97</v>
      </c>
      <c r="J152">
        <v>16</v>
      </c>
      <c r="K152">
        <v>26</v>
      </c>
      <c r="L152">
        <v>36</v>
      </c>
      <c r="M152" s="8" t="str">
        <f>LOOKUP(H152,$W$4:$W$192,Séparer!$X$4:$X$192)</f>
        <v>NAR</v>
      </c>
      <c r="N152">
        <v>9.4440000000000008</v>
      </c>
      <c r="O152">
        <v>8.5</v>
      </c>
      <c r="P152">
        <v>10.666</v>
      </c>
      <c r="Q152">
        <v>63.996000000000002</v>
      </c>
      <c r="R152">
        <v>269.28000000000003</v>
      </c>
      <c r="W152">
        <v>73239900</v>
      </c>
      <c r="X152">
        <v>0</v>
      </c>
    </row>
    <row r="153" spans="8:24" ht="15.75" thickBot="1" x14ac:dyDescent="0.3">
      <c r="H153">
        <v>62114390</v>
      </c>
      <c r="I153" t="s">
        <v>17</v>
      </c>
      <c r="J153">
        <v>8</v>
      </c>
      <c r="K153">
        <v>30</v>
      </c>
      <c r="L153">
        <v>30</v>
      </c>
      <c r="M153" s="8">
        <f>LOOKUP(H153,$W$4:$W$192,Séparer!$X$4:$X$192)</f>
        <v>0</v>
      </c>
      <c r="N153">
        <v>12.47</v>
      </c>
      <c r="O153">
        <v>11.224000000000002</v>
      </c>
      <c r="P153">
        <v>41.566000000000003</v>
      </c>
      <c r="Q153">
        <v>156.66400000000002</v>
      </c>
      <c r="R153">
        <v>374.1</v>
      </c>
      <c r="W153">
        <v>76151010</v>
      </c>
      <c r="X153">
        <v>0</v>
      </c>
    </row>
    <row r="154" spans="8:24" ht="15.75" thickBot="1" x14ac:dyDescent="0.3">
      <c r="H154">
        <v>62121010</v>
      </c>
      <c r="I154" t="s">
        <v>17</v>
      </c>
      <c r="J154">
        <v>2</v>
      </c>
      <c r="K154">
        <v>1</v>
      </c>
      <c r="L154">
        <v>2</v>
      </c>
      <c r="M154" s="8" t="str">
        <f>LOOKUP(H154,$W$4:$W$192,Séparer!$X$4:$X$192)</f>
        <v>NAR</v>
      </c>
      <c r="N154">
        <v>0.17399999999999999</v>
      </c>
      <c r="O154">
        <v>0.157</v>
      </c>
      <c r="P154">
        <v>0.58799999999999997</v>
      </c>
      <c r="Q154">
        <v>1.1759999999999999</v>
      </c>
      <c r="R154">
        <v>3.48</v>
      </c>
      <c r="W154">
        <v>76151080</v>
      </c>
      <c r="X154">
        <v>0</v>
      </c>
    </row>
    <row r="155" spans="8:24" ht="15.75" thickBot="1" x14ac:dyDescent="0.3">
      <c r="H155">
        <v>62121090</v>
      </c>
      <c r="I155" t="s">
        <v>17</v>
      </c>
      <c r="J155">
        <v>10</v>
      </c>
      <c r="K155">
        <v>3</v>
      </c>
      <c r="L155">
        <v>10</v>
      </c>
      <c r="M155" s="8" t="str">
        <f>LOOKUP(H155,$W$4:$W$192,Séparer!$X$4:$X$192)</f>
        <v>NAR</v>
      </c>
      <c r="N155">
        <v>1.022</v>
      </c>
      <c r="O155">
        <v>0.92100000000000004</v>
      </c>
      <c r="P155">
        <v>5.3390000000000004</v>
      </c>
      <c r="Q155">
        <v>11.190999999999999</v>
      </c>
      <c r="R155">
        <v>43.56</v>
      </c>
      <c r="W155">
        <v>82100000</v>
      </c>
      <c r="X155">
        <v>0</v>
      </c>
    </row>
    <row r="156" spans="8:24" ht="15.75" thickBot="1" x14ac:dyDescent="0.3">
      <c r="H156">
        <v>62143000</v>
      </c>
      <c r="I156" t="s">
        <v>17</v>
      </c>
      <c r="J156">
        <v>3</v>
      </c>
      <c r="K156">
        <v>9</v>
      </c>
      <c r="L156">
        <v>9</v>
      </c>
      <c r="M156" s="8" t="str">
        <f>LOOKUP(H156,$W$4:$W$192,Séparer!$X$4:$X$192)</f>
        <v>NAR</v>
      </c>
      <c r="N156">
        <v>5.0969999999999995</v>
      </c>
      <c r="O156">
        <v>4.5880000000000001</v>
      </c>
      <c r="P156">
        <v>20.56</v>
      </c>
      <c r="Q156">
        <v>61.68</v>
      </c>
      <c r="R156">
        <v>28.32</v>
      </c>
      <c r="W156">
        <v>82152010</v>
      </c>
      <c r="X156">
        <v>0</v>
      </c>
    </row>
    <row r="157" spans="8:24" ht="15.75" thickBot="1" x14ac:dyDescent="0.3">
      <c r="H157">
        <v>63014090</v>
      </c>
      <c r="I157" t="s">
        <v>17</v>
      </c>
      <c r="J157">
        <v>7</v>
      </c>
      <c r="K157">
        <v>15</v>
      </c>
      <c r="L157">
        <v>15</v>
      </c>
      <c r="M157" s="8" t="str">
        <f>LOOKUP(H157,$W$4:$W$192,Séparer!$X$4:$X$192)</f>
        <v>NAR</v>
      </c>
      <c r="N157">
        <v>9.3279999999999994</v>
      </c>
      <c r="O157">
        <v>8.3960000000000008</v>
      </c>
      <c r="P157">
        <v>42.763999999999996</v>
      </c>
      <c r="Q157">
        <v>80.988</v>
      </c>
      <c r="R157">
        <v>57</v>
      </c>
      <c r="W157">
        <v>84433100</v>
      </c>
      <c r="X157" t="s">
        <v>685</v>
      </c>
    </row>
    <row r="158" spans="8:24" ht="15.75" thickBot="1" x14ac:dyDescent="0.3">
      <c r="H158">
        <v>63022100</v>
      </c>
      <c r="I158" t="s">
        <v>448</v>
      </c>
      <c r="J158">
        <v>1</v>
      </c>
      <c r="K158">
        <v>2</v>
      </c>
      <c r="L158">
        <v>2</v>
      </c>
      <c r="M158" s="8">
        <f>LOOKUP(H158,$W$4:$W$192,Séparer!$X$4:$X$192)</f>
        <v>0</v>
      </c>
      <c r="N158">
        <v>1.94</v>
      </c>
      <c r="O158">
        <v>1.746</v>
      </c>
      <c r="P158">
        <v>4.9850000000000003</v>
      </c>
      <c r="Q158">
        <v>9.9700000000000006</v>
      </c>
      <c r="R158">
        <v>6.14</v>
      </c>
      <c r="W158">
        <v>85081100</v>
      </c>
      <c r="X158" t="s">
        <v>685</v>
      </c>
    </row>
    <row r="159" spans="8:24" ht="15.75" thickBot="1" x14ac:dyDescent="0.3">
      <c r="H159">
        <v>63022100</v>
      </c>
      <c r="I159" t="s">
        <v>101</v>
      </c>
      <c r="J159">
        <v>5</v>
      </c>
      <c r="K159">
        <v>12</v>
      </c>
      <c r="L159">
        <v>12</v>
      </c>
      <c r="M159" s="8">
        <f>LOOKUP(H159,$W$4:$W$192,Séparer!$X$4:$X$192)</f>
        <v>0</v>
      </c>
      <c r="N159">
        <v>19.46</v>
      </c>
      <c r="O159">
        <v>17.514000000000003</v>
      </c>
      <c r="P159">
        <v>39.515999999999991</v>
      </c>
      <c r="Q159">
        <v>89.35199999999999</v>
      </c>
      <c r="R159">
        <v>173.57999999999998</v>
      </c>
      <c r="W159">
        <v>85094000</v>
      </c>
      <c r="X159" t="s">
        <v>685</v>
      </c>
    </row>
    <row r="160" spans="8:24" ht="15.75" thickBot="1" x14ac:dyDescent="0.3">
      <c r="H160">
        <v>63022290</v>
      </c>
      <c r="I160" t="s">
        <v>101</v>
      </c>
      <c r="J160">
        <v>1</v>
      </c>
      <c r="K160">
        <v>2</v>
      </c>
      <c r="L160">
        <v>2</v>
      </c>
      <c r="M160" s="8">
        <f>LOOKUP(H160,$W$4:$W$192,Séparer!$X$4:$X$192)</f>
        <v>0</v>
      </c>
      <c r="N160">
        <v>1.6</v>
      </c>
      <c r="O160">
        <v>1.44</v>
      </c>
      <c r="P160">
        <v>5.3659999999999997</v>
      </c>
      <c r="Q160">
        <v>10.731999999999999</v>
      </c>
      <c r="R160">
        <v>12.58</v>
      </c>
      <c r="W160">
        <v>85165000</v>
      </c>
      <c r="X160" t="s">
        <v>685</v>
      </c>
    </row>
    <row r="161" spans="8:24" ht="15.75" thickBot="1" x14ac:dyDescent="0.3">
      <c r="H161">
        <v>63023100</v>
      </c>
      <c r="I161" t="s">
        <v>17</v>
      </c>
      <c r="J161">
        <v>1</v>
      </c>
      <c r="K161">
        <v>1</v>
      </c>
      <c r="L161">
        <v>1</v>
      </c>
      <c r="M161" s="8">
        <f>LOOKUP(H161,$W$4:$W$192,Séparer!$X$4:$X$192)</f>
        <v>0</v>
      </c>
      <c r="N161">
        <v>0.628</v>
      </c>
      <c r="O161">
        <v>0.56499999999999995</v>
      </c>
      <c r="P161">
        <v>4.32</v>
      </c>
      <c r="Q161">
        <v>4.32</v>
      </c>
      <c r="R161">
        <v>4.82</v>
      </c>
      <c r="W161">
        <v>85166070</v>
      </c>
      <c r="X161" t="s">
        <v>685</v>
      </c>
    </row>
    <row r="162" spans="8:24" ht="15.75" thickBot="1" x14ac:dyDescent="0.3">
      <c r="H162">
        <v>63029390</v>
      </c>
      <c r="I162" t="s">
        <v>17</v>
      </c>
      <c r="J162">
        <v>2</v>
      </c>
      <c r="K162">
        <v>13</v>
      </c>
      <c r="L162">
        <v>13</v>
      </c>
      <c r="M162" s="8">
        <f>LOOKUP(H162,$W$4:$W$192,Séparer!$X$4:$X$192)</f>
        <v>0</v>
      </c>
      <c r="N162">
        <v>0.51400000000000001</v>
      </c>
      <c r="O162">
        <v>0.46299999999999997</v>
      </c>
      <c r="P162">
        <v>1.149</v>
      </c>
      <c r="Q162">
        <v>7.2450000000000001</v>
      </c>
      <c r="R162">
        <v>7.53</v>
      </c>
      <c r="W162">
        <v>85167200</v>
      </c>
      <c r="X162" t="s">
        <v>685</v>
      </c>
    </row>
    <row r="163" spans="8:24" ht="15.75" thickBot="1" x14ac:dyDescent="0.3">
      <c r="H163">
        <v>63039290</v>
      </c>
      <c r="I163" t="s">
        <v>17</v>
      </c>
      <c r="J163">
        <v>12</v>
      </c>
      <c r="K163">
        <v>2</v>
      </c>
      <c r="L163">
        <v>12</v>
      </c>
      <c r="M163" s="8" t="str">
        <f>LOOKUP(H163,$W$4:$W$192,Séparer!$X$4:$X$192)</f>
        <v>MTK</v>
      </c>
      <c r="N163">
        <v>3.2280000000000002</v>
      </c>
      <c r="O163">
        <v>2.9060000000000001</v>
      </c>
      <c r="P163">
        <v>5.8419999999999996</v>
      </c>
      <c r="Q163">
        <v>35.052</v>
      </c>
      <c r="R163">
        <v>21.6</v>
      </c>
      <c r="W163">
        <v>85167970</v>
      </c>
      <c r="X163" t="s">
        <v>685</v>
      </c>
    </row>
    <row r="164" spans="8:24" ht="15.75" thickBot="1" x14ac:dyDescent="0.3">
      <c r="H164">
        <v>63041990</v>
      </c>
      <c r="I164" t="s">
        <v>17</v>
      </c>
      <c r="J164">
        <v>12</v>
      </c>
      <c r="K164">
        <v>7</v>
      </c>
      <c r="L164">
        <v>16</v>
      </c>
      <c r="M164" s="8" t="str">
        <f>LOOKUP(H164,$W$4:$W$192,Séparer!$X$4:$X$192)</f>
        <v>NAR</v>
      </c>
      <c r="N164">
        <v>5.8460000000000001</v>
      </c>
      <c r="O164">
        <v>5.2610000000000001</v>
      </c>
      <c r="P164">
        <v>10.074</v>
      </c>
      <c r="Q164">
        <v>53.728000000000002</v>
      </c>
      <c r="R164">
        <v>41.28</v>
      </c>
      <c r="W164">
        <v>85182100</v>
      </c>
      <c r="X164" t="s">
        <v>685</v>
      </c>
    </row>
    <row r="165" spans="8:24" ht="15.75" thickBot="1" x14ac:dyDescent="0.3">
      <c r="H165">
        <v>63049300</v>
      </c>
      <c r="I165" t="s">
        <v>17</v>
      </c>
      <c r="J165">
        <v>6</v>
      </c>
      <c r="K165">
        <v>1</v>
      </c>
      <c r="L165">
        <v>6</v>
      </c>
      <c r="M165" s="8">
        <f>LOOKUP(H165,$W$4:$W$192,Séparer!$X$4:$X$192)</f>
        <v>0</v>
      </c>
      <c r="N165">
        <v>1.5</v>
      </c>
      <c r="O165">
        <v>1.35</v>
      </c>
      <c r="P165">
        <v>2.4369999999999998</v>
      </c>
      <c r="Q165">
        <v>14.622</v>
      </c>
      <c r="R165">
        <v>6.48</v>
      </c>
      <c r="W165">
        <v>85434000</v>
      </c>
      <c r="X165">
        <v>0</v>
      </c>
    </row>
    <row r="166" spans="8:24" ht="15.75" thickBot="1" x14ac:dyDescent="0.3">
      <c r="H166">
        <v>63071010</v>
      </c>
      <c r="I166" t="s">
        <v>17</v>
      </c>
      <c r="J166">
        <v>1</v>
      </c>
      <c r="K166">
        <v>3</v>
      </c>
      <c r="L166">
        <v>3</v>
      </c>
      <c r="M166" s="8">
        <f>LOOKUP(H166,$W$4:$W$192,Séparer!$X$4:$X$192)</f>
        <v>0</v>
      </c>
      <c r="N166">
        <v>0.73199999999999998</v>
      </c>
      <c r="O166">
        <v>0.65900000000000003</v>
      </c>
      <c r="P166">
        <v>2.016</v>
      </c>
      <c r="Q166">
        <v>6.048</v>
      </c>
      <c r="R166">
        <v>13.95</v>
      </c>
      <c r="W166">
        <v>85437090</v>
      </c>
      <c r="X166">
        <v>0</v>
      </c>
    </row>
    <row r="167" spans="8:24" ht="15.75" thickBot="1" x14ac:dyDescent="0.3">
      <c r="H167">
        <v>63071030</v>
      </c>
      <c r="I167" t="s">
        <v>54</v>
      </c>
      <c r="J167">
        <v>14</v>
      </c>
      <c r="K167">
        <v>3</v>
      </c>
      <c r="L167">
        <v>22</v>
      </c>
      <c r="M167" s="8">
        <f>LOOKUP(H167,$W$4:$W$192,Séparer!$X$4:$X$192)</f>
        <v>0</v>
      </c>
      <c r="N167">
        <v>6.9879999999999995</v>
      </c>
      <c r="O167">
        <v>6.2889999999999997</v>
      </c>
      <c r="P167">
        <v>7.3889999999999993</v>
      </c>
      <c r="Q167">
        <v>82.694000000000003</v>
      </c>
      <c r="R167">
        <v>79.08</v>
      </c>
      <c r="W167">
        <v>85444290</v>
      </c>
      <c r="X167">
        <v>0</v>
      </c>
    </row>
    <row r="168" spans="8:24" ht="15.75" thickBot="1" x14ac:dyDescent="0.3">
      <c r="H168">
        <v>63079010</v>
      </c>
      <c r="I168" t="s">
        <v>17</v>
      </c>
      <c r="J168">
        <v>1</v>
      </c>
      <c r="K168">
        <v>1</v>
      </c>
      <c r="L168">
        <v>1</v>
      </c>
      <c r="M168" s="8">
        <f>LOOKUP(H168,$W$4:$W$192,Séparer!$X$4:$X$192)</f>
        <v>0</v>
      </c>
      <c r="N168">
        <v>0.83699999999999997</v>
      </c>
      <c r="O168">
        <v>0.753</v>
      </c>
      <c r="P168">
        <v>12.09</v>
      </c>
      <c r="Q168">
        <v>12.09</v>
      </c>
      <c r="R168">
        <v>7.57</v>
      </c>
      <c r="W168">
        <v>94037000</v>
      </c>
      <c r="X168">
        <v>0</v>
      </c>
    </row>
    <row r="169" spans="8:24" ht="15.75" thickBot="1" x14ac:dyDescent="0.3">
      <c r="H169">
        <v>63079098</v>
      </c>
      <c r="I169" t="s">
        <v>17</v>
      </c>
      <c r="J169">
        <v>7</v>
      </c>
      <c r="K169">
        <v>207</v>
      </c>
      <c r="L169">
        <v>207</v>
      </c>
      <c r="M169" s="8">
        <f>LOOKUP(H169,$W$4:$W$192,Séparer!$X$4:$X$192)</f>
        <v>0</v>
      </c>
      <c r="N169">
        <v>21.200999999999997</v>
      </c>
      <c r="O169">
        <v>19.080999999999996</v>
      </c>
      <c r="P169">
        <v>68.210999999999999</v>
      </c>
      <c r="Q169">
        <v>150.88800000000001</v>
      </c>
      <c r="R169">
        <v>280.11000000000007</v>
      </c>
      <c r="W169">
        <v>94049090</v>
      </c>
      <c r="X169">
        <v>0</v>
      </c>
    </row>
    <row r="170" spans="8:24" ht="15.75" thickBot="1" x14ac:dyDescent="0.3">
      <c r="H170">
        <v>64019290</v>
      </c>
      <c r="I170" t="s">
        <v>203</v>
      </c>
      <c r="J170">
        <v>3</v>
      </c>
      <c r="K170">
        <v>3</v>
      </c>
      <c r="L170">
        <v>4</v>
      </c>
      <c r="M170" s="8" t="str">
        <f>LOOKUP(H170,$W$4:$W$192,Séparer!$X$4:$X$192)</f>
        <v>NPR</v>
      </c>
      <c r="N170">
        <v>4.9429999999999996</v>
      </c>
      <c r="O170">
        <v>4.4489999999999998</v>
      </c>
      <c r="P170">
        <v>15.219000000000001</v>
      </c>
      <c r="Q170">
        <v>30.438000000000002</v>
      </c>
      <c r="R170">
        <v>18.82</v>
      </c>
      <c r="W170">
        <v>95030010</v>
      </c>
      <c r="X170">
        <v>0</v>
      </c>
    </row>
    <row r="171" spans="8:24" ht="15.75" thickBot="1" x14ac:dyDescent="0.3">
      <c r="H171">
        <v>64029910</v>
      </c>
      <c r="I171" t="s">
        <v>17</v>
      </c>
      <c r="J171">
        <v>17</v>
      </c>
      <c r="K171">
        <v>74</v>
      </c>
      <c r="L171">
        <v>84</v>
      </c>
      <c r="M171" s="8" t="str">
        <f>LOOKUP(H171,$W$4:$W$192,Séparer!$X$4:$X$192)</f>
        <v>NPR</v>
      </c>
      <c r="N171">
        <v>28.927</v>
      </c>
      <c r="O171">
        <v>26.039000000000001</v>
      </c>
      <c r="P171">
        <v>39.809999999999995</v>
      </c>
      <c r="Q171">
        <v>489.80799999999994</v>
      </c>
      <c r="R171">
        <v>383.49</v>
      </c>
      <c r="W171">
        <v>95030021</v>
      </c>
      <c r="X171">
        <v>0</v>
      </c>
    </row>
    <row r="172" spans="8:24" ht="15.75" thickBot="1" x14ac:dyDescent="0.3">
      <c r="H172">
        <v>64029931</v>
      </c>
      <c r="I172" t="s">
        <v>448</v>
      </c>
      <c r="J172">
        <v>1</v>
      </c>
      <c r="K172">
        <v>1</v>
      </c>
      <c r="L172">
        <v>1</v>
      </c>
      <c r="M172" s="8" t="str">
        <f>LOOKUP(H172,$W$4:$W$192,Séparer!$X$4:$X$192)</f>
        <v>NPR</v>
      </c>
      <c r="N172">
        <v>0.34699999999999998</v>
      </c>
      <c r="O172">
        <v>0.312</v>
      </c>
      <c r="P172">
        <v>4.2629999999999999</v>
      </c>
      <c r="Q172">
        <v>4.2629999999999999</v>
      </c>
      <c r="R172">
        <v>2.61</v>
      </c>
      <c r="W172">
        <v>95030030</v>
      </c>
      <c r="X172">
        <v>0</v>
      </c>
    </row>
    <row r="173" spans="8:24" ht="15.75" thickBot="1" x14ac:dyDescent="0.3">
      <c r="H173">
        <v>64039111</v>
      </c>
      <c r="I173" t="s">
        <v>95</v>
      </c>
      <c r="J173">
        <v>16</v>
      </c>
      <c r="K173">
        <v>2</v>
      </c>
      <c r="L173">
        <v>16</v>
      </c>
      <c r="M173" s="8" t="str">
        <f>LOOKUP(H173,$W$4:$W$192,Séparer!$X$4:$X$192)</f>
        <v>NPR</v>
      </c>
      <c r="N173">
        <v>22.48</v>
      </c>
      <c r="O173">
        <v>20.231999999999999</v>
      </c>
      <c r="P173">
        <v>25.908000000000001</v>
      </c>
      <c r="Q173">
        <v>207.26400000000001</v>
      </c>
      <c r="R173">
        <v>401.76</v>
      </c>
      <c r="W173">
        <v>95030035</v>
      </c>
      <c r="X173">
        <v>0</v>
      </c>
    </row>
    <row r="174" spans="8:24" ht="15.75" thickBot="1" x14ac:dyDescent="0.3">
      <c r="H174">
        <v>64039996</v>
      </c>
      <c r="I174" t="s">
        <v>99</v>
      </c>
      <c r="J174">
        <v>32</v>
      </c>
      <c r="K174">
        <v>4</v>
      </c>
      <c r="L174">
        <v>32</v>
      </c>
      <c r="M174" s="8" t="str">
        <f>LOOKUP(H174,$W$4:$W$192,Séparer!$X$4:$X$192)</f>
        <v>NPR</v>
      </c>
      <c r="N174">
        <v>52.992000000000004</v>
      </c>
      <c r="O174">
        <v>47.692</v>
      </c>
      <c r="P174">
        <v>52.838000000000001</v>
      </c>
      <c r="Q174">
        <v>422.70400000000001</v>
      </c>
      <c r="R174">
        <v>704.16</v>
      </c>
      <c r="W174">
        <v>95030041</v>
      </c>
      <c r="X174">
        <v>0</v>
      </c>
    </row>
    <row r="175" spans="8:24" ht="15.75" thickBot="1" x14ac:dyDescent="0.3">
      <c r="H175">
        <v>64039996</v>
      </c>
      <c r="I175" t="s">
        <v>95</v>
      </c>
      <c r="J175">
        <v>16</v>
      </c>
      <c r="K175">
        <v>2</v>
      </c>
      <c r="L175">
        <v>16</v>
      </c>
      <c r="M175" s="8" t="str">
        <f>LOOKUP(H175,$W$4:$W$192,Séparer!$X$4:$X$192)</f>
        <v>NPR</v>
      </c>
      <c r="N175">
        <v>18.079999999999998</v>
      </c>
      <c r="O175">
        <v>16.271999999999998</v>
      </c>
      <c r="P175">
        <v>20.283999999999999</v>
      </c>
      <c r="Q175">
        <v>162.27199999999999</v>
      </c>
      <c r="R175">
        <v>313.76</v>
      </c>
      <c r="W175">
        <v>95030049</v>
      </c>
      <c r="X175">
        <v>0</v>
      </c>
    </row>
    <row r="176" spans="8:24" ht="15.75" thickBot="1" x14ac:dyDescent="0.3">
      <c r="H176">
        <v>64041910</v>
      </c>
      <c r="I176" t="s">
        <v>137</v>
      </c>
      <c r="J176">
        <v>5</v>
      </c>
      <c r="K176">
        <v>14</v>
      </c>
      <c r="L176">
        <v>27</v>
      </c>
      <c r="M176" s="8" t="str">
        <f>LOOKUP(H176,$W$4:$W$192,Séparer!$X$4:$X$192)</f>
        <v>NPR</v>
      </c>
      <c r="N176">
        <v>17.586999999999996</v>
      </c>
      <c r="O176">
        <v>15.827999999999999</v>
      </c>
      <c r="P176">
        <v>12.817</v>
      </c>
      <c r="Q176">
        <v>114.73899999999999</v>
      </c>
      <c r="R176">
        <v>120.56</v>
      </c>
      <c r="W176">
        <v>95030055</v>
      </c>
      <c r="X176">
        <v>0</v>
      </c>
    </row>
    <row r="177" spans="8:24" ht="15.75" thickBot="1" x14ac:dyDescent="0.3">
      <c r="H177">
        <v>64041910</v>
      </c>
      <c r="I177" t="s">
        <v>17</v>
      </c>
      <c r="J177">
        <v>4</v>
      </c>
      <c r="K177">
        <v>2</v>
      </c>
      <c r="L177">
        <v>4</v>
      </c>
      <c r="M177" s="8" t="str">
        <f>LOOKUP(H177,$W$4:$W$192,Séparer!$X$4:$X$192)</f>
        <v>NPR</v>
      </c>
      <c r="N177">
        <v>1.0580000000000001</v>
      </c>
      <c r="O177">
        <v>0.95200000000000007</v>
      </c>
      <c r="P177">
        <v>5.8659999999999997</v>
      </c>
      <c r="Q177">
        <v>11.731999999999999</v>
      </c>
      <c r="R177">
        <v>9.98</v>
      </c>
      <c r="W177">
        <v>95030069</v>
      </c>
      <c r="X177">
        <v>0</v>
      </c>
    </row>
    <row r="178" spans="8:24" ht="15.75" thickBot="1" x14ac:dyDescent="0.3">
      <c r="H178">
        <v>64069050</v>
      </c>
      <c r="I178" t="s">
        <v>200</v>
      </c>
      <c r="J178">
        <v>18</v>
      </c>
      <c r="K178">
        <v>6</v>
      </c>
      <c r="L178">
        <v>18</v>
      </c>
      <c r="M178" s="8">
        <f>LOOKUP(H178,$W$4:$W$192,Séparer!$X$4:$X$192)</f>
        <v>0</v>
      </c>
      <c r="N178">
        <v>1.161</v>
      </c>
      <c r="O178">
        <v>1.0449999999999999</v>
      </c>
      <c r="P178">
        <v>4.9180000000000001</v>
      </c>
      <c r="Q178">
        <v>14.754</v>
      </c>
      <c r="R178">
        <v>39.060000000000009</v>
      </c>
      <c r="W178">
        <v>95030070</v>
      </c>
      <c r="X178">
        <v>0</v>
      </c>
    </row>
    <row r="179" spans="8:24" ht="15.75" thickBot="1" x14ac:dyDescent="0.3">
      <c r="H179">
        <v>67021000</v>
      </c>
      <c r="I179" t="s">
        <v>17</v>
      </c>
      <c r="J179">
        <v>24</v>
      </c>
      <c r="K179">
        <v>3</v>
      </c>
      <c r="L179">
        <v>24</v>
      </c>
      <c r="M179" s="8">
        <f>LOOKUP(H179,$W$4:$W$192,Séparer!$X$4:$X$192)</f>
        <v>0</v>
      </c>
      <c r="N179">
        <v>0.77400000000000002</v>
      </c>
      <c r="O179">
        <v>0.69700000000000006</v>
      </c>
      <c r="P179">
        <v>7.5329999999999995</v>
      </c>
      <c r="Q179">
        <v>60.197999999999993</v>
      </c>
      <c r="R179">
        <v>54.42</v>
      </c>
      <c r="W179">
        <v>95030075</v>
      </c>
      <c r="X179">
        <v>0</v>
      </c>
    </row>
    <row r="180" spans="8:24" ht="15.75" thickBot="1" x14ac:dyDescent="0.3">
      <c r="H180">
        <v>67029000</v>
      </c>
      <c r="I180" t="s">
        <v>17</v>
      </c>
      <c r="J180">
        <v>14</v>
      </c>
      <c r="K180">
        <v>4</v>
      </c>
      <c r="L180">
        <v>18</v>
      </c>
      <c r="M180" s="8">
        <f>LOOKUP(H180,$W$4:$W$192,Séparer!$X$4:$X$192)</f>
        <v>0</v>
      </c>
      <c r="N180">
        <v>2.9059999999999997</v>
      </c>
      <c r="O180">
        <v>2.6150000000000002</v>
      </c>
      <c r="P180">
        <v>8.3629999999999995</v>
      </c>
      <c r="Q180">
        <v>46.403999999999996</v>
      </c>
      <c r="R180">
        <v>23.68</v>
      </c>
      <c r="W180">
        <v>95030081</v>
      </c>
      <c r="X180">
        <v>0</v>
      </c>
    </row>
    <row r="181" spans="8:24" ht="15.75" thickBot="1" x14ac:dyDescent="0.3">
      <c r="H181">
        <v>68030090</v>
      </c>
      <c r="I181" t="s">
        <v>17</v>
      </c>
      <c r="J181">
        <v>112</v>
      </c>
      <c r="K181">
        <v>18</v>
      </c>
      <c r="L181">
        <v>128</v>
      </c>
      <c r="M181" s="8">
        <f>LOOKUP(H181,$W$4:$W$192,Séparer!$X$4:$X$192)</f>
        <v>0</v>
      </c>
      <c r="N181">
        <v>118.67999999999999</v>
      </c>
      <c r="O181">
        <v>106.812</v>
      </c>
      <c r="P181">
        <v>1.4570000000000001</v>
      </c>
      <c r="Q181">
        <v>86.956000000000003</v>
      </c>
      <c r="R181">
        <v>105.64</v>
      </c>
      <c r="W181">
        <v>95030085</v>
      </c>
      <c r="X181">
        <v>0</v>
      </c>
    </row>
    <row r="182" spans="8:24" ht="15.75" thickBot="1" x14ac:dyDescent="0.3">
      <c r="H182">
        <v>68053000</v>
      </c>
      <c r="I182" t="s">
        <v>97</v>
      </c>
      <c r="J182">
        <v>16</v>
      </c>
      <c r="K182">
        <v>1</v>
      </c>
      <c r="L182">
        <v>16</v>
      </c>
      <c r="M182" s="8">
        <f>LOOKUP(H182,$W$4:$W$192,Séparer!$X$4:$X$192)</f>
        <v>0</v>
      </c>
      <c r="N182">
        <v>1.1200000000000001</v>
      </c>
      <c r="O182">
        <v>1.008</v>
      </c>
      <c r="P182">
        <v>0.58699999999999997</v>
      </c>
      <c r="Q182">
        <v>9.3919999999999995</v>
      </c>
      <c r="R182">
        <v>10.08</v>
      </c>
      <c r="W182">
        <v>95030095</v>
      </c>
      <c r="X182">
        <v>0</v>
      </c>
    </row>
    <row r="183" spans="8:24" ht="15.75" thickBot="1" x14ac:dyDescent="0.3">
      <c r="H183">
        <v>69111000</v>
      </c>
      <c r="I183" t="s">
        <v>448</v>
      </c>
      <c r="J183">
        <v>6</v>
      </c>
      <c r="K183">
        <v>1</v>
      </c>
      <c r="L183">
        <v>6</v>
      </c>
      <c r="M183" s="8">
        <f>LOOKUP(H183,$W$4:$W$192,Séparer!$X$4:$X$192)</f>
        <v>0</v>
      </c>
      <c r="N183">
        <v>4.1459999999999999</v>
      </c>
      <c r="O183">
        <v>3.7309999999999999</v>
      </c>
      <c r="P183">
        <v>1.5</v>
      </c>
      <c r="Q183">
        <v>9</v>
      </c>
      <c r="R183">
        <v>7.68</v>
      </c>
      <c r="W183">
        <v>95030099</v>
      </c>
      <c r="X183">
        <v>0</v>
      </c>
    </row>
    <row r="184" spans="8:24" ht="15.75" thickBot="1" x14ac:dyDescent="0.3">
      <c r="H184">
        <v>69111000</v>
      </c>
      <c r="I184" t="s">
        <v>17</v>
      </c>
      <c r="J184">
        <v>12</v>
      </c>
      <c r="K184">
        <v>2</v>
      </c>
      <c r="L184">
        <v>12</v>
      </c>
      <c r="M184" s="8">
        <f>LOOKUP(H184,$W$4:$W$192,Séparer!$X$4:$X$192)</f>
        <v>0</v>
      </c>
      <c r="N184">
        <v>4.548</v>
      </c>
      <c r="O184">
        <v>4.0940000000000003</v>
      </c>
      <c r="P184">
        <v>2.4180000000000001</v>
      </c>
      <c r="Q184">
        <v>14.507999999999999</v>
      </c>
      <c r="R184">
        <v>52.2</v>
      </c>
      <c r="W184">
        <v>95044000</v>
      </c>
      <c r="X184">
        <v>0</v>
      </c>
    </row>
    <row r="185" spans="8:24" ht="15.75" thickBot="1" x14ac:dyDescent="0.3">
      <c r="H185">
        <v>69120023</v>
      </c>
      <c r="I185" t="s">
        <v>17</v>
      </c>
      <c r="J185">
        <v>9</v>
      </c>
      <c r="K185">
        <v>15</v>
      </c>
      <c r="L185">
        <v>20</v>
      </c>
      <c r="M185" s="8">
        <f>LOOKUP(H185,$W$4:$W$192,Séparer!$X$4:$X$192)</f>
        <v>0</v>
      </c>
      <c r="N185">
        <v>14.58</v>
      </c>
      <c r="O185">
        <v>13.122</v>
      </c>
      <c r="P185">
        <v>10.64</v>
      </c>
      <c r="Q185">
        <v>53.984000000000002</v>
      </c>
      <c r="R185">
        <v>96.72</v>
      </c>
      <c r="W185">
        <v>95049080</v>
      </c>
      <c r="X185">
        <v>0</v>
      </c>
    </row>
    <row r="186" spans="8:24" ht="15.75" thickBot="1" x14ac:dyDescent="0.3">
      <c r="H186">
        <v>69120029</v>
      </c>
      <c r="I186" t="s">
        <v>17</v>
      </c>
      <c r="J186">
        <v>8</v>
      </c>
      <c r="K186">
        <v>2</v>
      </c>
      <c r="L186">
        <v>8</v>
      </c>
      <c r="M186" s="8">
        <f>LOOKUP(H186,$W$4:$W$192,Séparer!$X$4:$X$192)</f>
        <v>0</v>
      </c>
      <c r="N186">
        <v>5</v>
      </c>
      <c r="O186">
        <v>4.5</v>
      </c>
      <c r="P186">
        <v>7.0860000000000003</v>
      </c>
      <c r="Q186">
        <v>28.344000000000001</v>
      </c>
      <c r="R186">
        <v>26</v>
      </c>
      <c r="W186">
        <v>95059000</v>
      </c>
      <c r="X186">
        <v>0</v>
      </c>
    </row>
    <row r="187" spans="8:24" ht="15.75" thickBot="1" x14ac:dyDescent="0.3">
      <c r="H187">
        <v>70109010</v>
      </c>
      <c r="I187" t="s">
        <v>17</v>
      </c>
      <c r="J187">
        <v>1</v>
      </c>
      <c r="K187">
        <v>4</v>
      </c>
      <c r="L187">
        <v>4</v>
      </c>
      <c r="M187" s="8" t="str">
        <f>LOOKUP(H187,$W$4:$W$192,Séparer!$X$4:$X$192)</f>
        <v>Nar</v>
      </c>
      <c r="N187">
        <v>3.6120000000000001</v>
      </c>
      <c r="O187">
        <v>3.2509999999999999</v>
      </c>
      <c r="P187">
        <v>4.9400000000000004</v>
      </c>
      <c r="Q187">
        <v>19.760000000000002</v>
      </c>
      <c r="R187">
        <v>8.48</v>
      </c>
      <c r="W187">
        <v>96039091</v>
      </c>
      <c r="X187">
        <v>0</v>
      </c>
    </row>
    <row r="188" spans="8:24" ht="15.75" thickBot="1" x14ac:dyDescent="0.3">
      <c r="H188">
        <v>70132890</v>
      </c>
      <c r="I188" t="s">
        <v>51</v>
      </c>
      <c r="J188">
        <v>1</v>
      </c>
      <c r="K188">
        <v>1</v>
      </c>
      <c r="L188">
        <v>1</v>
      </c>
      <c r="M188" s="8" t="str">
        <f>LOOKUP(H188,$W$4:$W$192,Séparer!$X$4:$X$192)</f>
        <v>Nar</v>
      </c>
      <c r="N188">
        <v>0.39</v>
      </c>
      <c r="O188">
        <v>0.35099999999999998</v>
      </c>
      <c r="P188">
        <v>6.1829999999999998</v>
      </c>
      <c r="Q188">
        <v>6.1829999999999998</v>
      </c>
      <c r="R188">
        <v>2.38</v>
      </c>
      <c r="W188">
        <v>96050000</v>
      </c>
      <c r="X188">
        <v>0</v>
      </c>
    </row>
    <row r="189" spans="8:24" ht="15.75" thickBot="1" x14ac:dyDescent="0.3">
      <c r="H189">
        <v>70133791</v>
      </c>
      <c r="I189" t="s">
        <v>17</v>
      </c>
      <c r="J189">
        <v>48</v>
      </c>
      <c r="K189">
        <v>2</v>
      </c>
      <c r="L189">
        <v>48</v>
      </c>
      <c r="M189" s="8" t="str">
        <f>LOOKUP(H189,$W$4:$W$192,Séparer!$X$4:$X$192)</f>
        <v>Nar</v>
      </c>
      <c r="N189">
        <v>19.920000000000002</v>
      </c>
      <c r="O189">
        <v>17.928000000000001</v>
      </c>
      <c r="P189">
        <v>3.1539999999999999</v>
      </c>
      <c r="Q189">
        <v>75.695999999999998</v>
      </c>
      <c r="R189">
        <v>59.04</v>
      </c>
      <c r="W189">
        <v>96081099</v>
      </c>
      <c r="X189" t="s">
        <v>685</v>
      </c>
    </row>
    <row r="190" spans="8:24" ht="15.75" thickBot="1" x14ac:dyDescent="0.3">
      <c r="H190">
        <v>70133799</v>
      </c>
      <c r="I190" t="s">
        <v>203</v>
      </c>
      <c r="J190">
        <v>6</v>
      </c>
      <c r="K190">
        <v>2</v>
      </c>
      <c r="L190">
        <v>12</v>
      </c>
      <c r="M190" s="8" t="str">
        <f>LOOKUP(H190,$W$4:$W$192,Séparer!$X$4:$X$192)</f>
        <v>Nar</v>
      </c>
      <c r="N190">
        <v>3.996</v>
      </c>
      <c r="O190">
        <v>3.5960000000000001</v>
      </c>
      <c r="P190">
        <v>0.73599999999999999</v>
      </c>
      <c r="Q190">
        <v>8.8320000000000007</v>
      </c>
      <c r="R190">
        <v>12.48</v>
      </c>
      <c r="W190">
        <v>96100000</v>
      </c>
      <c r="X190">
        <v>0</v>
      </c>
    </row>
    <row r="191" spans="8:24" ht="15.75" thickBot="1" x14ac:dyDescent="0.3">
      <c r="H191">
        <v>70133799</v>
      </c>
      <c r="I191" t="s">
        <v>448</v>
      </c>
      <c r="J191">
        <v>1</v>
      </c>
      <c r="K191">
        <v>2</v>
      </c>
      <c r="L191">
        <v>2</v>
      </c>
      <c r="M191" s="8" t="str">
        <f>LOOKUP(H191,$W$4:$W$192,Séparer!$X$4:$X$192)</f>
        <v>Nar</v>
      </c>
      <c r="N191">
        <v>1.4159999999999999</v>
      </c>
      <c r="O191">
        <v>1.274</v>
      </c>
      <c r="P191">
        <v>6.8559999999999999</v>
      </c>
      <c r="Q191">
        <v>13.712</v>
      </c>
      <c r="R191">
        <v>6.68</v>
      </c>
      <c r="W191">
        <v>96151900</v>
      </c>
      <c r="X191">
        <v>0</v>
      </c>
    </row>
    <row r="192" spans="8:24" ht="15.75" thickBot="1" x14ac:dyDescent="0.3">
      <c r="H192">
        <v>70133799</v>
      </c>
      <c r="I192" t="s">
        <v>17</v>
      </c>
      <c r="J192">
        <v>1</v>
      </c>
      <c r="K192">
        <v>6</v>
      </c>
      <c r="L192">
        <v>6</v>
      </c>
      <c r="M192" s="8" t="str">
        <f>LOOKUP(H192,$W$4:$W$192,Séparer!$X$4:$X$192)</f>
        <v>Nar</v>
      </c>
      <c r="N192">
        <v>1.89</v>
      </c>
      <c r="O192">
        <v>1.702</v>
      </c>
      <c r="P192">
        <v>1.75</v>
      </c>
      <c r="Q192">
        <v>10.5</v>
      </c>
      <c r="R192">
        <v>22.86</v>
      </c>
      <c r="W192">
        <v>96170000</v>
      </c>
      <c r="X192">
        <v>0</v>
      </c>
    </row>
    <row r="193" spans="8:18" ht="15.75" thickBot="1" x14ac:dyDescent="0.3">
      <c r="H193">
        <v>70134999</v>
      </c>
      <c r="I193" t="s">
        <v>203</v>
      </c>
      <c r="J193">
        <v>2</v>
      </c>
      <c r="K193">
        <v>10</v>
      </c>
      <c r="L193">
        <v>10</v>
      </c>
      <c r="M193" s="8" t="str">
        <f>LOOKUP(H193,$W$4:$W$192,Séparer!$X$4:$X$192)</f>
        <v>Nar</v>
      </c>
      <c r="N193">
        <v>8.0150000000000006</v>
      </c>
      <c r="O193">
        <v>7.2140000000000004</v>
      </c>
      <c r="P193">
        <v>6.9930000000000003</v>
      </c>
      <c r="Q193">
        <v>34.965000000000003</v>
      </c>
      <c r="R193">
        <v>23.65</v>
      </c>
    </row>
    <row r="194" spans="8:18" ht="15.75" thickBot="1" x14ac:dyDescent="0.3">
      <c r="H194">
        <v>70134999</v>
      </c>
      <c r="I194" t="s">
        <v>17</v>
      </c>
      <c r="J194">
        <v>8</v>
      </c>
      <c r="K194">
        <v>2</v>
      </c>
      <c r="L194">
        <v>8</v>
      </c>
      <c r="M194" s="8" t="str">
        <f>LOOKUP(H194,$W$4:$W$192,Séparer!$X$4:$X$192)</f>
        <v>Nar</v>
      </c>
      <c r="N194">
        <v>26</v>
      </c>
      <c r="O194">
        <v>23.4</v>
      </c>
      <c r="P194">
        <v>43.055999999999997</v>
      </c>
      <c r="Q194">
        <v>172.22399999999999</v>
      </c>
      <c r="R194">
        <v>80.16</v>
      </c>
    </row>
    <row r="195" spans="8:18" ht="15.75" thickBot="1" x14ac:dyDescent="0.3">
      <c r="H195">
        <v>70139900</v>
      </c>
      <c r="I195" t="s">
        <v>17</v>
      </c>
      <c r="J195">
        <v>8</v>
      </c>
      <c r="K195">
        <v>4</v>
      </c>
      <c r="L195">
        <v>16</v>
      </c>
      <c r="M195" s="8" t="str">
        <f>LOOKUP(H195,$W$4:$W$192,Séparer!$X$4:$X$192)</f>
        <v>Nar</v>
      </c>
      <c r="N195">
        <v>22</v>
      </c>
      <c r="O195">
        <v>19.8</v>
      </c>
      <c r="P195">
        <v>19.353999999999999</v>
      </c>
      <c r="Q195">
        <v>154.83199999999999</v>
      </c>
      <c r="R195">
        <v>199.04</v>
      </c>
    </row>
    <row r="196" spans="8:18" ht="15.75" thickBot="1" x14ac:dyDescent="0.3">
      <c r="H196">
        <v>71171900</v>
      </c>
      <c r="I196" t="s">
        <v>17</v>
      </c>
      <c r="J196">
        <v>24</v>
      </c>
      <c r="K196">
        <v>2</v>
      </c>
      <c r="L196">
        <v>24</v>
      </c>
      <c r="M196" s="8">
        <f>LOOKUP(H196,$W$4:$W$192,Séparer!$X$4:$X$192)</f>
        <v>0</v>
      </c>
      <c r="N196">
        <v>0.49199999999999999</v>
      </c>
      <c r="O196">
        <v>0.442</v>
      </c>
      <c r="P196">
        <v>0.22699999999999998</v>
      </c>
      <c r="Q196">
        <v>2.7240000000000002</v>
      </c>
      <c r="R196">
        <v>15</v>
      </c>
    </row>
    <row r="197" spans="8:18" ht="15.75" thickBot="1" x14ac:dyDescent="0.3">
      <c r="H197">
        <v>73239300</v>
      </c>
      <c r="I197" t="s">
        <v>17</v>
      </c>
      <c r="J197">
        <v>1</v>
      </c>
      <c r="K197">
        <v>2</v>
      </c>
      <c r="L197">
        <v>2</v>
      </c>
      <c r="M197" s="8">
        <f>LOOKUP(H197,$W$4:$W$192,Séparer!$X$4:$X$192)</f>
        <v>0</v>
      </c>
      <c r="N197">
        <v>1.1419999999999999</v>
      </c>
      <c r="O197">
        <v>1.028</v>
      </c>
      <c r="P197">
        <v>7.3280000000000003</v>
      </c>
      <c r="Q197">
        <v>14.656000000000001</v>
      </c>
      <c r="R197">
        <v>11.94</v>
      </c>
    </row>
    <row r="198" spans="8:18" ht="15.75" thickBot="1" x14ac:dyDescent="0.3">
      <c r="H198">
        <v>73239900</v>
      </c>
      <c r="I198" t="s">
        <v>17</v>
      </c>
      <c r="J198">
        <v>4</v>
      </c>
      <c r="K198">
        <v>9</v>
      </c>
      <c r="L198">
        <v>9</v>
      </c>
      <c r="M198" s="8">
        <f>LOOKUP(H198,$W$4:$W$192,Séparer!$X$4:$X$192)</f>
        <v>0</v>
      </c>
      <c r="N198">
        <v>4.0999999999999996</v>
      </c>
      <c r="O198">
        <v>3.6899999999999995</v>
      </c>
      <c r="P198">
        <v>15.802</v>
      </c>
      <c r="Q198">
        <v>38.624000000000002</v>
      </c>
      <c r="R198">
        <v>20.93</v>
      </c>
    </row>
    <row r="199" spans="8:18" ht="15.75" thickBot="1" x14ac:dyDescent="0.3">
      <c r="H199">
        <v>76151010</v>
      </c>
      <c r="I199" t="s">
        <v>17</v>
      </c>
      <c r="J199">
        <v>1</v>
      </c>
      <c r="K199">
        <v>2</v>
      </c>
      <c r="L199">
        <v>2</v>
      </c>
      <c r="M199" s="8">
        <f>LOOKUP(H199,$W$4:$W$192,Séparer!$X$4:$X$192)</f>
        <v>0</v>
      </c>
      <c r="N199">
        <v>0.90600000000000003</v>
      </c>
      <c r="O199">
        <v>0.81499999999999995</v>
      </c>
      <c r="P199">
        <v>9.0660000000000007</v>
      </c>
      <c r="Q199">
        <v>18.132000000000001</v>
      </c>
      <c r="R199">
        <v>9</v>
      </c>
    </row>
    <row r="200" spans="8:18" ht="15.75" thickBot="1" x14ac:dyDescent="0.3">
      <c r="H200">
        <v>76151080</v>
      </c>
      <c r="I200" t="s">
        <v>17</v>
      </c>
      <c r="J200">
        <v>9</v>
      </c>
      <c r="K200">
        <v>2</v>
      </c>
      <c r="L200">
        <v>9</v>
      </c>
      <c r="M200" s="8">
        <f>LOOKUP(H200,$W$4:$W$192,Séparer!$X$4:$X$192)</f>
        <v>0</v>
      </c>
      <c r="N200">
        <v>4.4039999999999999</v>
      </c>
      <c r="O200">
        <v>3.9630000000000001</v>
      </c>
      <c r="P200">
        <v>8.5609999999999999</v>
      </c>
      <c r="Q200">
        <v>33.305999999999997</v>
      </c>
      <c r="R200">
        <v>25.92</v>
      </c>
    </row>
    <row r="201" spans="8:18" ht="15.75" thickBot="1" x14ac:dyDescent="0.3">
      <c r="H201">
        <v>76151080</v>
      </c>
      <c r="I201" t="s">
        <v>97</v>
      </c>
      <c r="J201">
        <v>1</v>
      </c>
      <c r="K201">
        <v>2</v>
      </c>
      <c r="L201">
        <v>2</v>
      </c>
      <c r="M201" s="8">
        <f>LOOKUP(H201,$W$4:$W$192,Séparer!$X$4:$X$192)</f>
        <v>0</v>
      </c>
      <c r="N201">
        <v>2.7719999999999998</v>
      </c>
      <c r="O201">
        <v>2.4950000000000001</v>
      </c>
      <c r="P201">
        <v>9.25</v>
      </c>
      <c r="Q201">
        <v>18.5</v>
      </c>
      <c r="R201">
        <v>42.94</v>
      </c>
    </row>
    <row r="202" spans="8:18" ht="15.75" thickBot="1" x14ac:dyDescent="0.3">
      <c r="H202">
        <v>82100000</v>
      </c>
      <c r="I202" t="s">
        <v>203</v>
      </c>
      <c r="J202">
        <v>1</v>
      </c>
      <c r="K202">
        <v>1</v>
      </c>
      <c r="L202">
        <v>1</v>
      </c>
      <c r="M202" s="8">
        <f>LOOKUP(H202,$W$4:$W$192,Séparer!$X$4:$X$192)</f>
        <v>0</v>
      </c>
      <c r="N202">
        <v>0.80300000000000005</v>
      </c>
      <c r="O202">
        <v>0.72299999999999998</v>
      </c>
      <c r="P202">
        <v>10.5</v>
      </c>
      <c r="Q202">
        <v>10.5</v>
      </c>
      <c r="R202">
        <v>11.16</v>
      </c>
    </row>
    <row r="203" spans="8:18" ht="15.75" thickBot="1" x14ac:dyDescent="0.3">
      <c r="H203">
        <v>82152010</v>
      </c>
      <c r="I203" t="s">
        <v>17</v>
      </c>
      <c r="J203">
        <v>10</v>
      </c>
      <c r="K203">
        <v>1</v>
      </c>
      <c r="L203">
        <v>10</v>
      </c>
      <c r="M203" s="8">
        <f>LOOKUP(H203,$W$4:$W$192,Séparer!$X$4:$X$192)</f>
        <v>0</v>
      </c>
      <c r="N203">
        <v>1.49</v>
      </c>
      <c r="O203">
        <v>1.341</v>
      </c>
      <c r="P203">
        <v>0.184</v>
      </c>
      <c r="Q203">
        <v>1.84</v>
      </c>
      <c r="R203">
        <v>13</v>
      </c>
    </row>
    <row r="204" spans="8:18" ht="15.75" thickBot="1" x14ac:dyDescent="0.3">
      <c r="H204">
        <v>84433100</v>
      </c>
      <c r="I204" t="s">
        <v>17</v>
      </c>
      <c r="J204">
        <v>1</v>
      </c>
      <c r="K204">
        <v>3</v>
      </c>
      <c r="L204">
        <v>3</v>
      </c>
      <c r="M204" s="8" t="str">
        <f>LOOKUP(H204,$W$4:$W$192,Séparer!$X$4:$X$192)</f>
        <v>Nar</v>
      </c>
      <c r="N204">
        <v>9</v>
      </c>
      <c r="O204">
        <v>8.1</v>
      </c>
      <c r="P204">
        <v>29.61</v>
      </c>
      <c r="Q204">
        <v>88.83</v>
      </c>
      <c r="R204">
        <v>114.78</v>
      </c>
    </row>
    <row r="205" spans="8:18" ht="15.75" thickBot="1" x14ac:dyDescent="0.3">
      <c r="H205">
        <v>85081100</v>
      </c>
      <c r="I205" t="s">
        <v>17</v>
      </c>
      <c r="J205">
        <v>1</v>
      </c>
      <c r="K205">
        <v>1</v>
      </c>
      <c r="L205">
        <v>1</v>
      </c>
      <c r="M205" s="8" t="str">
        <f>LOOKUP(H205,$W$4:$W$192,Séparer!$X$4:$X$192)</f>
        <v>Nar</v>
      </c>
      <c r="N205">
        <v>2.0329999999999999</v>
      </c>
      <c r="O205">
        <v>1.83</v>
      </c>
      <c r="P205">
        <v>15.551</v>
      </c>
      <c r="Q205">
        <v>15.551</v>
      </c>
      <c r="R205">
        <v>11.88</v>
      </c>
    </row>
    <row r="206" spans="8:18" ht="15.75" thickBot="1" x14ac:dyDescent="0.3">
      <c r="H206">
        <v>85094000</v>
      </c>
      <c r="I206" t="s">
        <v>17</v>
      </c>
      <c r="J206">
        <v>2</v>
      </c>
      <c r="K206">
        <v>2</v>
      </c>
      <c r="L206">
        <v>2</v>
      </c>
      <c r="M206" s="8" t="str">
        <f>LOOKUP(H206,$W$4:$W$192,Séparer!$X$4:$X$192)</f>
        <v>Nar</v>
      </c>
      <c r="N206">
        <v>3.8520000000000003</v>
      </c>
      <c r="O206">
        <v>3.4660000000000002</v>
      </c>
      <c r="P206">
        <v>21.234000000000002</v>
      </c>
      <c r="Q206">
        <v>21.234000000000002</v>
      </c>
      <c r="R206">
        <v>24.299999999999997</v>
      </c>
    </row>
    <row r="207" spans="8:18" ht="15.75" thickBot="1" x14ac:dyDescent="0.3">
      <c r="H207">
        <v>85165000</v>
      </c>
      <c r="I207" t="s">
        <v>17</v>
      </c>
      <c r="J207">
        <v>1</v>
      </c>
      <c r="K207">
        <v>2</v>
      </c>
      <c r="L207">
        <v>2</v>
      </c>
      <c r="M207" s="8" t="str">
        <f>LOOKUP(H207,$W$4:$W$192,Séparer!$X$4:$X$192)</f>
        <v>Nar</v>
      </c>
      <c r="N207">
        <v>30</v>
      </c>
      <c r="O207">
        <v>27</v>
      </c>
      <c r="P207">
        <v>60</v>
      </c>
      <c r="Q207">
        <v>120</v>
      </c>
      <c r="R207">
        <v>106.6</v>
      </c>
    </row>
    <row r="208" spans="8:18" ht="15.75" thickBot="1" x14ac:dyDescent="0.3">
      <c r="H208">
        <v>85166070</v>
      </c>
      <c r="I208" t="s">
        <v>17</v>
      </c>
      <c r="J208">
        <v>2</v>
      </c>
      <c r="K208">
        <v>2</v>
      </c>
      <c r="L208">
        <v>2</v>
      </c>
      <c r="M208" s="8" t="str">
        <f>LOOKUP(H208,$W$4:$W$192,Séparer!$X$4:$X$192)</f>
        <v>Nar</v>
      </c>
      <c r="N208">
        <v>9.23</v>
      </c>
      <c r="O208">
        <v>8.3069999999999986</v>
      </c>
      <c r="P208">
        <v>72.187999999999988</v>
      </c>
      <c r="Q208">
        <v>72.187999999999988</v>
      </c>
      <c r="R208">
        <v>133.21</v>
      </c>
    </row>
    <row r="209" spans="8:18" ht="15.75" thickBot="1" x14ac:dyDescent="0.3">
      <c r="H209">
        <v>85167200</v>
      </c>
      <c r="I209" t="s">
        <v>17</v>
      </c>
      <c r="J209">
        <v>1</v>
      </c>
      <c r="K209">
        <v>1</v>
      </c>
      <c r="L209">
        <v>1</v>
      </c>
      <c r="M209" s="8" t="str">
        <f>LOOKUP(H209,$W$4:$W$192,Séparer!$X$4:$X$192)</f>
        <v>Nar</v>
      </c>
      <c r="N209">
        <v>2.3330000000000002</v>
      </c>
      <c r="O209">
        <v>2.1</v>
      </c>
      <c r="P209">
        <v>15.84</v>
      </c>
      <c r="Q209">
        <v>15.84</v>
      </c>
      <c r="R209">
        <v>18.18</v>
      </c>
    </row>
    <row r="210" spans="8:18" ht="15.75" thickBot="1" x14ac:dyDescent="0.3">
      <c r="H210">
        <v>85167970</v>
      </c>
      <c r="I210" t="s">
        <v>17</v>
      </c>
      <c r="J210">
        <v>4</v>
      </c>
      <c r="K210">
        <v>5</v>
      </c>
      <c r="L210">
        <v>5</v>
      </c>
      <c r="M210" s="8" t="str">
        <f>LOOKUP(H210,$W$4:$W$192,Séparer!$X$4:$X$192)</f>
        <v>Nar</v>
      </c>
      <c r="N210">
        <v>7.4530000000000003</v>
      </c>
      <c r="O210">
        <v>6.7080000000000002</v>
      </c>
      <c r="P210">
        <v>42.578000000000003</v>
      </c>
      <c r="Q210">
        <v>59.542999999999999</v>
      </c>
      <c r="R210">
        <v>50.36</v>
      </c>
    </row>
    <row r="211" spans="8:18" ht="15.75" thickBot="1" x14ac:dyDescent="0.3">
      <c r="H211">
        <v>85182100</v>
      </c>
      <c r="I211" t="s">
        <v>17</v>
      </c>
      <c r="J211">
        <v>1</v>
      </c>
      <c r="K211">
        <v>1</v>
      </c>
      <c r="L211">
        <v>1</v>
      </c>
      <c r="M211" s="8" t="str">
        <f>LOOKUP(H211,$W$4:$W$192,Séparer!$X$4:$X$192)</f>
        <v>Nar</v>
      </c>
      <c r="N211">
        <v>0.6</v>
      </c>
      <c r="O211">
        <v>0.54</v>
      </c>
      <c r="P211">
        <v>5.3159999999999998</v>
      </c>
      <c r="Q211">
        <v>5.3159999999999998</v>
      </c>
      <c r="R211">
        <v>5.9</v>
      </c>
    </row>
    <row r="212" spans="8:18" ht="15.75" thickBot="1" x14ac:dyDescent="0.3">
      <c r="H212">
        <v>85434000</v>
      </c>
      <c r="I212" t="s">
        <v>17</v>
      </c>
      <c r="J212">
        <v>8</v>
      </c>
      <c r="K212">
        <v>24</v>
      </c>
      <c r="L212">
        <v>24</v>
      </c>
      <c r="M212" s="8">
        <f>LOOKUP(H212,$W$4:$W$192,Séparer!$X$4:$X$192)</f>
        <v>0</v>
      </c>
      <c r="N212">
        <v>0.8829999999999999</v>
      </c>
      <c r="O212">
        <v>0.79600000000000004</v>
      </c>
      <c r="P212">
        <v>0.74899999999999989</v>
      </c>
      <c r="Q212">
        <v>2.2249999999999996</v>
      </c>
      <c r="R212">
        <v>70.98</v>
      </c>
    </row>
    <row r="213" spans="8:18" ht="15.75" thickBot="1" x14ac:dyDescent="0.3">
      <c r="H213">
        <v>85437090</v>
      </c>
      <c r="I213" t="s">
        <v>17</v>
      </c>
      <c r="J213">
        <v>2</v>
      </c>
      <c r="K213">
        <v>1</v>
      </c>
      <c r="L213">
        <v>2</v>
      </c>
      <c r="M213" s="8">
        <f>LOOKUP(H213,$W$4:$W$192,Séparer!$X$4:$X$192)</f>
        <v>0</v>
      </c>
      <c r="N213">
        <v>0.624</v>
      </c>
      <c r="O213">
        <v>0.56200000000000006</v>
      </c>
      <c r="P213">
        <v>1.4059999999999999</v>
      </c>
      <c r="Q213">
        <v>2.8119999999999998</v>
      </c>
      <c r="R213">
        <v>10.76</v>
      </c>
    </row>
    <row r="214" spans="8:18" ht="15.75" thickBot="1" x14ac:dyDescent="0.3">
      <c r="H214">
        <v>85444290</v>
      </c>
      <c r="I214" t="s">
        <v>17</v>
      </c>
      <c r="J214">
        <v>1</v>
      </c>
      <c r="K214">
        <v>3</v>
      </c>
      <c r="L214">
        <v>3</v>
      </c>
      <c r="M214" s="8">
        <f>LOOKUP(H214,$W$4:$W$192,Séparer!$X$4:$X$192)</f>
        <v>0</v>
      </c>
      <c r="N214">
        <v>0.19800000000000001</v>
      </c>
      <c r="O214">
        <v>0.17799999999999999</v>
      </c>
      <c r="P214">
        <v>0.44</v>
      </c>
      <c r="Q214">
        <v>1.32</v>
      </c>
      <c r="R214">
        <v>3.9</v>
      </c>
    </row>
    <row r="215" spans="8:18" ht="15.75" thickBot="1" x14ac:dyDescent="0.3">
      <c r="H215">
        <v>94037000</v>
      </c>
      <c r="I215" t="s">
        <v>203</v>
      </c>
      <c r="J215">
        <v>1</v>
      </c>
      <c r="K215">
        <v>1</v>
      </c>
      <c r="L215">
        <v>1</v>
      </c>
      <c r="M215" s="8">
        <f>LOOKUP(H215,$W$4:$W$192,Séparer!$X$4:$X$192)</f>
        <v>0</v>
      </c>
      <c r="N215">
        <v>2.86</v>
      </c>
      <c r="O215">
        <v>2.5739999999999998</v>
      </c>
      <c r="P215">
        <v>79.92</v>
      </c>
      <c r="Q215">
        <v>79.92</v>
      </c>
      <c r="R215">
        <v>12.03</v>
      </c>
    </row>
    <row r="216" spans="8:18" ht="15.75" thickBot="1" x14ac:dyDescent="0.3">
      <c r="H216">
        <v>94049090</v>
      </c>
      <c r="I216" t="s">
        <v>206</v>
      </c>
      <c r="J216">
        <v>2</v>
      </c>
      <c r="K216">
        <v>6</v>
      </c>
      <c r="L216">
        <v>6</v>
      </c>
      <c r="M216" s="8">
        <f>LOOKUP(H216,$W$4:$W$192,Séparer!$X$4:$X$192)</f>
        <v>0</v>
      </c>
      <c r="N216">
        <v>18.45</v>
      </c>
      <c r="O216">
        <v>16.605</v>
      </c>
      <c r="P216">
        <v>120</v>
      </c>
      <c r="Q216">
        <v>360</v>
      </c>
      <c r="R216">
        <v>101.46000000000001</v>
      </c>
    </row>
    <row r="217" spans="8:18" ht="15.75" thickBot="1" x14ac:dyDescent="0.3">
      <c r="H217">
        <v>94049090</v>
      </c>
      <c r="I217" t="s">
        <v>397</v>
      </c>
      <c r="J217">
        <v>1</v>
      </c>
      <c r="K217">
        <v>1</v>
      </c>
      <c r="L217">
        <v>1</v>
      </c>
      <c r="M217" s="8">
        <f>LOOKUP(H217,$W$4:$W$192,Séparer!$X$4:$X$192)</f>
        <v>0</v>
      </c>
      <c r="N217">
        <v>1.3160000000000001</v>
      </c>
      <c r="O217">
        <v>1.1839999999999999</v>
      </c>
      <c r="P217">
        <v>35.588000000000001</v>
      </c>
      <c r="Q217">
        <v>35.588000000000001</v>
      </c>
      <c r="R217">
        <v>15.48</v>
      </c>
    </row>
    <row r="218" spans="8:18" ht="15.75" thickBot="1" x14ac:dyDescent="0.3">
      <c r="H218">
        <v>94049090</v>
      </c>
      <c r="I218" t="s">
        <v>97</v>
      </c>
      <c r="J218">
        <v>1</v>
      </c>
      <c r="K218">
        <v>5</v>
      </c>
      <c r="L218">
        <v>5</v>
      </c>
      <c r="M218" s="8">
        <f>LOOKUP(H218,$W$4:$W$192,Séparer!$X$4:$X$192)</f>
        <v>0</v>
      </c>
      <c r="N218">
        <v>3</v>
      </c>
      <c r="O218">
        <v>2.7</v>
      </c>
      <c r="P218">
        <v>20.8</v>
      </c>
      <c r="Q218">
        <v>104</v>
      </c>
      <c r="R218">
        <v>8.65</v>
      </c>
    </row>
    <row r="219" spans="8:18" ht="15.75" thickBot="1" x14ac:dyDescent="0.3">
      <c r="H219">
        <v>94049090</v>
      </c>
      <c r="I219" t="s">
        <v>448</v>
      </c>
      <c r="J219">
        <v>1</v>
      </c>
      <c r="K219">
        <v>4</v>
      </c>
      <c r="L219">
        <v>4</v>
      </c>
      <c r="M219" s="8">
        <f>LOOKUP(H219,$W$4:$W$192,Séparer!$X$4:$X$192)</f>
        <v>0</v>
      </c>
      <c r="N219">
        <v>1.0720000000000001</v>
      </c>
      <c r="O219">
        <v>0.96499999999999997</v>
      </c>
      <c r="P219">
        <v>4.0529999999999999</v>
      </c>
      <c r="Q219">
        <v>16.212</v>
      </c>
      <c r="R219">
        <v>9.2799999999999994</v>
      </c>
    </row>
    <row r="220" spans="8:18" ht="15.75" thickBot="1" x14ac:dyDescent="0.3">
      <c r="H220">
        <v>95030010</v>
      </c>
      <c r="I220" t="s">
        <v>17</v>
      </c>
      <c r="J220">
        <v>54</v>
      </c>
      <c r="K220">
        <v>12</v>
      </c>
      <c r="L220">
        <v>56</v>
      </c>
      <c r="M220" s="8">
        <f>LOOKUP(H220,$W$4:$W$192,Séparer!$X$4:$X$192)</f>
        <v>0</v>
      </c>
      <c r="N220">
        <v>57.424000000000007</v>
      </c>
      <c r="O220">
        <v>51.68</v>
      </c>
      <c r="P220">
        <v>132.17000000000002</v>
      </c>
      <c r="Q220">
        <v>759.62400000000002</v>
      </c>
      <c r="R220">
        <v>325.32000000000005</v>
      </c>
    </row>
    <row r="221" spans="8:18" ht="15.75" thickBot="1" x14ac:dyDescent="0.3">
      <c r="H221">
        <v>95030021</v>
      </c>
      <c r="I221" t="s">
        <v>69</v>
      </c>
      <c r="J221">
        <v>1</v>
      </c>
      <c r="K221">
        <v>1</v>
      </c>
      <c r="L221">
        <v>1</v>
      </c>
      <c r="M221" s="8">
        <f>LOOKUP(H221,$W$4:$W$192,Séparer!$X$4:$X$192)</f>
        <v>0</v>
      </c>
      <c r="N221">
        <v>0.20499999999999999</v>
      </c>
      <c r="O221">
        <v>0.185</v>
      </c>
      <c r="P221">
        <v>2.64</v>
      </c>
      <c r="Q221">
        <v>2.64</v>
      </c>
      <c r="R221">
        <v>9.42</v>
      </c>
    </row>
    <row r="222" spans="8:18" ht="15.75" thickBot="1" x14ac:dyDescent="0.3">
      <c r="H222">
        <v>95030021</v>
      </c>
      <c r="I222" t="s">
        <v>17</v>
      </c>
      <c r="J222">
        <v>92</v>
      </c>
      <c r="K222">
        <v>55</v>
      </c>
      <c r="L222">
        <v>118</v>
      </c>
      <c r="M222" s="8">
        <f>LOOKUP(H222,$W$4:$W$192,Séparer!$X$4:$X$192)</f>
        <v>0</v>
      </c>
      <c r="N222">
        <v>93.309999999999974</v>
      </c>
      <c r="O222">
        <v>83.976000000000013</v>
      </c>
      <c r="P222">
        <v>353.38</v>
      </c>
      <c r="Q222">
        <v>1518.444</v>
      </c>
      <c r="R222">
        <v>1229.1200000000001</v>
      </c>
    </row>
    <row r="223" spans="8:18" ht="15.75" thickBot="1" x14ac:dyDescent="0.3">
      <c r="H223">
        <v>95030030</v>
      </c>
      <c r="I223" t="s">
        <v>17</v>
      </c>
      <c r="J223">
        <v>16</v>
      </c>
      <c r="K223">
        <v>12</v>
      </c>
      <c r="L223">
        <v>22</v>
      </c>
      <c r="M223" s="8">
        <f>LOOKUP(H223,$W$4:$W$192,Séparer!$X$4:$X$192)</f>
        <v>0</v>
      </c>
      <c r="N223">
        <v>51.400000000000006</v>
      </c>
      <c r="O223">
        <v>46.260000000000005</v>
      </c>
      <c r="P223">
        <v>102.104</v>
      </c>
      <c r="Q223">
        <v>314.03200000000004</v>
      </c>
      <c r="R223">
        <v>257.45999999999998</v>
      </c>
    </row>
    <row r="224" spans="8:18" ht="15.75" thickBot="1" x14ac:dyDescent="0.3">
      <c r="H224">
        <v>95030035</v>
      </c>
      <c r="I224" t="s">
        <v>482</v>
      </c>
      <c r="J224">
        <v>5</v>
      </c>
      <c r="K224">
        <v>6</v>
      </c>
      <c r="L224">
        <v>6</v>
      </c>
      <c r="M224" s="8">
        <f>LOOKUP(H224,$W$4:$W$192,Séparer!$X$4:$X$192)</f>
        <v>0</v>
      </c>
      <c r="N224">
        <v>1.645</v>
      </c>
      <c r="O224">
        <v>1.4809999999999999</v>
      </c>
      <c r="P224">
        <v>12.564</v>
      </c>
      <c r="Q224">
        <v>14.004</v>
      </c>
      <c r="R224">
        <v>51.8</v>
      </c>
    </row>
    <row r="225" spans="8:18" ht="15.75" thickBot="1" x14ac:dyDescent="0.3">
      <c r="H225">
        <v>95030041</v>
      </c>
      <c r="I225" t="s">
        <v>17</v>
      </c>
      <c r="J225">
        <v>19</v>
      </c>
      <c r="K225">
        <v>9</v>
      </c>
      <c r="L225">
        <v>36</v>
      </c>
      <c r="M225" s="8">
        <f>LOOKUP(H225,$W$4:$W$192,Séparer!$X$4:$X$192)</f>
        <v>0</v>
      </c>
      <c r="N225">
        <v>11.988</v>
      </c>
      <c r="O225">
        <v>10.790000000000001</v>
      </c>
      <c r="P225">
        <v>28.538000000000004</v>
      </c>
      <c r="Q225">
        <v>186.97800000000001</v>
      </c>
      <c r="R225">
        <v>129.95999999999998</v>
      </c>
    </row>
    <row r="226" spans="8:18" ht="15.75" thickBot="1" x14ac:dyDescent="0.3">
      <c r="H226">
        <v>95030049</v>
      </c>
      <c r="I226" t="s">
        <v>17</v>
      </c>
      <c r="J226">
        <v>70</v>
      </c>
      <c r="K226">
        <v>62</v>
      </c>
      <c r="L226">
        <v>104</v>
      </c>
      <c r="M226" s="8">
        <f>LOOKUP(H226,$W$4:$W$192,Séparer!$X$4:$X$192)</f>
        <v>0</v>
      </c>
      <c r="N226">
        <v>43.747999999999998</v>
      </c>
      <c r="O226">
        <v>39.371999999999993</v>
      </c>
      <c r="P226">
        <v>187.58800000000002</v>
      </c>
      <c r="Q226">
        <v>644.89800000000002</v>
      </c>
      <c r="R226">
        <v>662.07999999999993</v>
      </c>
    </row>
    <row r="227" spans="8:18" ht="15.75" thickBot="1" x14ac:dyDescent="0.3">
      <c r="H227">
        <v>95030049</v>
      </c>
      <c r="I227" t="s">
        <v>69</v>
      </c>
      <c r="J227">
        <v>8</v>
      </c>
      <c r="K227">
        <v>2</v>
      </c>
      <c r="L227">
        <v>8</v>
      </c>
      <c r="M227" s="8">
        <f>LOOKUP(H227,$W$4:$W$192,Séparer!$X$4:$X$192)</f>
        <v>0</v>
      </c>
      <c r="N227">
        <v>4.96</v>
      </c>
      <c r="O227">
        <v>4.4640000000000004</v>
      </c>
      <c r="P227">
        <v>3.8719999999999999</v>
      </c>
      <c r="Q227">
        <v>15.488</v>
      </c>
      <c r="R227">
        <v>89.36</v>
      </c>
    </row>
    <row r="228" spans="8:18" ht="15.75" thickBot="1" x14ac:dyDescent="0.3">
      <c r="H228">
        <v>95030055</v>
      </c>
      <c r="I228" t="s">
        <v>17</v>
      </c>
      <c r="J228">
        <v>9</v>
      </c>
      <c r="K228">
        <v>19</v>
      </c>
      <c r="L228">
        <v>19</v>
      </c>
      <c r="M228" s="8">
        <f>LOOKUP(H228,$W$4:$W$192,Séparer!$X$4:$X$192)</f>
        <v>0</v>
      </c>
      <c r="N228">
        <v>13.584</v>
      </c>
      <c r="O228">
        <v>12.226000000000003</v>
      </c>
      <c r="P228">
        <v>74.037000000000006</v>
      </c>
      <c r="Q228">
        <v>155.50099999999998</v>
      </c>
      <c r="R228">
        <v>123.10999999999999</v>
      </c>
    </row>
    <row r="229" spans="8:18" ht="15.75" thickBot="1" x14ac:dyDescent="0.3">
      <c r="H229">
        <v>95030069</v>
      </c>
      <c r="I229" t="s">
        <v>17</v>
      </c>
      <c r="J229">
        <v>16</v>
      </c>
      <c r="K229">
        <v>10</v>
      </c>
      <c r="L229">
        <v>20</v>
      </c>
      <c r="M229" s="8">
        <f>LOOKUP(H229,$W$4:$W$192,Séparer!$X$4:$X$192)</f>
        <v>0</v>
      </c>
      <c r="N229">
        <v>28.488</v>
      </c>
      <c r="O229">
        <v>25.64</v>
      </c>
      <c r="P229">
        <v>36.372</v>
      </c>
      <c r="Q229">
        <v>192.208</v>
      </c>
      <c r="R229">
        <v>88.8</v>
      </c>
    </row>
    <row r="230" spans="8:18" ht="15.75" thickBot="1" x14ac:dyDescent="0.3">
      <c r="H230">
        <v>95030070</v>
      </c>
      <c r="I230" t="s">
        <v>484</v>
      </c>
      <c r="J230">
        <v>1</v>
      </c>
      <c r="K230">
        <v>1</v>
      </c>
      <c r="L230">
        <v>1</v>
      </c>
      <c r="M230" s="8">
        <f>LOOKUP(H230,$W$4:$W$192,Séparer!$X$4:$X$192)</f>
        <v>0</v>
      </c>
      <c r="N230">
        <v>0.17499999999999999</v>
      </c>
      <c r="O230">
        <v>0.158</v>
      </c>
      <c r="P230">
        <v>0.86199999999999999</v>
      </c>
      <c r="Q230">
        <v>0.86199999999999999</v>
      </c>
      <c r="R230">
        <v>10.51</v>
      </c>
    </row>
    <row r="231" spans="8:18" ht="15.75" thickBot="1" x14ac:dyDescent="0.3">
      <c r="H231">
        <v>95030070</v>
      </c>
      <c r="I231" t="s">
        <v>17</v>
      </c>
      <c r="J231">
        <v>94</v>
      </c>
      <c r="K231">
        <v>84</v>
      </c>
      <c r="L231">
        <v>150</v>
      </c>
      <c r="M231" s="8">
        <f>LOOKUP(H231,$W$4:$W$192,Séparer!$X$4:$X$192)</f>
        <v>0</v>
      </c>
      <c r="N231">
        <v>128.69899999999998</v>
      </c>
      <c r="O231">
        <v>115.82500000000003</v>
      </c>
      <c r="P231">
        <v>459.101</v>
      </c>
      <c r="Q231">
        <v>1634.5809999999999</v>
      </c>
      <c r="R231">
        <v>1197.7599999999995</v>
      </c>
    </row>
    <row r="232" spans="8:18" ht="15.75" thickBot="1" x14ac:dyDescent="0.3">
      <c r="H232">
        <v>95030070</v>
      </c>
      <c r="I232" t="s">
        <v>54</v>
      </c>
      <c r="J232">
        <v>1</v>
      </c>
      <c r="K232">
        <v>2</v>
      </c>
      <c r="L232">
        <v>2</v>
      </c>
      <c r="M232" s="8">
        <f>LOOKUP(H232,$W$4:$W$192,Séparer!$X$4:$X$192)</f>
        <v>0</v>
      </c>
      <c r="N232">
        <v>0.6</v>
      </c>
      <c r="O232">
        <v>0.54</v>
      </c>
      <c r="P232">
        <v>3.952</v>
      </c>
      <c r="Q232">
        <v>7.9039999999999999</v>
      </c>
      <c r="R232">
        <v>26.54</v>
      </c>
    </row>
    <row r="233" spans="8:18" ht="15.75" thickBot="1" x14ac:dyDescent="0.3">
      <c r="H233">
        <v>95030070</v>
      </c>
      <c r="I233" t="s">
        <v>69</v>
      </c>
      <c r="J233">
        <v>10</v>
      </c>
      <c r="K233">
        <v>6</v>
      </c>
      <c r="L233">
        <v>12</v>
      </c>
      <c r="M233" s="8">
        <f>LOOKUP(H233,$W$4:$W$192,Séparer!$X$4:$X$192)</f>
        <v>0</v>
      </c>
      <c r="N233">
        <v>5.12</v>
      </c>
      <c r="O233">
        <v>4.6080000000000005</v>
      </c>
      <c r="P233">
        <v>9.99</v>
      </c>
      <c r="Q233">
        <v>27.48</v>
      </c>
      <c r="R233">
        <v>138.44</v>
      </c>
    </row>
    <row r="234" spans="8:18" ht="15.75" thickBot="1" x14ac:dyDescent="0.3">
      <c r="H234">
        <v>95030070</v>
      </c>
      <c r="I234" t="s">
        <v>203</v>
      </c>
      <c r="J234">
        <v>12</v>
      </c>
      <c r="K234">
        <v>2</v>
      </c>
      <c r="L234">
        <v>12</v>
      </c>
      <c r="M234" s="8">
        <f>LOOKUP(H234,$W$4:$W$192,Séparer!$X$4:$X$192)</f>
        <v>0</v>
      </c>
      <c r="N234">
        <v>5.9160000000000004</v>
      </c>
      <c r="O234">
        <v>5.3239999999999998</v>
      </c>
      <c r="P234">
        <v>23.52</v>
      </c>
      <c r="Q234">
        <v>141.12</v>
      </c>
      <c r="R234">
        <v>79.2</v>
      </c>
    </row>
    <row r="235" spans="8:18" ht="15.75" thickBot="1" x14ac:dyDescent="0.3">
      <c r="H235">
        <v>95030075</v>
      </c>
      <c r="I235" t="s">
        <v>17</v>
      </c>
      <c r="J235">
        <v>110</v>
      </c>
      <c r="K235">
        <v>84</v>
      </c>
      <c r="L235">
        <v>152</v>
      </c>
      <c r="M235" s="8">
        <f>LOOKUP(H235,$W$4:$W$192,Séparer!$X$4:$X$192)</f>
        <v>0</v>
      </c>
      <c r="N235">
        <v>84.134</v>
      </c>
      <c r="O235">
        <v>75.724000000000004</v>
      </c>
      <c r="P235">
        <v>411.58599999999996</v>
      </c>
      <c r="Q235">
        <v>1112.2439999999999</v>
      </c>
      <c r="R235">
        <v>1071.3400000000001</v>
      </c>
    </row>
    <row r="236" spans="8:18" ht="15.75" thickBot="1" x14ac:dyDescent="0.3">
      <c r="H236">
        <v>95030081</v>
      </c>
      <c r="I236" t="s">
        <v>17</v>
      </c>
      <c r="J236">
        <v>48</v>
      </c>
      <c r="K236">
        <v>2</v>
      </c>
      <c r="L236">
        <v>48</v>
      </c>
      <c r="M236" s="8">
        <f>LOOKUP(H236,$W$4:$W$192,Séparer!$X$4:$X$192)</f>
        <v>0</v>
      </c>
      <c r="N236">
        <v>6</v>
      </c>
      <c r="O236">
        <v>5.4</v>
      </c>
      <c r="P236">
        <v>5.4180000000000001</v>
      </c>
      <c r="Q236">
        <v>130.03200000000001</v>
      </c>
      <c r="R236">
        <v>100.8</v>
      </c>
    </row>
    <row r="237" spans="8:18" ht="15.75" thickBot="1" x14ac:dyDescent="0.3">
      <c r="H237">
        <v>95030085</v>
      </c>
      <c r="I237" t="s">
        <v>69</v>
      </c>
      <c r="J237">
        <v>20</v>
      </c>
      <c r="K237">
        <v>4</v>
      </c>
      <c r="L237">
        <v>20</v>
      </c>
      <c r="M237" s="8">
        <f>LOOKUP(H237,$W$4:$W$192,Séparer!$X$4:$X$192)</f>
        <v>0</v>
      </c>
      <c r="N237">
        <v>3.516</v>
      </c>
      <c r="O237">
        <v>3.1640000000000001</v>
      </c>
      <c r="P237">
        <v>5.0579999999999998</v>
      </c>
      <c r="Q237">
        <v>23.7</v>
      </c>
      <c r="R237">
        <v>136.4</v>
      </c>
    </row>
    <row r="238" spans="8:18" ht="15.75" thickBot="1" x14ac:dyDescent="0.3">
      <c r="H238">
        <v>95030085</v>
      </c>
      <c r="I238" t="s">
        <v>17</v>
      </c>
      <c r="J238">
        <v>46</v>
      </c>
      <c r="K238">
        <v>24</v>
      </c>
      <c r="L238">
        <v>58</v>
      </c>
      <c r="M238" s="8">
        <f>LOOKUP(H238,$W$4:$W$192,Séparer!$X$4:$X$192)</f>
        <v>0</v>
      </c>
      <c r="N238">
        <v>36.963999999999999</v>
      </c>
      <c r="O238">
        <v>33.265999999999998</v>
      </c>
      <c r="P238">
        <v>59.251999999999995</v>
      </c>
      <c r="Q238">
        <v>256.77800000000002</v>
      </c>
      <c r="R238">
        <v>330.36</v>
      </c>
    </row>
    <row r="239" spans="8:18" ht="15.75" thickBot="1" x14ac:dyDescent="0.3">
      <c r="H239">
        <v>95030085</v>
      </c>
      <c r="I239" t="s">
        <v>620</v>
      </c>
      <c r="J239">
        <v>1</v>
      </c>
      <c r="K239">
        <v>2</v>
      </c>
      <c r="L239">
        <v>2</v>
      </c>
      <c r="M239" s="8">
        <f>LOOKUP(H239,$W$4:$W$192,Séparer!$X$4:$X$192)</f>
        <v>0</v>
      </c>
      <c r="N239">
        <v>1</v>
      </c>
      <c r="O239">
        <v>0.9</v>
      </c>
      <c r="P239">
        <v>3.125</v>
      </c>
      <c r="Q239">
        <v>6.25</v>
      </c>
      <c r="R239">
        <v>30.22</v>
      </c>
    </row>
    <row r="240" spans="8:18" ht="15.75" thickBot="1" x14ac:dyDescent="0.3">
      <c r="H240">
        <v>95030095</v>
      </c>
      <c r="I240" t="s">
        <v>482</v>
      </c>
      <c r="J240">
        <v>1</v>
      </c>
      <c r="K240">
        <v>2</v>
      </c>
      <c r="L240">
        <v>2</v>
      </c>
      <c r="M240" s="8">
        <f>LOOKUP(H240,$W$4:$W$192,Séparer!$X$4:$X$192)</f>
        <v>0</v>
      </c>
      <c r="N240">
        <v>0.63200000000000001</v>
      </c>
      <c r="O240">
        <v>0.56799999999999995</v>
      </c>
      <c r="P240">
        <v>4.84</v>
      </c>
      <c r="Q240">
        <v>9.68</v>
      </c>
      <c r="R240">
        <v>7.6</v>
      </c>
    </row>
    <row r="241" spans="8:18" ht="15.75" thickBot="1" x14ac:dyDescent="0.3">
      <c r="H241">
        <v>95030095</v>
      </c>
      <c r="I241" t="s">
        <v>17</v>
      </c>
      <c r="J241">
        <v>272</v>
      </c>
      <c r="K241">
        <v>85</v>
      </c>
      <c r="L241">
        <v>312</v>
      </c>
      <c r="M241" s="8">
        <f>LOOKUP(H241,$W$4:$W$192,Séparer!$X$4:$X$192)</f>
        <v>0</v>
      </c>
      <c r="N241">
        <v>247.03599999999997</v>
      </c>
      <c r="O241">
        <v>222.32799999999995</v>
      </c>
      <c r="P241">
        <v>925.60299999999972</v>
      </c>
      <c r="Q241">
        <v>3636.4760000000001</v>
      </c>
      <c r="R241">
        <v>1949.1000000000004</v>
      </c>
    </row>
    <row r="242" spans="8:18" ht="15.75" thickBot="1" x14ac:dyDescent="0.3">
      <c r="H242">
        <v>95030095</v>
      </c>
      <c r="I242" t="s">
        <v>69</v>
      </c>
      <c r="J242">
        <v>4</v>
      </c>
      <c r="K242">
        <v>16</v>
      </c>
      <c r="L242">
        <v>16</v>
      </c>
      <c r="M242" s="8">
        <f>LOOKUP(H242,$W$4:$W$192,Séparer!$X$4:$X$192)</f>
        <v>0</v>
      </c>
      <c r="N242">
        <v>6.5279999999999987</v>
      </c>
      <c r="O242">
        <v>5.8759999999999994</v>
      </c>
      <c r="P242">
        <v>18.72</v>
      </c>
      <c r="Q242">
        <v>74.88</v>
      </c>
      <c r="R242">
        <v>177.28</v>
      </c>
    </row>
    <row r="243" spans="8:18" ht="15.75" thickBot="1" x14ac:dyDescent="0.3">
      <c r="H243">
        <v>95030099</v>
      </c>
      <c r="I243" t="s">
        <v>17</v>
      </c>
      <c r="J243">
        <v>6</v>
      </c>
      <c r="K243">
        <v>12</v>
      </c>
      <c r="L243">
        <v>12</v>
      </c>
      <c r="M243" s="8">
        <f>LOOKUP(H243,$W$4:$W$192,Séparer!$X$4:$X$192)</f>
        <v>0</v>
      </c>
      <c r="N243">
        <v>8.7319999999999993</v>
      </c>
      <c r="O243">
        <v>7.8579999999999997</v>
      </c>
      <c r="P243">
        <v>14.235999999999999</v>
      </c>
      <c r="Q243">
        <v>28.471999999999998</v>
      </c>
      <c r="R243">
        <v>68.08</v>
      </c>
    </row>
    <row r="244" spans="8:18" ht="15.75" thickBot="1" x14ac:dyDescent="0.3">
      <c r="H244">
        <v>95044000</v>
      </c>
      <c r="I244" t="s">
        <v>17</v>
      </c>
      <c r="J244">
        <v>1</v>
      </c>
      <c r="K244">
        <v>1</v>
      </c>
      <c r="L244">
        <v>1</v>
      </c>
      <c r="M244" s="8">
        <f>LOOKUP(H244,$W$4:$W$192,Séparer!$X$4:$X$192)</f>
        <v>0</v>
      </c>
      <c r="N244">
        <v>0.45800000000000002</v>
      </c>
      <c r="O244">
        <v>0.41199999999999998</v>
      </c>
      <c r="P244">
        <v>3.375</v>
      </c>
      <c r="Q244">
        <v>3.375</v>
      </c>
      <c r="R244">
        <v>1.3</v>
      </c>
    </row>
    <row r="245" spans="8:18" ht="15.75" thickBot="1" x14ac:dyDescent="0.3">
      <c r="H245">
        <v>95044000</v>
      </c>
      <c r="I245" t="s">
        <v>45</v>
      </c>
      <c r="J245">
        <v>14</v>
      </c>
      <c r="K245">
        <v>8</v>
      </c>
      <c r="L245">
        <v>28</v>
      </c>
      <c r="M245" s="8">
        <f>LOOKUP(H245,$W$4:$W$192,Séparer!$X$4:$X$192)</f>
        <v>0</v>
      </c>
      <c r="N245">
        <v>6.8719999999999999</v>
      </c>
      <c r="O245">
        <v>6.1859999999999999</v>
      </c>
      <c r="P245">
        <v>13.792</v>
      </c>
      <c r="Q245">
        <v>99.26400000000001</v>
      </c>
      <c r="R245">
        <v>417.91999999999996</v>
      </c>
    </row>
    <row r="246" spans="8:18" ht="15.75" thickBot="1" x14ac:dyDescent="0.3">
      <c r="H246">
        <v>95049080</v>
      </c>
      <c r="I246" t="s">
        <v>17</v>
      </c>
      <c r="J246">
        <v>2</v>
      </c>
      <c r="K246">
        <v>4</v>
      </c>
      <c r="L246">
        <v>4</v>
      </c>
      <c r="M246" s="8">
        <f>LOOKUP(H246,$W$4:$W$192,Séparer!$X$4:$X$192)</f>
        <v>0</v>
      </c>
      <c r="N246">
        <v>3.3319999999999999</v>
      </c>
      <c r="O246">
        <v>2.9980000000000002</v>
      </c>
      <c r="P246">
        <v>7</v>
      </c>
      <c r="Q246">
        <v>14</v>
      </c>
      <c r="R246">
        <v>58.88</v>
      </c>
    </row>
    <row r="247" spans="8:18" ht="15.75" thickBot="1" x14ac:dyDescent="0.3">
      <c r="H247">
        <v>95059000</v>
      </c>
      <c r="I247" t="s">
        <v>17</v>
      </c>
      <c r="J247">
        <v>247</v>
      </c>
      <c r="K247">
        <v>163</v>
      </c>
      <c r="L247">
        <v>527</v>
      </c>
      <c r="M247" s="8">
        <f>LOOKUP(H247,$W$4:$W$192,Séparer!$X$4:$X$192)</f>
        <v>0</v>
      </c>
      <c r="N247">
        <v>106.78399999999999</v>
      </c>
      <c r="O247">
        <v>96.106999999999999</v>
      </c>
      <c r="P247">
        <v>266.48099999999999</v>
      </c>
      <c r="Q247">
        <v>1453.7030000000002</v>
      </c>
      <c r="R247">
        <v>1395.73</v>
      </c>
    </row>
    <row r="248" spans="8:18" ht="15.75" thickBot="1" x14ac:dyDescent="0.3">
      <c r="H248">
        <v>96039091</v>
      </c>
      <c r="I248" t="s">
        <v>17</v>
      </c>
      <c r="J248">
        <v>2</v>
      </c>
      <c r="K248">
        <v>5</v>
      </c>
      <c r="L248">
        <v>5</v>
      </c>
      <c r="M248" s="8">
        <f>LOOKUP(H248,$W$4:$W$192,Séparer!$X$4:$X$192)</f>
        <v>0</v>
      </c>
      <c r="N248">
        <v>1.55</v>
      </c>
      <c r="O248">
        <v>1.395</v>
      </c>
      <c r="P248">
        <v>7.52</v>
      </c>
      <c r="Q248">
        <v>15.84</v>
      </c>
      <c r="R248">
        <v>10.52</v>
      </c>
    </row>
    <row r="249" spans="8:18" ht="15.75" thickBot="1" x14ac:dyDescent="0.3">
      <c r="H249">
        <v>96050000</v>
      </c>
      <c r="I249" t="s">
        <v>17</v>
      </c>
      <c r="J249">
        <v>1</v>
      </c>
      <c r="K249">
        <v>3</v>
      </c>
      <c r="L249">
        <v>3</v>
      </c>
      <c r="M249" s="8">
        <f>LOOKUP(H249,$W$4:$W$192,Séparer!$X$4:$X$192)</f>
        <v>0</v>
      </c>
      <c r="N249">
        <v>0.219</v>
      </c>
      <c r="O249">
        <v>0.19700000000000001</v>
      </c>
      <c r="P249">
        <v>0.9</v>
      </c>
      <c r="Q249">
        <v>2.7</v>
      </c>
      <c r="R249">
        <v>5.4</v>
      </c>
    </row>
    <row r="250" spans="8:18" ht="15.75" thickBot="1" x14ac:dyDescent="0.3">
      <c r="H250">
        <v>96081099</v>
      </c>
      <c r="I250" t="s">
        <v>97</v>
      </c>
      <c r="J250">
        <v>1</v>
      </c>
      <c r="K250">
        <v>10</v>
      </c>
      <c r="L250">
        <v>10</v>
      </c>
      <c r="M250" s="8" t="str">
        <f>LOOKUP(H250,$W$4:$W$192,Séparer!$X$4:$X$192)</f>
        <v>Nar</v>
      </c>
      <c r="N250">
        <v>0.33</v>
      </c>
      <c r="O250">
        <v>0.29699999999999999</v>
      </c>
      <c r="P250">
        <v>0.16800000000000001</v>
      </c>
      <c r="Q250">
        <v>1.68</v>
      </c>
      <c r="R250">
        <v>14</v>
      </c>
    </row>
    <row r="251" spans="8:18" ht="15.75" thickBot="1" x14ac:dyDescent="0.3">
      <c r="H251">
        <v>96100000</v>
      </c>
      <c r="I251" t="s">
        <v>17</v>
      </c>
      <c r="J251">
        <v>12</v>
      </c>
      <c r="K251">
        <v>2</v>
      </c>
      <c r="L251">
        <v>12</v>
      </c>
      <c r="M251" s="8">
        <f>LOOKUP(H251,$W$4:$W$192,Séparer!$X$4:$X$192)</f>
        <v>0</v>
      </c>
      <c r="N251">
        <v>37.991999999999997</v>
      </c>
      <c r="O251">
        <v>34.192</v>
      </c>
      <c r="P251">
        <v>47.48</v>
      </c>
      <c r="Q251">
        <v>284.88</v>
      </c>
      <c r="R251">
        <v>247.08</v>
      </c>
    </row>
    <row r="252" spans="8:18" ht="15.75" thickBot="1" x14ac:dyDescent="0.3">
      <c r="H252">
        <v>96151900</v>
      </c>
      <c r="I252" t="s">
        <v>17</v>
      </c>
      <c r="J252">
        <v>5</v>
      </c>
      <c r="K252">
        <v>1</v>
      </c>
      <c r="L252">
        <v>5</v>
      </c>
      <c r="M252" s="8">
        <f>LOOKUP(H252,$W$4:$W$192,Séparer!$X$4:$X$192)</f>
        <v>0</v>
      </c>
      <c r="N252">
        <v>0.11</v>
      </c>
      <c r="O252">
        <v>9.9000000000000005E-2</v>
      </c>
      <c r="P252">
        <v>0.24</v>
      </c>
      <c r="Q252">
        <v>1.2</v>
      </c>
      <c r="R252">
        <v>6.1</v>
      </c>
    </row>
    <row r="253" spans="8:18" ht="15.75" thickBot="1" x14ac:dyDescent="0.3">
      <c r="H253">
        <v>96170000</v>
      </c>
      <c r="I253" t="s">
        <v>17</v>
      </c>
      <c r="J253">
        <v>1</v>
      </c>
      <c r="K253">
        <v>3</v>
      </c>
      <c r="L253">
        <v>3</v>
      </c>
      <c r="M253" s="8">
        <f>LOOKUP(H253,$W$4:$W$192,Séparer!$X$4:$X$192)</f>
        <v>0</v>
      </c>
      <c r="N253">
        <v>1.7490000000000001</v>
      </c>
      <c r="O253">
        <v>1.5740000000000001</v>
      </c>
      <c r="P253">
        <v>3.2170000000000001</v>
      </c>
      <c r="Q253">
        <v>9.6509999999999998</v>
      </c>
      <c r="R253">
        <v>19.440000000000001</v>
      </c>
    </row>
    <row r="256" spans="8:18" x14ac:dyDescent="0.25">
      <c r="J256">
        <f>SUM(J2:J255)</f>
        <v>4103</v>
      </c>
      <c r="K256">
        <f t="shared" ref="K256:Q256" si="0">SUM(K2:K255)</f>
        <v>2161</v>
      </c>
      <c r="L256">
        <f t="shared" si="0"/>
        <v>6742</v>
      </c>
      <c r="N256">
        <f t="shared" si="0"/>
        <v>2626.2569999999996</v>
      </c>
      <c r="O256">
        <f t="shared" si="0"/>
        <v>2363.6310000000008</v>
      </c>
      <c r="P256">
        <f t="shared" si="0"/>
        <v>5307.489999999998</v>
      </c>
      <c r="Q256">
        <f t="shared" si="0"/>
        <v>23321.755000000005</v>
      </c>
      <c r="R256">
        <f>SUM(R2:R255)</f>
        <v>24618.77</v>
      </c>
    </row>
    <row r="838" spans="1:1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</sheetData>
  <autoFilter ref="H1:R253" xr:uid="{00000000-0009-0000-0000-000003000000}">
    <sortState xmlns:xlrd2="http://schemas.microsoft.com/office/spreadsheetml/2017/richdata2" ref="H2:R253">
      <sortCondition ref="H1:H253"/>
    </sortState>
  </autoFilter>
  <dataConsolidate topLabels="1">
    <dataRefs count="1">
      <dataRef ref="H1:Q835" sheet="Combiner"/>
    </dataRefs>
  </dataConsolidate>
  <conditionalFormatting sqref="W4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C3:G194"/>
  <sheetViews>
    <sheetView topLeftCell="A4" workbookViewId="0">
      <selection activeCell="F20" sqref="F20"/>
    </sheetView>
  </sheetViews>
  <sheetFormatPr baseColWidth="10" defaultRowHeight="15" x14ac:dyDescent="0.25"/>
  <cols>
    <col min="6" max="6" width="12.5703125" bestFit="1" customWidth="1"/>
    <col min="7" max="7" width="32.85546875" bestFit="1" customWidth="1"/>
  </cols>
  <sheetData>
    <row r="3" spans="4:6" x14ac:dyDescent="0.25">
      <c r="D3" t="s">
        <v>678</v>
      </c>
      <c r="E3" t="s">
        <v>567</v>
      </c>
      <c r="F3" t="s">
        <v>679</v>
      </c>
    </row>
    <row r="6" spans="4:6" x14ac:dyDescent="0.25">
      <c r="D6">
        <v>1</v>
      </c>
      <c r="E6" s="38" t="s">
        <v>680</v>
      </c>
      <c r="F6">
        <v>0</v>
      </c>
    </row>
    <row r="7" spans="4:6" x14ac:dyDescent="0.25">
      <c r="D7">
        <v>2</v>
      </c>
      <c r="E7">
        <v>17049061</v>
      </c>
      <c r="F7">
        <v>0</v>
      </c>
    </row>
    <row r="8" spans="4:6" x14ac:dyDescent="0.25">
      <c r="D8">
        <v>3</v>
      </c>
      <c r="E8">
        <v>17049065</v>
      </c>
      <c r="F8">
        <v>0</v>
      </c>
    </row>
    <row r="9" spans="4:6" x14ac:dyDescent="0.25">
      <c r="D9">
        <v>4</v>
      </c>
      <c r="E9">
        <v>17049071</v>
      </c>
      <c r="F9">
        <v>0</v>
      </c>
    </row>
    <row r="10" spans="4:6" x14ac:dyDescent="0.25">
      <c r="D10">
        <v>5</v>
      </c>
      <c r="E10">
        <v>18063100</v>
      </c>
      <c r="F10">
        <v>0</v>
      </c>
    </row>
    <row r="11" spans="4:6" x14ac:dyDescent="0.25">
      <c r="D11">
        <v>6</v>
      </c>
      <c r="E11">
        <v>18069019</v>
      </c>
      <c r="F11">
        <v>0</v>
      </c>
    </row>
    <row r="12" spans="4:6" x14ac:dyDescent="0.25">
      <c r="D12">
        <v>7</v>
      </c>
      <c r="E12">
        <v>18069031</v>
      </c>
      <c r="F12">
        <v>0</v>
      </c>
    </row>
    <row r="13" spans="4:6" x14ac:dyDescent="0.25">
      <c r="D13">
        <v>8</v>
      </c>
      <c r="E13">
        <v>18069039</v>
      </c>
      <c r="F13">
        <v>0</v>
      </c>
    </row>
    <row r="14" spans="4:6" x14ac:dyDescent="0.25">
      <c r="D14">
        <v>9</v>
      </c>
      <c r="E14">
        <v>18069060</v>
      </c>
      <c r="F14">
        <v>0</v>
      </c>
    </row>
    <row r="15" spans="4:6" x14ac:dyDescent="0.25">
      <c r="D15">
        <v>10</v>
      </c>
      <c r="E15">
        <v>19053119</v>
      </c>
      <c r="F15">
        <v>0</v>
      </c>
    </row>
    <row r="16" spans="4:6" x14ac:dyDescent="0.25">
      <c r="D16">
        <v>11</v>
      </c>
      <c r="E16">
        <v>19053199</v>
      </c>
      <c r="F16">
        <v>0</v>
      </c>
    </row>
    <row r="17" spans="4:7" x14ac:dyDescent="0.25">
      <c r="D17">
        <v>12</v>
      </c>
      <c r="E17">
        <v>20052020</v>
      </c>
      <c r="F17">
        <v>0</v>
      </c>
    </row>
    <row r="18" spans="4:7" x14ac:dyDescent="0.25">
      <c r="D18">
        <v>13</v>
      </c>
      <c r="E18">
        <v>21069051</v>
      </c>
      <c r="F18">
        <v>0</v>
      </c>
    </row>
    <row r="19" spans="4:7" x14ac:dyDescent="0.25">
      <c r="D19">
        <v>14</v>
      </c>
      <c r="E19">
        <v>21069059</v>
      </c>
      <c r="F19">
        <v>0</v>
      </c>
    </row>
    <row r="20" spans="4:7" x14ac:dyDescent="0.25">
      <c r="D20">
        <v>15</v>
      </c>
      <c r="E20">
        <v>22011090</v>
      </c>
      <c r="F20" t="s">
        <v>681</v>
      </c>
      <c r="G20" t="s">
        <v>682</v>
      </c>
    </row>
    <row r="21" spans="4:7" x14ac:dyDescent="0.25">
      <c r="D21">
        <v>16</v>
      </c>
      <c r="E21">
        <v>22021000</v>
      </c>
      <c r="F21" t="s">
        <v>681</v>
      </c>
      <c r="G21" t="s">
        <v>682</v>
      </c>
    </row>
    <row r="22" spans="4:7" x14ac:dyDescent="0.25">
      <c r="D22">
        <v>17</v>
      </c>
      <c r="E22">
        <v>23091090</v>
      </c>
      <c r="F22">
        <v>0</v>
      </c>
    </row>
    <row r="23" spans="4:7" x14ac:dyDescent="0.25">
      <c r="D23">
        <v>18</v>
      </c>
      <c r="E23">
        <v>23099096</v>
      </c>
      <c r="F23">
        <v>0</v>
      </c>
    </row>
    <row r="24" spans="4:7" x14ac:dyDescent="0.25">
      <c r="D24">
        <v>19</v>
      </c>
      <c r="E24">
        <v>28363000</v>
      </c>
      <c r="F24">
        <v>0</v>
      </c>
    </row>
    <row r="25" spans="4:7" x14ac:dyDescent="0.25">
      <c r="D25">
        <v>20</v>
      </c>
      <c r="E25">
        <v>30051000</v>
      </c>
      <c r="F25">
        <v>0</v>
      </c>
    </row>
    <row r="26" spans="4:7" x14ac:dyDescent="0.25">
      <c r="D26">
        <v>21</v>
      </c>
      <c r="E26">
        <v>33012949</v>
      </c>
      <c r="F26">
        <v>0</v>
      </c>
    </row>
    <row r="27" spans="4:7" x14ac:dyDescent="0.25">
      <c r="D27">
        <v>22</v>
      </c>
      <c r="E27">
        <v>33012991</v>
      </c>
      <c r="F27">
        <v>0</v>
      </c>
    </row>
    <row r="28" spans="4:7" x14ac:dyDescent="0.25">
      <c r="D28">
        <v>23</v>
      </c>
      <c r="E28">
        <v>33021010</v>
      </c>
      <c r="F28">
        <v>0</v>
      </c>
    </row>
    <row r="29" spans="4:7" x14ac:dyDescent="0.25">
      <c r="D29">
        <v>24</v>
      </c>
      <c r="E29">
        <v>33030010</v>
      </c>
      <c r="F29">
        <v>0</v>
      </c>
    </row>
    <row r="30" spans="4:7" x14ac:dyDescent="0.25">
      <c r="D30">
        <v>25</v>
      </c>
      <c r="E30">
        <v>33030090</v>
      </c>
      <c r="F30">
        <v>0</v>
      </c>
    </row>
    <row r="31" spans="4:7" x14ac:dyDescent="0.25">
      <c r="D31">
        <v>26</v>
      </c>
      <c r="E31">
        <v>33043000</v>
      </c>
      <c r="F31">
        <v>0</v>
      </c>
    </row>
    <row r="32" spans="4:7" x14ac:dyDescent="0.25">
      <c r="D32">
        <v>27</v>
      </c>
      <c r="E32">
        <v>33049900</v>
      </c>
      <c r="F32">
        <v>0</v>
      </c>
    </row>
    <row r="33" spans="4:7" x14ac:dyDescent="0.25">
      <c r="D33">
        <v>28</v>
      </c>
      <c r="E33">
        <v>33051000</v>
      </c>
      <c r="F33">
        <v>0</v>
      </c>
    </row>
    <row r="34" spans="4:7" x14ac:dyDescent="0.25">
      <c r="D34">
        <v>29</v>
      </c>
      <c r="E34">
        <v>33059000</v>
      </c>
      <c r="F34">
        <v>0</v>
      </c>
    </row>
    <row r="35" spans="4:7" x14ac:dyDescent="0.25">
      <c r="D35">
        <v>30</v>
      </c>
      <c r="E35">
        <v>33073000</v>
      </c>
      <c r="F35">
        <v>0</v>
      </c>
    </row>
    <row r="36" spans="4:7" x14ac:dyDescent="0.25">
      <c r="D36">
        <v>31</v>
      </c>
      <c r="E36">
        <v>33074900</v>
      </c>
      <c r="F36">
        <v>0</v>
      </c>
    </row>
    <row r="37" spans="4:7" x14ac:dyDescent="0.25">
      <c r="D37">
        <v>32</v>
      </c>
      <c r="E37">
        <v>33079000</v>
      </c>
      <c r="F37">
        <v>0</v>
      </c>
    </row>
    <row r="38" spans="4:7" x14ac:dyDescent="0.25">
      <c r="D38">
        <v>33</v>
      </c>
      <c r="E38">
        <v>34011900</v>
      </c>
      <c r="F38">
        <v>0</v>
      </c>
    </row>
    <row r="39" spans="4:7" x14ac:dyDescent="0.25">
      <c r="D39">
        <v>34</v>
      </c>
      <c r="E39">
        <v>34013000</v>
      </c>
      <c r="F39">
        <v>0</v>
      </c>
    </row>
    <row r="40" spans="4:7" x14ac:dyDescent="0.25">
      <c r="D40">
        <v>35</v>
      </c>
      <c r="E40">
        <v>34025090</v>
      </c>
      <c r="F40">
        <v>0</v>
      </c>
    </row>
    <row r="41" spans="4:7" x14ac:dyDescent="0.25">
      <c r="D41">
        <v>36</v>
      </c>
      <c r="E41">
        <v>34060000</v>
      </c>
      <c r="F41">
        <v>0</v>
      </c>
    </row>
    <row r="42" spans="4:7" x14ac:dyDescent="0.25">
      <c r="D42">
        <v>37</v>
      </c>
      <c r="E42">
        <v>38249996</v>
      </c>
      <c r="F42">
        <v>0</v>
      </c>
    </row>
    <row r="43" spans="4:7" x14ac:dyDescent="0.25">
      <c r="D43">
        <v>38</v>
      </c>
      <c r="E43">
        <v>39232100</v>
      </c>
      <c r="F43">
        <v>0</v>
      </c>
    </row>
    <row r="44" spans="4:7" x14ac:dyDescent="0.25">
      <c r="D44">
        <v>39</v>
      </c>
      <c r="E44">
        <v>39233010</v>
      </c>
      <c r="F44" t="s">
        <v>683</v>
      </c>
      <c r="G44" t="s">
        <v>684</v>
      </c>
    </row>
    <row r="45" spans="4:7" x14ac:dyDescent="0.25">
      <c r="D45">
        <v>40</v>
      </c>
      <c r="E45">
        <v>39241000</v>
      </c>
      <c r="F45">
        <v>0</v>
      </c>
    </row>
    <row r="46" spans="4:7" x14ac:dyDescent="0.25">
      <c r="D46">
        <v>41</v>
      </c>
      <c r="E46">
        <v>39249000</v>
      </c>
      <c r="F46">
        <v>0</v>
      </c>
    </row>
    <row r="47" spans="4:7" x14ac:dyDescent="0.25">
      <c r="D47">
        <v>42</v>
      </c>
      <c r="E47">
        <v>39261000</v>
      </c>
      <c r="F47">
        <v>0</v>
      </c>
    </row>
    <row r="48" spans="4:7" x14ac:dyDescent="0.25">
      <c r="D48">
        <v>43</v>
      </c>
      <c r="E48">
        <v>39262000</v>
      </c>
      <c r="F48">
        <v>0</v>
      </c>
    </row>
    <row r="49" spans="3:7" x14ac:dyDescent="0.25">
      <c r="D49">
        <v>44</v>
      </c>
      <c r="E49">
        <v>39264000</v>
      </c>
      <c r="F49">
        <v>0</v>
      </c>
    </row>
    <row r="50" spans="3:7" x14ac:dyDescent="0.25">
      <c r="D50">
        <v>45</v>
      </c>
      <c r="E50">
        <v>39269097</v>
      </c>
      <c r="F50">
        <v>0</v>
      </c>
    </row>
    <row r="51" spans="3:7" x14ac:dyDescent="0.25">
      <c r="D51">
        <v>46</v>
      </c>
      <c r="E51">
        <v>40169200</v>
      </c>
      <c r="F51">
        <v>0</v>
      </c>
    </row>
    <row r="52" spans="3:7" x14ac:dyDescent="0.25">
      <c r="C52" s="39">
        <v>0.25</v>
      </c>
      <c r="D52">
        <v>47</v>
      </c>
      <c r="E52">
        <v>42010000</v>
      </c>
      <c r="F52">
        <v>0</v>
      </c>
    </row>
    <row r="53" spans="3:7" x14ac:dyDescent="0.25">
      <c r="D53">
        <v>48</v>
      </c>
      <c r="E53">
        <v>42022100</v>
      </c>
      <c r="F53" t="s">
        <v>685</v>
      </c>
      <c r="G53" t="s">
        <v>684</v>
      </c>
    </row>
    <row r="54" spans="3:7" x14ac:dyDescent="0.25">
      <c r="D54">
        <v>49</v>
      </c>
      <c r="E54">
        <v>44013100</v>
      </c>
      <c r="F54">
        <v>0</v>
      </c>
    </row>
    <row r="55" spans="3:7" x14ac:dyDescent="0.25">
      <c r="D55">
        <v>50</v>
      </c>
      <c r="E55">
        <v>44191900</v>
      </c>
      <c r="F55">
        <v>0</v>
      </c>
    </row>
    <row r="56" spans="3:7" x14ac:dyDescent="0.25">
      <c r="D56">
        <v>51</v>
      </c>
      <c r="E56">
        <v>44209010</v>
      </c>
      <c r="F56" t="s">
        <v>686</v>
      </c>
      <c r="G56" t="s">
        <v>687</v>
      </c>
    </row>
    <row r="57" spans="3:7" x14ac:dyDescent="0.25">
      <c r="D57">
        <v>52</v>
      </c>
      <c r="E57">
        <v>44211000</v>
      </c>
      <c r="F57" t="s">
        <v>683</v>
      </c>
      <c r="G57" t="s">
        <v>684</v>
      </c>
    </row>
    <row r="58" spans="3:7" x14ac:dyDescent="0.25">
      <c r="D58">
        <v>53</v>
      </c>
      <c r="E58">
        <v>44219100</v>
      </c>
      <c r="F58">
        <v>0</v>
      </c>
    </row>
    <row r="59" spans="3:7" x14ac:dyDescent="0.25">
      <c r="D59">
        <v>54</v>
      </c>
      <c r="E59">
        <v>48030090</v>
      </c>
      <c r="F59">
        <v>0</v>
      </c>
    </row>
    <row r="60" spans="3:7" x14ac:dyDescent="0.25">
      <c r="D60">
        <v>55</v>
      </c>
      <c r="E60">
        <v>48102200</v>
      </c>
      <c r="F60">
        <v>0</v>
      </c>
    </row>
    <row r="61" spans="3:7" x14ac:dyDescent="0.25">
      <c r="D61">
        <v>56</v>
      </c>
      <c r="E61">
        <v>48114900</v>
      </c>
      <c r="F61">
        <v>0</v>
      </c>
    </row>
    <row r="62" spans="3:7" x14ac:dyDescent="0.25">
      <c r="D62">
        <v>57</v>
      </c>
      <c r="E62">
        <v>48119000</v>
      </c>
      <c r="F62">
        <v>0</v>
      </c>
    </row>
    <row r="63" spans="3:7" x14ac:dyDescent="0.25">
      <c r="D63">
        <v>58</v>
      </c>
      <c r="E63">
        <v>48131000</v>
      </c>
      <c r="F63">
        <v>0</v>
      </c>
    </row>
    <row r="64" spans="3:7" x14ac:dyDescent="0.25">
      <c r="D64">
        <v>59</v>
      </c>
      <c r="E64">
        <v>48171000</v>
      </c>
      <c r="F64">
        <v>0</v>
      </c>
    </row>
    <row r="65" spans="4:7" x14ac:dyDescent="0.25">
      <c r="D65">
        <v>60</v>
      </c>
      <c r="E65">
        <v>48182010</v>
      </c>
      <c r="F65">
        <v>0</v>
      </c>
    </row>
    <row r="66" spans="4:7" x14ac:dyDescent="0.25">
      <c r="D66">
        <v>61</v>
      </c>
      <c r="E66">
        <v>48191000</v>
      </c>
      <c r="F66">
        <v>0</v>
      </c>
    </row>
    <row r="67" spans="4:7" x14ac:dyDescent="0.25">
      <c r="D67">
        <v>62</v>
      </c>
      <c r="E67">
        <v>48201030</v>
      </c>
      <c r="F67">
        <v>0</v>
      </c>
    </row>
    <row r="68" spans="4:7" x14ac:dyDescent="0.25">
      <c r="D68">
        <v>63</v>
      </c>
      <c r="E68">
        <v>48211010</v>
      </c>
      <c r="F68">
        <v>0</v>
      </c>
    </row>
    <row r="69" spans="4:7" x14ac:dyDescent="0.25">
      <c r="D69">
        <v>64</v>
      </c>
      <c r="E69">
        <v>48219010</v>
      </c>
      <c r="F69">
        <v>0</v>
      </c>
    </row>
    <row r="70" spans="4:7" x14ac:dyDescent="0.25">
      <c r="D70">
        <v>65</v>
      </c>
      <c r="E70">
        <v>48236910</v>
      </c>
      <c r="F70">
        <v>0</v>
      </c>
    </row>
    <row r="71" spans="4:7" x14ac:dyDescent="0.25">
      <c r="D71">
        <v>66</v>
      </c>
      <c r="E71">
        <v>55032000</v>
      </c>
      <c r="F71">
        <v>0</v>
      </c>
    </row>
    <row r="72" spans="4:7" x14ac:dyDescent="0.25">
      <c r="D72">
        <v>67</v>
      </c>
      <c r="E72">
        <v>55111000</v>
      </c>
      <c r="F72">
        <v>0</v>
      </c>
    </row>
    <row r="73" spans="4:7" x14ac:dyDescent="0.25">
      <c r="D73">
        <v>68</v>
      </c>
      <c r="E73">
        <v>56012290</v>
      </c>
      <c r="F73">
        <v>0</v>
      </c>
    </row>
    <row r="74" spans="4:7" x14ac:dyDescent="0.25">
      <c r="D74">
        <v>69</v>
      </c>
      <c r="E74">
        <v>56060010</v>
      </c>
      <c r="F74">
        <v>0</v>
      </c>
    </row>
    <row r="75" spans="4:7" x14ac:dyDescent="0.25">
      <c r="D75">
        <v>70</v>
      </c>
      <c r="E75">
        <v>56075011</v>
      </c>
      <c r="F75">
        <v>0</v>
      </c>
    </row>
    <row r="76" spans="4:7" x14ac:dyDescent="0.25">
      <c r="D76">
        <v>71</v>
      </c>
      <c r="E76">
        <v>57049000</v>
      </c>
      <c r="F76" t="s">
        <v>688</v>
      </c>
      <c r="G76" t="s">
        <v>689</v>
      </c>
    </row>
    <row r="77" spans="4:7" x14ac:dyDescent="0.25">
      <c r="D77">
        <v>72</v>
      </c>
      <c r="E77">
        <v>57050030</v>
      </c>
      <c r="F77" t="s">
        <v>688</v>
      </c>
      <c r="G77" t="s">
        <v>689</v>
      </c>
    </row>
    <row r="78" spans="4:7" x14ac:dyDescent="0.25">
      <c r="D78">
        <v>73</v>
      </c>
      <c r="E78">
        <v>61031090</v>
      </c>
      <c r="F78" t="s">
        <v>683</v>
      </c>
      <c r="G78" t="s">
        <v>684</v>
      </c>
    </row>
    <row r="79" spans="4:7" x14ac:dyDescent="0.25">
      <c r="D79">
        <v>74</v>
      </c>
      <c r="E79">
        <v>61032200</v>
      </c>
      <c r="F79" t="s">
        <v>683</v>
      </c>
      <c r="G79" t="s">
        <v>684</v>
      </c>
    </row>
    <row r="80" spans="4:7" x14ac:dyDescent="0.25">
      <c r="D80">
        <v>75</v>
      </c>
      <c r="E80">
        <v>61032300</v>
      </c>
      <c r="F80" t="s">
        <v>683</v>
      </c>
      <c r="G80" t="s">
        <v>684</v>
      </c>
    </row>
    <row r="81" spans="4:7" x14ac:dyDescent="0.25">
      <c r="D81">
        <v>76</v>
      </c>
      <c r="E81">
        <v>61034900</v>
      </c>
      <c r="F81" t="s">
        <v>683</v>
      </c>
      <c r="G81" t="s">
        <v>684</v>
      </c>
    </row>
    <row r="82" spans="4:7" x14ac:dyDescent="0.25">
      <c r="D82">
        <v>77</v>
      </c>
      <c r="E82">
        <v>61042300</v>
      </c>
      <c r="F82" t="s">
        <v>683</v>
      </c>
      <c r="G82" t="s">
        <v>684</v>
      </c>
    </row>
    <row r="83" spans="4:7" x14ac:dyDescent="0.25">
      <c r="D83">
        <v>78</v>
      </c>
      <c r="E83">
        <v>61044300</v>
      </c>
      <c r="F83" t="s">
        <v>683</v>
      </c>
      <c r="G83" t="s">
        <v>684</v>
      </c>
    </row>
    <row r="84" spans="4:7" x14ac:dyDescent="0.25">
      <c r="D84">
        <v>79</v>
      </c>
      <c r="E84">
        <v>61046200</v>
      </c>
      <c r="F84" t="s">
        <v>683</v>
      </c>
      <c r="G84" t="s">
        <v>684</v>
      </c>
    </row>
    <row r="85" spans="4:7" x14ac:dyDescent="0.25">
      <c r="D85">
        <v>80</v>
      </c>
      <c r="E85">
        <v>61046300</v>
      </c>
      <c r="F85" t="s">
        <v>683</v>
      </c>
      <c r="G85" t="s">
        <v>684</v>
      </c>
    </row>
    <row r="86" spans="4:7" x14ac:dyDescent="0.25">
      <c r="D86">
        <v>81</v>
      </c>
      <c r="E86">
        <v>61046900</v>
      </c>
      <c r="F86" t="s">
        <v>683</v>
      </c>
      <c r="G86" t="s">
        <v>684</v>
      </c>
    </row>
    <row r="87" spans="4:7" x14ac:dyDescent="0.25">
      <c r="D87">
        <v>82</v>
      </c>
      <c r="E87">
        <v>61051000</v>
      </c>
      <c r="F87" t="s">
        <v>683</v>
      </c>
      <c r="G87" t="s">
        <v>684</v>
      </c>
    </row>
    <row r="88" spans="4:7" x14ac:dyDescent="0.25">
      <c r="D88">
        <v>83</v>
      </c>
      <c r="E88">
        <v>61071100</v>
      </c>
      <c r="F88" t="s">
        <v>683</v>
      </c>
      <c r="G88" t="s">
        <v>684</v>
      </c>
    </row>
    <row r="89" spans="4:7" x14ac:dyDescent="0.25">
      <c r="D89">
        <v>84</v>
      </c>
      <c r="E89">
        <v>61082100</v>
      </c>
      <c r="F89" t="s">
        <v>683</v>
      </c>
      <c r="G89" t="s">
        <v>684</v>
      </c>
    </row>
    <row r="90" spans="4:7" x14ac:dyDescent="0.25">
      <c r="D90">
        <v>85</v>
      </c>
      <c r="E90">
        <v>61082200</v>
      </c>
      <c r="F90" t="s">
        <v>683</v>
      </c>
      <c r="G90" t="s">
        <v>684</v>
      </c>
    </row>
    <row r="91" spans="4:7" x14ac:dyDescent="0.25">
      <c r="D91">
        <v>86</v>
      </c>
      <c r="E91">
        <v>61089200</v>
      </c>
      <c r="F91" t="s">
        <v>683</v>
      </c>
      <c r="G91" t="s">
        <v>684</v>
      </c>
    </row>
    <row r="92" spans="4:7" x14ac:dyDescent="0.25">
      <c r="D92">
        <v>87</v>
      </c>
      <c r="E92">
        <v>61091000</v>
      </c>
      <c r="F92" t="s">
        <v>683</v>
      </c>
      <c r="G92" t="s">
        <v>684</v>
      </c>
    </row>
    <row r="93" spans="4:7" x14ac:dyDescent="0.25">
      <c r="D93">
        <v>88</v>
      </c>
      <c r="E93">
        <v>61101910</v>
      </c>
      <c r="F93" t="s">
        <v>683</v>
      </c>
      <c r="G93" t="s">
        <v>684</v>
      </c>
    </row>
    <row r="94" spans="4:7" x14ac:dyDescent="0.25">
      <c r="D94">
        <v>89</v>
      </c>
      <c r="E94">
        <v>61101990</v>
      </c>
      <c r="F94" t="s">
        <v>683</v>
      </c>
      <c r="G94" t="s">
        <v>684</v>
      </c>
    </row>
    <row r="95" spans="4:7" x14ac:dyDescent="0.25">
      <c r="D95">
        <v>90</v>
      </c>
      <c r="E95">
        <v>61102091</v>
      </c>
      <c r="F95" t="s">
        <v>685</v>
      </c>
      <c r="G95" t="s">
        <v>684</v>
      </c>
    </row>
    <row r="96" spans="4:7" x14ac:dyDescent="0.25">
      <c r="D96">
        <v>91</v>
      </c>
      <c r="E96">
        <v>61103010</v>
      </c>
      <c r="F96" t="s">
        <v>685</v>
      </c>
      <c r="G96" t="s">
        <v>684</v>
      </c>
    </row>
    <row r="97" spans="3:7" x14ac:dyDescent="0.25">
      <c r="D97">
        <v>92</v>
      </c>
      <c r="E97">
        <v>61109090</v>
      </c>
      <c r="F97" t="s">
        <v>685</v>
      </c>
      <c r="G97" t="s">
        <v>684</v>
      </c>
    </row>
    <row r="98" spans="3:7" x14ac:dyDescent="0.25">
      <c r="D98">
        <v>93</v>
      </c>
      <c r="E98">
        <v>61142000</v>
      </c>
      <c r="F98">
        <v>0</v>
      </c>
    </row>
    <row r="99" spans="3:7" x14ac:dyDescent="0.25">
      <c r="C99" s="39">
        <v>0.5</v>
      </c>
      <c r="D99">
        <v>94</v>
      </c>
      <c r="E99">
        <v>61152100</v>
      </c>
      <c r="F99" t="s">
        <v>685</v>
      </c>
      <c r="G99" t="s">
        <v>684</v>
      </c>
    </row>
    <row r="100" spans="3:7" x14ac:dyDescent="0.25">
      <c r="D100">
        <v>95</v>
      </c>
      <c r="E100">
        <v>61152200</v>
      </c>
      <c r="F100" t="s">
        <v>685</v>
      </c>
      <c r="G100" t="s">
        <v>684</v>
      </c>
    </row>
    <row r="101" spans="3:7" x14ac:dyDescent="0.25">
      <c r="D101">
        <v>96</v>
      </c>
      <c r="E101">
        <v>61152900</v>
      </c>
      <c r="F101" t="s">
        <v>685</v>
      </c>
      <c r="G101" t="s">
        <v>684</v>
      </c>
    </row>
    <row r="102" spans="3:7" x14ac:dyDescent="0.25">
      <c r="D102">
        <v>97</v>
      </c>
      <c r="E102">
        <v>61153011</v>
      </c>
      <c r="F102" t="s">
        <v>690</v>
      </c>
      <c r="G102" t="s">
        <v>691</v>
      </c>
    </row>
    <row r="103" spans="3:7" x14ac:dyDescent="0.25">
      <c r="D103">
        <v>98</v>
      </c>
      <c r="E103">
        <v>61153019</v>
      </c>
      <c r="F103" t="s">
        <v>690</v>
      </c>
      <c r="G103" t="s">
        <v>691</v>
      </c>
    </row>
    <row r="104" spans="3:7" x14ac:dyDescent="0.25">
      <c r="D104">
        <v>99</v>
      </c>
      <c r="E104">
        <v>61153090</v>
      </c>
      <c r="F104" t="s">
        <v>690</v>
      </c>
      <c r="G104" t="s">
        <v>691</v>
      </c>
    </row>
    <row r="105" spans="3:7" x14ac:dyDescent="0.25">
      <c r="D105">
        <v>100</v>
      </c>
      <c r="E105">
        <v>61159500</v>
      </c>
      <c r="F105" t="s">
        <v>690</v>
      </c>
      <c r="G105" t="s">
        <v>691</v>
      </c>
    </row>
    <row r="106" spans="3:7" x14ac:dyDescent="0.25">
      <c r="D106">
        <v>101</v>
      </c>
      <c r="E106">
        <v>62033990</v>
      </c>
      <c r="F106" t="s">
        <v>683</v>
      </c>
      <c r="G106" t="s">
        <v>684</v>
      </c>
    </row>
    <row r="107" spans="3:7" x14ac:dyDescent="0.25">
      <c r="D107">
        <v>102</v>
      </c>
      <c r="E107">
        <v>62034231</v>
      </c>
      <c r="F107" t="s">
        <v>683</v>
      </c>
      <c r="G107" t="s">
        <v>684</v>
      </c>
    </row>
    <row r="108" spans="3:7" x14ac:dyDescent="0.25">
      <c r="D108">
        <v>103</v>
      </c>
      <c r="E108">
        <v>62044300</v>
      </c>
      <c r="F108" t="s">
        <v>683</v>
      </c>
      <c r="G108" t="s">
        <v>684</v>
      </c>
    </row>
    <row r="109" spans="3:7" x14ac:dyDescent="0.25">
      <c r="D109">
        <v>104</v>
      </c>
      <c r="E109">
        <v>62044990</v>
      </c>
      <c r="F109" t="s">
        <v>683</v>
      </c>
      <c r="G109" t="s">
        <v>684</v>
      </c>
    </row>
    <row r="110" spans="3:7" x14ac:dyDescent="0.25">
      <c r="D110">
        <v>105</v>
      </c>
      <c r="E110">
        <v>62045990</v>
      </c>
      <c r="F110" t="s">
        <v>683</v>
      </c>
      <c r="G110" t="s">
        <v>684</v>
      </c>
    </row>
    <row r="111" spans="3:7" x14ac:dyDescent="0.25">
      <c r="D111">
        <v>106</v>
      </c>
      <c r="E111">
        <v>62046290</v>
      </c>
      <c r="F111" t="s">
        <v>683</v>
      </c>
      <c r="G111" t="s">
        <v>684</v>
      </c>
    </row>
    <row r="112" spans="3:7" x14ac:dyDescent="0.25">
      <c r="D112">
        <v>107</v>
      </c>
      <c r="E112">
        <v>62046390</v>
      </c>
      <c r="F112" t="s">
        <v>683</v>
      </c>
      <c r="G112" t="s">
        <v>684</v>
      </c>
    </row>
    <row r="113" spans="4:7" x14ac:dyDescent="0.25">
      <c r="D113">
        <v>108</v>
      </c>
      <c r="E113">
        <v>62046990</v>
      </c>
      <c r="F113" t="s">
        <v>683</v>
      </c>
      <c r="G113" t="s">
        <v>684</v>
      </c>
    </row>
    <row r="114" spans="4:7" x14ac:dyDescent="0.25">
      <c r="D114">
        <v>109</v>
      </c>
      <c r="E114">
        <v>62052000</v>
      </c>
      <c r="F114" t="s">
        <v>683</v>
      </c>
      <c r="G114" t="s">
        <v>684</v>
      </c>
    </row>
    <row r="115" spans="4:7" x14ac:dyDescent="0.25">
      <c r="D115">
        <v>110</v>
      </c>
      <c r="E115">
        <v>62069090</v>
      </c>
      <c r="F115" t="s">
        <v>683</v>
      </c>
      <c r="G115" t="s">
        <v>684</v>
      </c>
    </row>
    <row r="116" spans="4:7" x14ac:dyDescent="0.25">
      <c r="D116">
        <v>111</v>
      </c>
      <c r="E116">
        <v>62114390</v>
      </c>
      <c r="F116">
        <v>0</v>
      </c>
    </row>
    <row r="117" spans="4:7" x14ac:dyDescent="0.25">
      <c r="D117">
        <v>112</v>
      </c>
      <c r="E117">
        <v>62121010</v>
      </c>
      <c r="F117" t="s">
        <v>683</v>
      </c>
      <c r="G117" t="s">
        <v>684</v>
      </c>
    </row>
    <row r="118" spans="4:7" x14ac:dyDescent="0.25">
      <c r="D118">
        <v>113</v>
      </c>
      <c r="E118">
        <v>62121090</v>
      </c>
      <c r="F118" t="s">
        <v>683</v>
      </c>
      <c r="G118" t="s">
        <v>684</v>
      </c>
    </row>
    <row r="119" spans="4:7" x14ac:dyDescent="0.25">
      <c r="D119">
        <v>114</v>
      </c>
      <c r="E119">
        <v>62143000</v>
      </c>
      <c r="F119" t="s">
        <v>683</v>
      </c>
      <c r="G119" t="s">
        <v>684</v>
      </c>
    </row>
    <row r="120" spans="4:7" x14ac:dyDescent="0.25">
      <c r="D120">
        <v>115</v>
      </c>
      <c r="E120">
        <v>63014090</v>
      </c>
      <c r="F120" t="s">
        <v>683</v>
      </c>
      <c r="G120" t="s">
        <v>684</v>
      </c>
    </row>
    <row r="121" spans="4:7" x14ac:dyDescent="0.25">
      <c r="D121">
        <v>116</v>
      </c>
      <c r="E121">
        <v>63022100</v>
      </c>
      <c r="F121">
        <v>0</v>
      </c>
    </row>
    <row r="122" spans="4:7" x14ac:dyDescent="0.25">
      <c r="D122">
        <v>117</v>
      </c>
      <c r="E122">
        <v>63022290</v>
      </c>
      <c r="F122">
        <v>0</v>
      </c>
    </row>
    <row r="123" spans="4:7" x14ac:dyDescent="0.25">
      <c r="D123">
        <v>118</v>
      </c>
      <c r="E123">
        <v>63023100</v>
      </c>
      <c r="F123">
        <v>0</v>
      </c>
    </row>
    <row r="124" spans="4:7" x14ac:dyDescent="0.25">
      <c r="D124">
        <v>119</v>
      </c>
      <c r="E124">
        <v>63029390</v>
      </c>
      <c r="F124">
        <v>0</v>
      </c>
    </row>
    <row r="125" spans="4:7" x14ac:dyDescent="0.25">
      <c r="D125">
        <v>120</v>
      </c>
      <c r="E125">
        <v>63039290</v>
      </c>
      <c r="F125" t="s">
        <v>688</v>
      </c>
      <c r="G125" t="s">
        <v>689</v>
      </c>
    </row>
    <row r="126" spans="4:7" x14ac:dyDescent="0.25">
      <c r="D126">
        <v>121</v>
      </c>
      <c r="E126">
        <v>63041990</v>
      </c>
      <c r="F126" t="s">
        <v>683</v>
      </c>
      <c r="G126" t="s">
        <v>684</v>
      </c>
    </row>
    <row r="127" spans="4:7" x14ac:dyDescent="0.25">
      <c r="D127">
        <v>122</v>
      </c>
      <c r="E127">
        <v>63049300</v>
      </c>
      <c r="F127">
        <v>0</v>
      </c>
    </row>
    <row r="128" spans="4:7" x14ac:dyDescent="0.25">
      <c r="D128">
        <v>123</v>
      </c>
      <c r="E128">
        <v>63071010</v>
      </c>
      <c r="F128">
        <v>0</v>
      </c>
    </row>
    <row r="129" spans="4:6" x14ac:dyDescent="0.25">
      <c r="D129">
        <v>124</v>
      </c>
      <c r="E129">
        <v>63071030</v>
      </c>
      <c r="F129">
        <v>0</v>
      </c>
    </row>
    <row r="130" spans="4:6" x14ac:dyDescent="0.25">
      <c r="D130">
        <v>125</v>
      </c>
      <c r="E130">
        <v>63079010</v>
      </c>
      <c r="F130">
        <v>0</v>
      </c>
    </row>
    <row r="131" spans="4:6" x14ac:dyDescent="0.25">
      <c r="D131">
        <v>126</v>
      </c>
      <c r="E131">
        <v>63079098</v>
      </c>
      <c r="F131">
        <v>0</v>
      </c>
    </row>
    <row r="132" spans="4:6" x14ac:dyDescent="0.25">
      <c r="D132">
        <v>127</v>
      </c>
      <c r="E132">
        <v>64019290</v>
      </c>
      <c r="F132" t="s">
        <v>690</v>
      </c>
    </row>
    <row r="133" spans="4:6" x14ac:dyDescent="0.25">
      <c r="D133">
        <v>128</v>
      </c>
      <c r="E133">
        <v>64029910</v>
      </c>
      <c r="F133" t="s">
        <v>690</v>
      </c>
    </row>
    <row r="134" spans="4:6" x14ac:dyDescent="0.25">
      <c r="D134">
        <v>129</v>
      </c>
      <c r="E134">
        <v>64029931</v>
      </c>
      <c r="F134" t="s">
        <v>690</v>
      </c>
    </row>
    <row r="135" spans="4:6" x14ac:dyDescent="0.25">
      <c r="D135">
        <v>130</v>
      </c>
      <c r="E135">
        <v>64039111</v>
      </c>
      <c r="F135" t="s">
        <v>690</v>
      </c>
    </row>
    <row r="136" spans="4:6" x14ac:dyDescent="0.25">
      <c r="D136">
        <v>131</v>
      </c>
      <c r="E136">
        <v>64039996</v>
      </c>
      <c r="F136" t="s">
        <v>690</v>
      </c>
    </row>
    <row r="137" spans="4:6" x14ac:dyDescent="0.25">
      <c r="D137">
        <v>132</v>
      </c>
      <c r="E137">
        <v>64041910</v>
      </c>
      <c r="F137" t="s">
        <v>690</v>
      </c>
    </row>
    <row r="138" spans="4:6" x14ac:dyDescent="0.25">
      <c r="D138">
        <v>133</v>
      </c>
      <c r="E138">
        <v>64069050</v>
      </c>
      <c r="F138">
        <v>0</v>
      </c>
    </row>
    <row r="139" spans="4:6" x14ac:dyDescent="0.25">
      <c r="D139">
        <v>134</v>
      </c>
      <c r="E139">
        <v>67021000</v>
      </c>
      <c r="F139">
        <v>0</v>
      </c>
    </row>
    <row r="140" spans="4:6" x14ac:dyDescent="0.25">
      <c r="D140">
        <v>135</v>
      </c>
      <c r="E140">
        <v>67029000</v>
      </c>
      <c r="F140">
        <v>0</v>
      </c>
    </row>
    <row r="141" spans="4:6" x14ac:dyDescent="0.25">
      <c r="D141">
        <v>136</v>
      </c>
      <c r="E141">
        <v>68030090</v>
      </c>
      <c r="F141">
        <v>0</v>
      </c>
    </row>
    <row r="142" spans="4:6" x14ac:dyDescent="0.25">
      <c r="D142">
        <v>137</v>
      </c>
      <c r="E142">
        <v>68053000</v>
      </c>
      <c r="F142">
        <v>0</v>
      </c>
    </row>
    <row r="143" spans="4:6" x14ac:dyDescent="0.25">
      <c r="D143">
        <v>138</v>
      </c>
      <c r="E143">
        <v>69111000</v>
      </c>
      <c r="F143">
        <v>0</v>
      </c>
    </row>
    <row r="144" spans="4:6" x14ac:dyDescent="0.25">
      <c r="D144">
        <v>139</v>
      </c>
      <c r="E144">
        <v>69120023</v>
      </c>
      <c r="F144">
        <v>0</v>
      </c>
    </row>
    <row r="145" spans="3:7" x14ac:dyDescent="0.25">
      <c r="D145">
        <v>140</v>
      </c>
      <c r="E145">
        <v>69120029</v>
      </c>
      <c r="F145">
        <v>0</v>
      </c>
    </row>
    <row r="146" spans="3:7" x14ac:dyDescent="0.25">
      <c r="C146" s="39">
        <v>0.75</v>
      </c>
      <c r="D146">
        <v>141</v>
      </c>
      <c r="E146">
        <v>70109010</v>
      </c>
      <c r="F146" t="s">
        <v>685</v>
      </c>
      <c r="G146" t="s">
        <v>684</v>
      </c>
    </row>
    <row r="147" spans="3:7" x14ac:dyDescent="0.25">
      <c r="D147">
        <v>142</v>
      </c>
      <c r="E147">
        <v>70132890</v>
      </c>
      <c r="F147" t="s">
        <v>685</v>
      </c>
      <c r="G147" t="s">
        <v>684</v>
      </c>
    </row>
    <row r="148" spans="3:7" x14ac:dyDescent="0.25">
      <c r="D148">
        <v>143</v>
      </c>
      <c r="E148">
        <v>70133791</v>
      </c>
      <c r="F148" t="s">
        <v>685</v>
      </c>
      <c r="G148" t="s">
        <v>684</v>
      </c>
    </row>
    <row r="149" spans="3:7" x14ac:dyDescent="0.25">
      <c r="D149">
        <v>144</v>
      </c>
      <c r="E149">
        <v>70133799</v>
      </c>
      <c r="F149" t="s">
        <v>685</v>
      </c>
      <c r="G149" t="s">
        <v>684</v>
      </c>
    </row>
    <row r="150" spans="3:7" x14ac:dyDescent="0.25">
      <c r="D150">
        <v>145</v>
      </c>
      <c r="E150">
        <v>70134999</v>
      </c>
      <c r="F150" t="s">
        <v>685</v>
      </c>
      <c r="G150" t="s">
        <v>684</v>
      </c>
    </row>
    <row r="151" spans="3:7" x14ac:dyDescent="0.25">
      <c r="D151">
        <v>146</v>
      </c>
      <c r="E151">
        <v>70139900</v>
      </c>
      <c r="F151" t="s">
        <v>685</v>
      </c>
      <c r="G151" t="s">
        <v>684</v>
      </c>
    </row>
    <row r="152" spans="3:7" x14ac:dyDescent="0.25">
      <c r="D152">
        <v>147</v>
      </c>
      <c r="E152">
        <v>71171900</v>
      </c>
      <c r="F152">
        <v>0</v>
      </c>
    </row>
    <row r="153" spans="3:7" x14ac:dyDescent="0.25">
      <c r="D153">
        <v>148</v>
      </c>
      <c r="E153">
        <v>73239300</v>
      </c>
      <c r="F153">
        <v>0</v>
      </c>
    </row>
    <row r="154" spans="3:7" x14ac:dyDescent="0.25">
      <c r="D154">
        <v>149</v>
      </c>
      <c r="E154">
        <v>73239900</v>
      </c>
      <c r="F154">
        <v>0</v>
      </c>
    </row>
    <row r="155" spans="3:7" x14ac:dyDescent="0.25">
      <c r="D155">
        <v>150</v>
      </c>
      <c r="E155">
        <v>76151010</v>
      </c>
      <c r="F155">
        <v>0</v>
      </c>
    </row>
    <row r="156" spans="3:7" x14ac:dyDescent="0.25">
      <c r="D156">
        <v>151</v>
      </c>
      <c r="E156">
        <v>76151080</v>
      </c>
      <c r="F156">
        <v>0</v>
      </c>
    </row>
    <row r="157" spans="3:7" x14ac:dyDescent="0.25">
      <c r="D157">
        <v>152</v>
      </c>
      <c r="E157">
        <v>82100000</v>
      </c>
      <c r="F157">
        <v>0</v>
      </c>
    </row>
    <row r="158" spans="3:7" x14ac:dyDescent="0.25">
      <c r="D158">
        <v>153</v>
      </c>
      <c r="E158">
        <v>82152010</v>
      </c>
      <c r="F158">
        <v>0</v>
      </c>
    </row>
    <row r="159" spans="3:7" x14ac:dyDescent="0.25">
      <c r="D159">
        <v>154</v>
      </c>
      <c r="E159">
        <v>84433100</v>
      </c>
      <c r="F159" t="s">
        <v>685</v>
      </c>
      <c r="G159" t="s">
        <v>684</v>
      </c>
    </row>
    <row r="160" spans="3:7" x14ac:dyDescent="0.25">
      <c r="D160">
        <v>155</v>
      </c>
      <c r="E160">
        <v>85081100</v>
      </c>
      <c r="F160" t="s">
        <v>685</v>
      </c>
      <c r="G160" t="s">
        <v>684</v>
      </c>
    </row>
    <row r="161" spans="4:7" x14ac:dyDescent="0.25">
      <c r="D161">
        <v>156</v>
      </c>
      <c r="E161">
        <v>85094000</v>
      </c>
      <c r="F161" t="s">
        <v>685</v>
      </c>
      <c r="G161" t="s">
        <v>684</v>
      </c>
    </row>
    <row r="162" spans="4:7" x14ac:dyDescent="0.25">
      <c r="D162">
        <v>157</v>
      </c>
      <c r="E162">
        <v>85165000</v>
      </c>
      <c r="F162" t="s">
        <v>685</v>
      </c>
      <c r="G162" t="s">
        <v>684</v>
      </c>
    </row>
    <row r="163" spans="4:7" x14ac:dyDescent="0.25">
      <c r="D163">
        <v>158</v>
      </c>
      <c r="E163">
        <v>85166070</v>
      </c>
      <c r="F163" t="s">
        <v>685</v>
      </c>
      <c r="G163" t="s">
        <v>684</v>
      </c>
    </row>
    <row r="164" spans="4:7" x14ac:dyDescent="0.25">
      <c r="D164">
        <v>159</v>
      </c>
      <c r="E164">
        <v>85167200</v>
      </c>
      <c r="F164" t="s">
        <v>685</v>
      </c>
      <c r="G164" t="s">
        <v>684</v>
      </c>
    </row>
    <row r="165" spans="4:7" x14ac:dyDescent="0.25">
      <c r="D165">
        <v>160</v>
      </c>
      <c r="E165">
        <v>85167970</v>
      </c>
      <c r="F165" t="s">
        <v>685</v>
      </c>
      <c r="G165" t="s">
        <v>684</v>
      </c>
    </row>
    <row r="166" spans="4:7" x14ac:dyDescent="0.25">
      <c r="D166">
        <v>161</v>
      </c>
      <c r="E166">
        <v>85182100</v>
      </c>
      <c r="F166" t="s">
        <v>685</v>
      </c>
      <c r="G166" t="s">
        <v>684</v>
      </c>
    </row>
    <row r="167" spans="4:7" x14ac:dyDescent="0.25">
      <c r="D167">
        <v>162</v>
      </c>
      <c r="E167">
        <v>85434000</v>
      </c>
      <c r="F167">
        <v>0</v>
      </c>
    </row>
    <row r="168" spans="4:7" x14ac:dyDescent="0.25">
      <c r="D168">
        <v>163</v>
      </c>
      <c r="E168">
        <v>85437090</v>
      </c>
      <c r="F168">
        <v>0</v>
      </c>
    </row>
    <row r="169" spans="4:7" x14ac:dyDescent="0.25">
      <c r="D169">
        <v>164</v>
      </c>
      <c r="E169">
        <v>85444290</v>
      </c>
      <c r="F169">
        <v>0</v>
      </c>
    </row>
    <row r="170" spans="4:7" x14ac:dyDescent="0.25">
      <c r="D170">
        <v>165</v>
      </c>
      <c r="E170">
        <v>94037000</v>
      </c>
      <c r="F170">
        <v>0</v>
      </c>
    </row>
    <row r="171" spans="4:7" x14ac:dyDescent="0.25">
      <c r="D171">
        <v>166</v>
      </c>
      <c r="E171">
        <v>94049090</v>
      </c>
      <c r="F171">
        <v>0</v>
      </c>
    </row>
    <row r="172" spans="4:7" x14ac:dyDescent="0.25">
      <c r="D172">
        <v>167</v>
      </c>
      <c r="E172">
        <v>95030010</v>
      </c>
      <c r="F172">
        <v>0</v>
      </c>
    </row>
    <row r="173" spans="4:7" x14ac:dyDescent="0.25">
      <c r="D173">
        <v>168</v>
      </c>
      <c r="E173">
        <v>95030021</v>
      </c>
      <c r="F173">
        <v>0</v>
      </c>
    </row>
    <row r="174" spans="4:7" x14ac:dyDescent="0.25">
      <c r="D174">
        <v>169</v>
      </c>
      <c r="E174">
        <v>95030030</v>
      </c>
      <c r="F174">
        <v>0</v>
      </c>
    </row>
    <row r="175" spans="4:7" x14ac:dyDescent="0.25">
      <c r="D175">
        <v>170</v>
      </c>
      <c r="E175">
        <v>95030035</v>
      </c>
      <c r="F175">
        <v>0</v>
      </c>
    </row>
    <row r="176" spans="4:7" x14ac:dyDescent="0.25">
      <c r="D176">
        <v>171</v>
      </c>
      <c r="E176">
        <v>95030041</v>
      </c>
      <c r="F176">
        <v>0</v>
      </c>
    </row>
    <row r="177" spans="4:7" x14ac:dyDescent="0.25">
      <c r="D177">
        <v>172</v>
      </c>
      <c r="E177">
        <v>95030049</v>
      </c>
      <c r="F177">
        <v>0</v>
      </c>
    </row>
    <row r="178" spans="4:7" x14ac:dyDescent="0.25">
      <c r="D178">
        <v>173</v>
      </c>
      <c r="E178">
        <v>95030055</v>
      </c>
      <c r="F178">
        <v>0</v>
      </c>
    </row>
    <row r="179" spans="4:7" x14ac:dyDescent="0.25">
      <c r="D179">
        <v>174</v>
      </c>
      <c r="E179">
        <v>95030069</v>
      </c>
      <c r="F179">
        <v>0</v>
      </c>
    </row>
    <row r="180" spans="4:7" x14ac:dyDescent="0.25">
      <c r="D180">
        <v>175</v>
      </c>
      <c r="E180">
        <v>95030070</v>
      </c>
      <c r="F180">
        <v>0</v>
      </c>
    </row>
    <row r="181" spans="4:7" x14ac:dyDescent="0.25">
      <c r="D181">
        <v>176</v>
      </c>
      <c r="E181">
        <v>95030075</v>
      </c>
      <c r="F181">
        <v>0</v>
      </c>
    </row>
    <row r="182" spans="4:7" x14ac:dyDescent="0.25">
      <c r="D182">
        <v>177</v>
      </c>
      <c r="E182">
        <v>95030081</v>
      </c>
      <c r="F182">
        <v>0</v>
      </c>
    </row>
    <row r="183" spans="4:7" x14ac:dyDescent="0.25">
      <c r="D183">
        <v>178</v>
      </c>
      <c r="E183">
        <v>95030085</v>
      </c>
      <c r="F183">
        <v>0</v>
      </c>
    </row>
    <row r="184" spans="4:7" x14ac:dyDescent="0.25">
      <c r="D184">
        <v>179</v>
      </c>
      <c r="E184">
        <v>95030095</v>
      </c>
      <c r="F184">
        <v>0</v>
      </c>
    </row>
    <row r="185" spans="4:7" x14ac:dyDescent="0.25">
      <c r="D185">
        <v>180</v>
      </c>
      <c r="E185">
        <v>95030099</v>
      </c>
      <c r="F185">
        <v>0</v>
      </c>
    </row>
    <row r="186" spans="4:7" x14ac:dyDescent="0.25">
      <c r="D186">
        <v>181</v>
      </c>
      <c r="E186">
        <v>95044000</v>
      </c>
      <c r="F186">
        <v>0</v>
      </c>
    </row>
    <row r="187" spans="4:7" x14ac:dyDescent="0.25">
      <c r="D187">
        <v>182</v>
      </c>
      <c r="E187">
        <v>95049080</v>
      </c>
      <c r="F187">
        <v>0</v>
      </c>
    </row>
    <row r="188" spans="4:7" x14ac:dyDescent="0.25">
      <c r="D188">
        <v>183</v>
      </c>
      <c r="E188">
        <v>95059000</v>
      </c>
      <c r="F188">
        <v>0</v>
      </c>
    </row>
    <row r="189" spans="4:7" x14ac:dyDescent="0.25">
      <c r="D189">
        <v>184</v>
      </c>
      <c r="E189">
        <v>96039091</v>
      </c>
      <c r="F189">
        <v>0</v>
      </c>
    </row>
    <row r="190" spans="4:7" x14ac:dyDescent="0.25">
      <c r="D190">
        <v>185</v>
      </c>
      <c r="E190">
        <v>96050000</v>
      </c>
      <c r="F190">
        <v>0</v>
      </c>
    </row>
    <row r="191" spans="4:7" x14ac:dyDescent="0.25">
      <c r="D191">
        <v>186</v>
      </c>
      <c r="E191">
        <v>96081099</v>
      </c>
      <c r="F191" t="s">
        <v>685</v>
      </c>
      <c r="G191" t="s">
        <v>684</v>
      </c>
    </row>
    <row r="192" spans="4:7" x14ac:dyDescent="0.25">
      <c r="D192">
        <v>187</v>
      </c>
      <c r="E192">
        <v>96100000</v>
      </c>
      <c r="F192">
        <v>0</v>
      </c>
    </row>
    <row r="193" spans="4:6" x14ac:dyDescent="0.25">
      <c r="D193">
        <v>188</v>
      </c>
      <c r="E193">
        <v>96151900</v>
      </c>
      <c r="F193">
        <v>0</v>
      </c>
    </row>
    <row r="194" spans="4:6" x14ac:dyDescent="0.25">
      <c r="D194">
        <v>189</v>
      </c>
      <c r="E194">
        <v>96170000</v>
      </c>
      <c r="F194">
        <v>0</v>
      </c>
    </row>
  </sheetData>
  <conditionalFormatting sqref="E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"/>
  <dimension ref="A4:C19"/>
  <sheetViews>
    <sheetView workbookViewId="0">
      <selection activeCell="C23" sqref="C23"/>
    </sheetView>
  </sheetViews>
  <sheetFormatPr baseColWidth="10" defaultRowHeight="15" x14ac:dyDescent="0.25"/>
  <cols>
    <col min="3" max="3" width="78.140625" bestFit="1" customWidth="1"/>
  </cols>
  <sheetData>
    <row r="4" spans="1:3" x14ac:dyDescent="0.25">
      <c r="A4" t="s">
        <v>953</v>
      </c>
      <c r="B4">
        <v>1</v>
      </c>
      <c r="C4" t="s">
        <v>945</v>
      </c>
    </row>
    <row r="5" spans="1:3" x14ac:dyDescent="0.25">
      <c r="B5">
        <v>2</v>
      </c>
      <c r="C5" t="s">
        <v>946</v>
      </c>
    </row>
    <row r="6" spans="1:3" x14ac:dyDescent="0.25">
      <c r="B6">
        <v>3</v>
      </c>
      <c r="C6" t="s">
        <v>947</v>
      </c>
    </row>
    <row r="7" spans="1:3" x14ac:dyDescent="0.25">
      <c r="A7" t="s">
        <v>953</v>
      </c>
      <c r="B7">
        <v>4</v>
      </c>
      <c r="C7" t="s">
        <v>948</v>
      </c>
    </row>
    <row r="8" spans="1:3" x14ac:dyDescent="0.25">
      <c r="C8" t="s">
        <v>949</v>
      </c>
    </row>
    <row r="9" spans="1:3" x14ac:dyDescent="0.25">
      <c r="B9">
        <v>5</v>
      </c>
      <c r="C9" t="s">
        <v>950</v>
      </c>
    </row>
    <row r="10" spans="1:3" x14ac:dyDescent="0.25">
      <c r="B10">
        <v>6</v>
      </c>
      <c r="C10" t="s">
        <v>951</v>
      </c>
    </row>
    <row r="11" spans="1:3" x14ac:dyDescent="0.25">
      <c r="C11" t="s">
        <v>952</v>
      </c>
    </row>
    <row r="12" spans="1:3" x14ac:dyDescent="0.25">
      <c r="A12" t="s">
        <v>953</v>
      </c>
      <c r="B12">
        <v>7</v>
      </c>
      <c r="C12" t="s">
        <v>954</v>
      </c>
    </row>
    <row r="13" spans="1:3" x14ac:dyDescent="0.25">
      <c r="C13" t="s">
        <v>955</v>
      </c>
    </row>
    <row r="14" spans="1:3" x14ac:dyDescent="0.25">
      <c r="C14" t="s">
        <v>956</v>
      </c>
    </row>
    <row r="15" spans="1:3" x14ac:dyDescent="0.25">
      <c r="C15" t="s">
        <v>957</v>
      </c>
    </row>
    <row r="16" spans="1:3" x14ac:dyDescent="0.25">
      <c r="B16">
        <v>8</v>
      </c>
      <c r="C16" t="s">
        <v>958</v>
      </c>
    </row>
    <row r="17" spans="3:3" x14ac:dyDescent="0.25">
      <c r="C17" t="s">
        <v>959</v>
      </c>
    </row>
    <row r="18" spans="3:3" x14ac:dyDescent="0.25">
      <c r="C18" t="s">
        <v>961</v>
      </c>
    </row>
    <row r="19" spans="3:3" x14ac:dyDescent="0.25">
      <c r="C19" t="s">
        <v>962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P55"/>
  <sheetViews>
    <sheetView zoomScaleNormal="100" workbookViewId="0">
      <selection activeCell="F2" sqref="F2:G2"/>
    </sheetView>
  </sheetViews>
  <sheetFormatPr baseColWidth="10" defaultRowHeight="15" x14ac:dyDescent="0.25"/>
  <cols>
    <col min="1" max="1" width="3" bestFit="1" customWidth="1"/>
    <col min="2" max="2" width="24.140625" bestFit="1" customWidth="1"/>
    <col min="3" max="3" width="15.28515625" bestFit="1" customWidth="1"/>
    <col min="4" max="4" width="9.5703125" bestFit="1" customWidth="1"/>
    <col min="5" max="5" width="10.7109375" bestFit="1" customWidth="1"/>
    <col min="6" max="7" width="10" bestFit="1" customWidth="1"/>
    <col min="8" max="8" width="15" bestFit="1" customWidth="1"/>
    <col min="9" max="9" width="12.5703125" bestFit="1" customWidth="1"/>
    <col min="10" max="10" width="13" bestFit="1" customWidth="1"/>
    <col min="11" max="11" width="9.85546875" bestFit="1" customWidth="1"/>
    <col min="13" max="14" width="11.7109375" bestFit="1" customWidth="1"/>
    <col min="15" max="15" width="12.7109375" bestFit="1" customWidth="1"/>
    <col min="16" max="16" width="12.5703125" bestFit="1" customWidth="1"/>
  </cols>
  <sheetData>
    <row r="1" spans="1:16" ht="38.25" thickBot="1" x14ac:dyDescent="0.3">
      <c r="A1" s="2"/>
      <c r="B1" s="2" t="s">
        <v>623</v>
      </c>
      <c r="C1" s="2" t="s">
        <v>566</v>
      </c>
      <c r="D1" s="2" t="s">
        <v>624</v>
      </c>
      <c r="E1" s="2" t="s">
        <v>7</v>
      </c>
      <c r="F1" s="3" t="s">
        <v>625</v>
      </c>
      <c r="G1" s="3" t="s">
        <v>626</v>
      </c>
      <c r="H1" s="2" t="s">
        <v>627</v>
      </c>
      <c r="I1" s="4" t="s">
        <v>628</v>
      </c>
      <c r="J1" s="5" t="s">
        <v>629</v>
      </c>
      <c r="K1" s="4" t="s">
        <v>630</v>
      </c>
    </row>
    <row r="2" spans="1:16" ht="15.75" thickBot="1" x14ac:dyDescent="0.3">
      <c r="A2" s="6">
        <v>1</v>
      </c>
      <c r="B2" s="6">
        <f>'[1]INTEGRA - Détails'!B3</f>
        <v>0</v>
      </c>
      <c r="C2" s="7">
        <f>'[1]INTEGRA - Détails'!B4</f>
        <v>0</v>
      </c>
      <c r="D2" s="8" t="e">
        <f t="shared" ref="D2:D11" si="0">LOOKUP(K2,$H$17:$H$25,$K$17:$K$25)</f>
        <v>#N/A</v>
      </c>
      <c r="E2" s="9"/>
      <c r="F2" s="9">
        <v>2626.2569999999987</v>
      </c>
      <c r="G2" s="10">
        <v>2363.6309999999989</v>
      </c>
      <c r="H2" s="11">
        <v>24618.769999999986</v>
      </c>
      <c r="I2" s="10"/>
      <c r="J2" s="10"/>
      <c r="K2" s="6"/>
    </row>
    <row r="3" spans="1:16" ht="15.75" thickBot="1" x14ac:dyDescent="0.3">
      <c r="A3" s="6">
        <v>2</v>
      </c>
      <c r="B3" s="6">
        <f>'[1]INTEGRA - Détails'!D3</f>
        <v>0</v>
      </c>
      <c r="C3" s="12">
        <f>'[1]INTEGRA - Détails'!D4</f>
        <v>0</v>
      </c>
      <c r="D3" s="8" t="e">
        <f t="shared" si="0"/>
        <v>#N/A</v>
      </c>
      <c r="E3" s="9"/>
      <c r="F3" s="9">
        <v>510</v>
      </c>
      <c r="G3" s="10"/>
      <c r="H3" s="11"/>
      <c r="I3" s="10"/>
      <c r="J3" s="10"/>
      <c r="K3" s="6"/>
    </row>
    <row r="4" spans="1:16" ht="15.75" thickBot="1" x14ac:dyDescent="0.3">
      <c r="A4" s="6">
        <v>3</v>
      </c>
      <c r="B4" s="13">
        <f>'[1]INTEGRA - Détails'!F3</f>
        <v>0</v>
      </c>
      <c r="C4" s="12">
        <f>'[1]INTEGRA - Détails'!F4</f>
        <v>0</v>
      </c>
      <c r="D4" s="8" t="e">
        <f t="shared" si="0"/>
        <v>#N/A</v>
      </c>
      <c r="G4" s="10"/>
      <c r="H4" s="10"/>
      <c r="I4" s="10"/>
      <c r="J4" s="10"/>
      <c r="K4" s="6"/>
    </row>
    <row r="5" spans="1:16" ht="15.75" thickBot="1" x14ac:dyDescent="0.3">
      <c r="A5" s="6">
        <v>4</v>
      </c>
      <c r="B5" s="13">
        <f>'[1]INTEGRA - Détails'!H3</f>
        <v>0</v>
      </c>
      <c r="C5" s="12">
        <f>'[1]INTEGRA - Détails'!H4</f>
        <v>0</v>
      </c>
      <c r="D5" s="8" t="e">
        <f t="shared" si="0"/>
        <v>#N/A</v>
      </c>
      <c r="E5" s="9"/>
      <c r="F5" s="9"/>
      <c r="G5" s="10"/>
      <c r="H5" s="11"/>
      <c r="I5" s="10"/>
      <c r="J5" s="10"/>
      <c r="K5" s="6"/>
    </row>
    <row r="6" spans="1:16" ht="15.75" thickBot="1" x14ac:dyDescent="0.3">
      <c r="A6" s="6">
        <v>5</v>
      </c>
      <c r="B6" s="13">
        <f>'[1]INTEGRA - Détails'!J3</f>
        <v>0</v>
      </c>
      <c r="C6" s="12">
        <f>'[1]INTEGRA - Détails'!J4</f>
        <v>0</v>
      </c>
      <c r="D6" s="8" t="e">
        <f t="shared" si="0"/>
        <v>#N/A</v>
      </c>
      <c r="E6" s="9"/>
      <c r="F6" s="9"/>
      <c r="G6" s="10"/>
      <c r="H6" s="11"/>
      <c r="I6" s="10"/>
      <c r="J6" s="10"/>
      <c r="K6" s="6"/>
    </row>
    <row r="7" spans="1:16" ht="15.75" thickBot="1" x14ac:dyDescent="0.3">
      <c r="A7" s="6">
        <v>6</v>
      </c>
      <c r="B7" s="13">
        <f>'[1]INTEGRA - Détails'!L3</f>
        <v>0</v>
      </c>
      <c r="C7" s="14">
        <f>'[1]INTEGRA - Détails'!L4</f>
        <v>0</v>
      </c>
      <c r="D7" s="8" t="e">
        <f t="shared" si="0"/>
        <v>#N/A</v>
      </c>
      <c r="E7" s="13"/>
      <c r="F7" s="13"/>
      <c r="G7" s="10"/>
      <c r="H7" s="11"/>
      <c r="I7" s="10"/>
      <c r="J7" s="10"/>
      <c r="K7" s="6"/>
    </row>
    <row r="8" spans="1:16" ht="15.75" thickBot="1" x14ac:dyDescent="0.3">
      <c r="A8" s="15">
        <v>7</v>
      </c>
      <c r="B8" s="13">
        <f>'[1]INTEGRA - Détails'!N3</f>
        <v>0</v>
      </c>
      <c r="C8" s="12">
        <f>'[1]INTEGRA - Détails'!N4</f>
        <v>0</v>
      </c>
      <c r="D8" s="8" t="e">
        <f t="shared" si="0"/>
        <v>#N/A</v>
      </c>
      <c r="E8" s="9"/>
      <c r="F8" s="16"/>
      <c r="G8" s="10"/>
      <c r="H8" s="10"/>
      <c r="I8" s="10"/>
      <c r="J8" s="10"/>
      <c r="K8" s="6"/>
    </row>
    <row r="9" spans="1:16" ht="15.75" thickBot="1" x14ac:dyDescent="0.3">
      <c r="A9" s="6">
        <v>8</v>
      </c>
      <c r="B9" s="9">
        <f>'[1]INTEGRA - Détails'!P3</f>
        <v>0</v>
      </c>
      <c r="C9" s="12">
        <f>'[1]INTEGRA - Détails'!P4</f>
        <v>0</v>
      </c>
      <c r="D9" s="8" t="e">
        <f t="shared" si="0"/>
        <v>#N/A</v>
      </c>
      <c r="E9" s="9"/>
      <c r="F9" s="9"/>
      <c r="G9" s="10"/>
      <c r="H9" s="10"/>
      <c r="I9" s="10"/>
      <c r="J9" s="10"/>
      <c r="K9" s="13"/>
    </row>
    <row r="10" spans="1:16" ht="15.75" thickBot="1" x14ac:dyDescent="0.3">
      <c r="A10" s="6">
        <v>9</v>
      </c>
      <c r="B10" s="9">
        <f>'[1]INTEGRA - Détails'!R3</f>
        <v>0</v>
      </c>
      <c r="C10" s="12">
        <f>'[1]INTEGRA - Détails'!R4</f>
        <v>0</v>
      </c>
      <c r="D10" s="8" t="e">
        <f t="shared" si="0"/>
        <v>#N/A</v>
      </c>
      <c r="E10" s="9"/>
      <c r="F10" s="9"/>
      <c r="G10" s="10"/>
      <c r="H10" s="10"/>
      <c r="I10" s="10"/>
      <c r="J10" s="10"/>
      <c r="K10" s="13"/>
    </row>
    <row r="11" spans="1:16" ht="15.75" thickBot="1" x14ac:dyDescent="0.3">
      <c r="A11" s="6">
        <v>10</v>
      </c>
      <c r="B11" s="9">
        <f>'[1]INTEGRA - Détails'!T3</f>
        <v>0</v>
      </c>
      <c r="C11" s="12">
        <f>'[1]INTEGRA - Détails'!T4</f>
        <v>0</v>
      </c>
      <c r="D11" s="8" t="e">
        <f t="shared" si="0"/>
        <v>#N/A</v>
      </c>
      <c r="E11" s="9"/>
      <c r="F11" s="9"/>
      <c r="G11" s="10"/>
      <c r="H11" s="10"/>
      <c r="I11" s="10"/>
      <c r="J11" s="10"/>
      <c r="K11" s="13"/>
    </row>
    <row r="12" spans="1:16" ht="15.75" thickBot="1" x14ac:dyDescent="0.3">
      <c r="M12" s="1"/>
      <c r="N12" s="1"/>
      <c r="O12" s="1"/>
      <c r="P12" s="1"/>
    </row>
    <row r="13" spans="1:16" ht="16.5" thickBot="1" x14ac:dyDescent="0.3">
      <c r="B13" s="17" t="s">
        <v>565</v>
      </c>
      <c r="C13" s="18"/>
      <c r="D13" s="18"/>
      <c r="E13" s="19">
        <f>SUM(E2:E12)</f>
        <v>0</v>
      </c>
      <c r="F13" s="19">
        <f>SUM(F2:F12)</f>
        <v>3136.2569999999987</v>
      </c>
      <c r="G13" s="19">
        <f>SUM(G2:G12)</f>
        <v>2363.6309999999989</v>
      </c>
      <c r="H13" s="19">
        <f>SUM(H2:H11)</f>
        <v>24618.769999999986</v>
      </c>
      <c r="I13" s="19">
        <f>SUM(I2:I11)</f>
        <v>0</v>
      </c>
      <c r="J13" s="19">
        <f>SUM(J2:J11)</f>
        <v>0</v>
      </c>
    </row>
    <row r="14" spans="1:16" ht="16.5" thickBot="1" x14ac:dyDescent="0.3">
      <c r="B14" s="20" t="s">
        <v>631</v>
      </c>
      <c r="C14" s="21"/>
      <c r="D14">
        <f>C14-E13</f>
        <v>0</v>
      </c>
    </row>
    <row r="15" spans="1:16" ht="16.5" thickBot="1" x14ac:dyDescent="0.3">
      <c r="B15" s="22" t="s">
        <v>10</v>
      </c>
      <c r="C15" s="21">
        <f>455.518+1036.537+1134.202+68+221+221</f>
        <v>3136.2570000000001</v>
      </c>
      <c r="D15" s="21" t="str">
        <f>IF($F$13=$C$15,"OK","ERREUR")</f>
        <v>OK</v>
      </c>
    </row>
    <row r="16" spans="1:16" ht="32.25" thickBot="1" x14ac:dyDescent="0.3">
      <c r="B16" s="23" t="s">
        <v>632</v>
      </c>
      <c r="C16" s="21">
        <f>C15-F13</f>
        <v>0</v>
      </c>
      <c r="H16" s="24" t="s">
        <v>630</v>
      </c>
      <c r="I16" s="25" t="s">
        <v>633</v>
      </c>
      <c r="J16" s="25" t="s">
        <v>634</v>
      </c>
      <c r="K16" s="25" t="s">
        <v>624</v>
      </c>
    </row>
    <row r="17" spans="2:11" ht="16.5" thickBot="1" x14ac:dyDescent="0.3">
      <c r="B17" s="17" t="s">
        <v>635</v>
      </c>
      <c r="C17" s="21">
        <f>409.977+932.877+1020.777</f>
        <v>2363.6309999999999</v>
      </c>
      <c r="D17" s="21" t="str">
        <f>IF($G$13=$C$17,"OK","ERREUR")</f>
        <v>OK</v>
      </c>
      <c r="E17" s="26">
        <f>C17-G13</f>
        <v>0</v>
      </c>
      <c r="H17" s="6">
        <v>90128373</v>
      </c>
      <c r="I17" s="27">
        <v>2922.32</v>
      </c>
      <c r="J17" s="28">
        <v>409.97699999999998</v>
      </c>
      <c r="K17" s="27"/>
    </row>
    <row r="18" spans="2:11" ht="16.5" thickBot="1" x14ac:dyDescent="0.3">
      <c r="B18" s="17" t="s">
        <v>636</v>
      </c>
      <c r="C18" s="21">
        <f>COUNT(B2:B11)</f>
        <v>10</v>
      </c>
      <c r="H18" s="6">
        <v>90128374</v>
      </c>
      <c r="I18" s="27">
        <v>10694.7</v>
      </c>
      <c r="J18" s="28">
        <v>932.87699999999995</v>
      </c>
      <c r="K18" s="27"/>
    </row>
    <row r="19" spans="2:11" ht="16.5" thickBot="1" x14ac:dyDescent="0.3">
      <c r="B19" s="17" t="s">
        <v>637</v>
      </c>
      <c r="C19" s="21">
        <f>LOOKUP(C18,B36:B55,C36:C55)</f>
        <v>0</v>
      </c>
      <c r="H19" s="6">
        <v>90128376</v>
      </c>
      <c r="I19" s="27">
        <v>11001.75</v>
      </c>
      <c r="J19" s="28">
        <v>1020.777</v>
      </c>
      <c r="K19" s="27"/>
    </row>
    <row r="20" spans="2:11" ht="16.5" thickBot="1" x14ac:dyDescent="0.3">
      <c r="B20" s="17" t="s">
        <v>638</v>
      </c>
      <c r="C20" s="21">
        <f>LOOKUP(C18,B36:B55,E36:E55)</f>
        <v>5</v>
      </c>
      <c r="H20" s="13"/>
      <c r="I20" s="27"/>
      <c r="J20" s="28"/>
      <c r="K20" s="27"/>
    </row>
    <row r="21" spans="2:11" ht="18.75" x14ac:dyDescent="0.3">
      <c r="B21" s="29"/>
      <c r="H21" s="13"/>
      <c r="I21" s="27"/>
      <c r="J21" s="28"/>
      <c r="K21" s="27"/>
    </row>
    <row r="22" spans="2:11" ht="18.75" x14ac:dyDescent="0.3">
      <c r="B22" s="29"/>
      <c r="H22" s="13"/>
      <c r="I22" s="27"/>
      <c r="J22" s="28"/>
      <c r="K22" s="27"/>
    </row>
    <row r="23" spans="2:11" ht="18.75" x14ac:dyDescent="0.3">
      <c r="B23" s="29"/>
      <c r="H23" s="13"/>
      <c r="I23" s="27"/>
      <c r="J23" s="28"/>
      <c r="K23" s="27"/>
    </row>
    <row r="24" spans="2:11" ht="18.75" x14ac:dyDescent="0.3">
      <c r="B24" s="29"/>
      <c r="H24" s="13"/>
      <c r="I24" s="27"/>
      <c r="J24" s="28"/>
      <c r="K24" s="27"/>
    </row>
    <row r="25" spans="2:11" ht="15.75" thickBot="1" x14ac:dyDescent="0.3">
      <c r="C25" s="1"/>
      <c r="D25" s="1"/>
      <c r="H25" s="13"/>
      <c r="I25" s="27"/>
      <c r="J25" s="28"/>
      <c r="K25" s="27"/>
    </row>
    <row r="26" spans="2:11" ht="16.5" thickBot="1" x14ac:dyDescent="0.3">
      <c r="H26" s="17" t="s">
        <v>639</v>
      </c>
      <c r="I26" s="30">
        <f>SUM(I17:I25)</f>
        <v>24618.77</v>
      </c>
      <c r="J26" s="31">
        <f>SUM(J17:J25)</f>
        <v>2363.6309999999999</v>
      </c>
    </row>
    <row r="27" spans="2:11" ht="15.75" thickBot="1" x14ac:dyDescent="0.3">
      <c r="I27" s="21" t="str">
        <f>IF(H13=I26,"OK","ERREUR")</f>
        <v>OK</v>
      </c>
      <c r="J27" s="21" t="str">
        <f>IF(G13=J26,"OK","ERREUR")</f>
        <v>OK</v>
      </c>
    </row>
    <row r="28" spans="2:11" ht="15.75" thickBot="1" x14ac:dyDescent="0.3">
      <c r="H28" s="1"/>
      <c r="I28" s="32">
        <f>I26-H13</f>
        <v>0</v>
      </c>
      <c r="J28" s="32">
        <f>J26-G13</f>
        <v>0</v>
      </c>
    </row>
    <row r="29" spans="2:11" x14ac:dyDescent="0.25">
      <c r="H29" s="1"/>
    </row>
    <row r="30" spans="2:11" x14ac:dyDescent="0.25">
      <c r="H30" s="1"/>
    </row>
    <row r="31" spans="2:11" x14ac:dyDescent="0.25">
      <c r="H31" s="1"/>
    </row>
    <row r="32" spans="2:11" x14ac:dyDescent="0.25">
      <c r="H32" s="1"/>
    </row>
    <row r="33" spans="2:12" x14ac:dyDescent="0.25">
      <c r="H33" s="1"/>
    </row>
    <row r="34" spans="2:12" ht="15.75" thickBot="1" x14ac:dyDescent="0.3">
      <c r="B34" t="s">
        <v>640</v>
      </c>
      <c r="H34" s="1"/>
    </row>
    <row r="35" spans="2:12" ht="16.5" thickBot="1" x14ac:dyDescent="0.3">
      <c r="B35" s="33" t="s">
        <v>641</v>
      </c>
      <c r="C35" s="33" t="s">
        <v>637</v>
      </c>
      <c r="D35" s="34"/>
      <c r="E35" s="34" t="s">
        <v>629</v>
      </c>
      <c r="H35" s="1" t="s">
        <v>637</v>
      </c>
      <c r="J35" t="s">
        <v>629</v>
      </c>
    </row>
    <row r="36" spans="2:12" x14ac:dyDescent="0.25">
      <c r="B36" s="35">
        <v>1</v>
      </c>
      <c r="C36" s="35">
        <v>0</v>
      </c>
      <c r="D36" s="35"/>
      <c r="E36" s="35">
        <f>50/B36</f>
        <v>50</v>
      </c>
      <c r="G36">
        <v>1</v>
      </c>
      <c r="H36" s="1">
        <v>-400</v>
      </c>
      <c r="J36">
        <v>450</v>
      </c>
    </row>
    <row r="37" spans="2:12" x14ac:dyDescent="0.25">
      <c r="B37" s="36">
        <v>2</v>
      </c>
      <c r="C37" s="35">
        <v>0</v>
      </c>
      <c r="D37" s="36"/>
      <c r="E37" s="35">
        <f t="shared" ref="E37:E55" si="1">50/B37</f>
        <v>25</v>
      </c>
      <c r="G37">
        <v>2</v>
      </c>
      <c r="H37">
        <v>-200</v>
      </c>
      <c r="J37">
        <v>225</v>
      </c>
    </row>
    <row r="38" spans="2:12" x14ac:dyDescent="0.25">
      <c r="B38" s="36">
        <v>3</v>
      </c>
      <c r="C38" s="35">
        <v>0</v>
      </c>
      <c r="D38" s="37"/>
      <c r="E38" s="35" t="s">
        <v>642</v>
      </c>
      <c r="G38">
        <v>3</v>
      </c>
      <c r="H38" t="s">
        <v>643</v>
      </c>
      <c r="J38">
        <v>150</v>
      </c>
    </row>
    <row r="39" spans="2:12" x14ac:dyDescent="0.25">
      <c r="B39" s="36">
        <v>4</v>
      </c>
      <c r="C39" s="35">
        <v>0</v>
      </c>
      <c r="D39" s="36"/>
      <c r="E39" s="35">
        <f t="shared" si="1"/>
        <v>12.5</v>
      </c>
      <c r="G39">
        <v>4</v>
      </c>
      <c r="H39">
        <v>-100</v>
      </c>
      <c r="J39" t="s">
        <v>644</v>
      </c>
    </row>
    <row r="40" spans="2:12" x14ac:dyDescent="0.25">
      <c r="B40" s="36">
        <v>5</v>
      </c>
      <c r="C40" s="35">
        <v>0</v>
      </c>
      <c r="D40" s="36"/>
      <c r="E40" s="35">
        <f t="shared" si="1"/>
        <v>10</v>
      </c>
      <c r="G40">
        <v>5</v>
      </c>
      <c r="H40">
        <v>-80</v>
      </c>
      <c r="J40">
        <v>90</v>
      </c>
    </row>
    <row r="41" spans="2:12" x14ac:dyDescent="0.25">
      <c r="B41" s="36">
        <v>6</v>
      </c>
      <c r="C41" s="35">
        <v>0</v>
      </c>
      <c r="D41" s="36"/>
      <c r="E41" s="35" t="s">
        <v>645</v>
      </c>
      <c r="G41">
        <v>6</v>
      </c>
      <c r="H41" t="s">
        <v>646</v>
      </c>
      <c r="J41">
        <v>75</v>
      </c>
    </row>
    <row r="42" spans="2:12" x14ac:dyDescent="0.25">
      <c r="B42" s="36">
        <v>7</v>
      </c>
      <c r="C42" s="35">
        <v>0</v>
      </c>
      <c r="D42" s="36"/>
      <c r="E42" s="35" t="s">
        <v>647</v>
      </c>
      <c r="G42">
        <v>7</v>
      </c>
      <c r="H42" t="s">
        <v>648</v>
      </c>
      <c r="J42" t="s">
        <v>649</v>
      </c>
    </row>
    <row r="43" spans="2:12" x14ac:dyDescent="0.25">
      <c r="B43" s="36">
        <v>8</v>
      </c>
      <c r="C43" s="35">
        <v>0</v>
      </c>
      <c r="D43" s="36"/>
      <c r="E43" s="35">
        <f t="shared" si="1"/>
        <v>6.25</v>
      </c>
      <c r="G43">
        <v>8</v>
      </c>
      <c r="H43">
        <v>-50</v>
      </c>
      <c r="J43" t="s">
        <v>650</v>
      </c>
    </row>
    <row r="44" spans="2:12" x14ac:dyDescent="0.25">
      <c r="B44" s="36">
        <v>9</v>
      </c>
      <c r="C44" s="35">
        <v>0</v>
      </c>
      <c r="D44" s="36"/>
      <c r="E44" s="35" t="s">
        <v>651</v>
      </c>
      <c r="G44">
        <v>9</v>
      </c>
      <c r="H44" t="s">
        <v>652</v>
      </c>
      <c r="J44">
        <v>50</v>
      </c>
    </row>
    <row r="45" spans="2:12" x14ac:dyDescent="0.25">
      <c r="B45" s="36">
        <v>10</v>
      </c>
      <c r="C45" s="35">
        <v>0</v>
      </c>
      <c r="D45" s="36"/>
      <c r="E45" s="35">
        <f t="shared" si="1"/>
        <v>5</v>
      </c>
      <c r="G45">
        <v>10</v>
      </c>
      <c r="H45">
        <v>-40</v>
      </c>
      <c r="J45">
        <v>45</v>
      </c>
      <c r="L45">
        <f>12*3</f>
        <v>36</v>
      </c>
    </row>
    <row r="46" spans="2:12" x14ac:dyDescent="0.25">
      <c r="B46" s="36">
        <v>11</v>
      </c>
      <c r="C46" s="35">
        <v>0</v>
      </c>
      <c r="D46" s="36"/>
      <c r="E46" s="35" t="s">
        <v>653</v>
      </c>
      <c r="G46">
        <v>11</v>
      </c>
      <c r="H46" t="s">
        <v>654</v>
      </c>
      <c r="J46" t="s">
        <v>655</v>
      </c>
    </row>
    <row r="47" spans="2:12" x14ac:dyDescent="0.25">
      <c r="B47" s="36">
        <v>12</v>
      </c>
      <c r="C47" s="35">
        <v>0</v>
      </c>
      <c r="D47" s="36"/>
      <c r="E47" s="35" t="s">
        <v>656</v>
      </c>
      <c r="G47">
        <v>12</v>
      </c>
      <c r="H47" t="s">
        <v>657</v>
      </c>
      <c r="J47" t="s">
        <v>658</v>
      </c>
    </row>
    <row r="48" spans="2:12" x14ac:dyDescent="0.25">
      <c r="B48" s="36">
        <v>13</v>
      </c>
      <c r="C48" s="35">
        <v>0</v>
      </c>
      <c r="D48" s="36"/>
      <c r="E48" s="35" t="s">
        <v>659</v>
      </c>
      <c r="G48">
        <v>13</v>
      </c>
      <c r="H48" t="s">
        <v>660</v>
      </c>
      <c r="J48" t="s">
        <v>661</v>
      </c>
    </row>
    <row r="49" spans="2:10" x14ac:dyDescent="0.25">
      <c r="B49" s="36">
        <v>14</v>
      </c>
      <c r="C49" s="35">
        <v>0</v>
      </c>
      <c r="D49" s="36"/>
      <c r="E49" s="35" t="s">
        <v>662</v>
      </c>
      <c r="G49">
        <v>14</v>
      </c>
      <c r="H49" t="s">
        <v>663</v>
      </c>
      <c r="J49" t="s">
        <v>664</v>
      </c>
    </row>
    <row r="50" spans="2:10" x14ac:dyDescent="0.25">
      <c r="B50" s="36">
        <v>15</v>
      </c>
      <c r="C50" s="35">
        <v>0</v>
      </c>
      <c r="D50" s="36"/>
      <c r="E50" s="35" t="s">
        <v>665</v>
      </c>
      <c r="G50">
        <v>15</v>
      </c>
      <c r="H50" t="s">
        <v>666</v>
      </c>
      <c r="J50">
        <v>30</v>
      </c>
    </row>
    <row r="51" spans="2:10" x14ac:dyDescent="0.25">
      <c r="B51" s="36">
        <v>16</v>
      </c>
      <c r="C51" s="35">
        <v>0</v>
      </c>
      <c r="D51" s="36"/>
      <c r="E51" s="35" t="s">
        <v>667</v>
      </c>
      <c r="G51">
        <v>16</v>
      </c>
      <c r="H51">
        <v>-25</v>
      </c>
      <c r="J51" t="s">
        <v>668</v>
      </c>
    </row>
    <row r="52" spans="2:10" x14ac:dyDescent="0.25">
      <c r="B52" s="36">
        <v>17</v>
      </c>
      <c r="C52" s="35">
        <v>0</v>
      </c>
      <c r="D52" s="36"/>
      <c r="E52" s="35" t="s">
        <v>669</v>
      </c>
      <c r="G52">
        <v>17</v>
      </c>
      <c r="H52" t="s">
        <v>670</v>
      </c>
      <c r="J52" t="s">
        <v>671</v>
      </c>
    </row>
    <row r="53" spans="2:10" x14ac:dyDescent="0.25">
      <c r="B53" s="36">
        <v>18</v>
      </c>
      <c r="C53" s="35">
        <v>0</v>
      </c>
      <c r="D53" s="36"/>
      <c r="E53" s="35" t="s">
        <v>672</v>
      </c>
      <c r="G53">
        <v>18</v>
      </c>
      <c r="H53" t="s">
        <v>673</v>
      </c>
      <c r="J53">
        <v>25</v>
      </c>
    </row>
    <row r="54" spans="2:10" x14ac:dyDescent="0.25">
      <c r="B54" s="36">
        <v>19</v>
      </c>
      <c r="C54" s="35">
        <v>0</v>
      </c>
      <c r="D54" s="36"/>
      <c r="E54" s="35" t="s">
        <v>674</v>
      </c>
      <c r="G54">
        <v>19</v>
      </c>
      <c r="H54" t="s">
        <v>675</v>
      </c>
      <c r="J54" t="s">
        <v>676</v>
      </c>
    </row>
    <row r="55" spans="2:10" x14ac:dyDescent="0.25">
      <c r="B55" s="36">
        <v>20</v>
      </c>
      <c r="C55" s="35">
        <v>0</v>
      </c>
      <c r="D55" s="36"/>
      <c r="E55" s="35">
        <f t="shared" si="1"/>
        <v>2.5</v>
      </c>
      <c r="G55">
        <v>20</v>
      </c>
      <c r="H55">
        <v>-20</v>
      </c>
      <c r="J55" t="s">
        <v>677</v>
      </c>
    </row>
  </sheetData>
  <conditionalFormatting sqref="D14:D15 D17 E17:F24 I27:J28">
    <cfRule type="cellIs" dxfId="3" priority="1" operator="equal">
      <formula>"OK"</formula>
    </cfRule>
    <cfRule type="cellIs" dxfId="2" priority="2" operator="equal">
      <formula>"ERREUR"</formula>
    </cfRule>
  </conditionalFormatting>
  <pageMargins left="0.7" right="0.7" top="0.75" bottom="0.75" header="0.3" footer="0.3"/>
  <pageSetup paperSize="9" scale="85" orientation="landscape" r:id="rId1"/>
  <headerFooter>
    <oddHeader>&amp;C&amp;F
Onglet &amp;A</oddHeader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Données Bruts</vt:lpstr>
      <vt:lpstr>Combiner</vt:lpstr>
      <vt:lpstr>Séparer</vt:lpstr>
      <vt:lpstr>Valeur Additionelle</vt:lpstr>
      <vt:lpstr>ETAPE</vt:lpstr>
      <vt:lpstr>Trafic - Résumé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GILLE</dc:creator>
  <cp:lastModifiedBy>Valentin H</cp:lastModifiedBy>
  <dcterms:created xsi:type="dcterms:W3CDTF">2022-10-11T13:50:13Z</dcterms:created>
  <dcterms:modified xsi:type="dcterms:W3CDTF">2026-03-06T22:34:29Z</dcterms:modified>
</cp:coreProperties>
</file>