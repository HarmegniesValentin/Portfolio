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920x\Desktop\excel utile\Calcul accises\"/>
    </mc:Choice>
  </mc:AlternateContent>
  <xr:revisionPtr revIDLastSave="0" documentId="13_ncr:1_{8EF6C03F-1EF6-4F17-A4AD-F423F00D7469}" xr6:coauthVersionLast="47" xr6:coauthVersionMax="47" xr10:uidLastSave="{00000000-0000-0000-0000-000000000000}"/>
  <bookViews>
    <workbookView xWindow="-110" yWindow="-110" windowWidth="19420" windowHeight="10420" tabRatio="806" activeTab="4" xr2:uid="{00000000-000D-0000-FFFF-FFFF00000000}"/>
  </bookViews>
  <sheets>
    <sheet name="Tableau Final" sheetId="1" r:id="rId1"/>
    <sheet name="Détails Tableau" sheetId="2" r:id="rId2"/>
    <sheet name="Procédure avec fichier roxane" sheetId="7" r:id="rId3"/>
    <sheet name="Catégorie Articles Roxane" sheetId="6" r:id="rId4"/>
    <sheet name="Copie fichier roxane" sheetId="9" r:id="rId5"/>
    <sheet name="Quantité roxane" sheetId="10" r:id="rId6"/>
  </sheets>
  <externalReferences>
    <externalReference r:id="rId7"/>
  </externalReferences>
  <definedNames>
    <definedName name="_xlnm._FilterDatabase" localSheetId="4" hidden="1">'Copie fichier roxane'!$A$1:$S$169</definedName>
  </definedNames>
  <calcPr calcId="191029"/>
  <pivotCaches>
    <pivotCache cacheId="50" r:id="rId8"/>
    <pivotCache cacheId="5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2" i="6" l="1"/>
  <c r="F61" i="6"/>
  <c r="F60" i="6"/>
  <c r="F59" i="6"/>
  <c r="F43" i="6" l="1"/>
  <c r="F42" i="6"/>
  <c r="F41" i="6"/>
  <c r="T145" i="9" s="1"/>
  <c r="F58" i="6"/>
  <c r="F34" i="6"/>
  <c r="T68" i="9" s="1"/>
  <c r="T31" i="9"/>
  <c r="T70" i="9"/>
  <c r="T71" i="9"/>
  <c r="T76" i="9"/>
  <c r="T77" i="9"/>
  <c r="T107" i="9"/>
  <c r="T148" i="9"/>
  <c r="T165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0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F40" i="6"/>
  <c r="T49" i="9" s="1"/>
  <c r="T85" i="9" l="1"/>
  <c r="T69" i="9"/>
  <c r="T84" i="9"/>
  <c r="F57" i="6"/>
  <c r="F56" i="6"/>
  <c r="F55" i="6"/>
  <c r="F54" i="6"/>
  <c r="F53" i="6"/>
  <c r="F48" i="6"/>
  <c r="T146" i="9" s="1"/>
  <c r="F49" i="6"/>
  <c r="F50" i="6"/>
  <c r="F51" i="6"/>
  <c r="F52" i="6"/>
  <c r="T86" i="9" s="1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5" i="6"/>
  <c r="F36" i="6"/>
  <c r="F37" i="6"/>
  <c r="F38" i="6"/>
  <c r="F39" i="6"/>
  <c r="T213" i="9" s="1"/>
  <c r="F44" i="6"/>
  <c r="F45" i="6"/>
  <c r="F46" i="6"/>
  <c r="F47" i="6"/>
  <c r="F20" i="6"/>
  <c r="T26" i="9" l="1"/>
  <c r="T27" i="9"/>
  <c r="T60" i="9"/>
  <c r="T61" i="9"/>
  <c r="T53" i="9"/>
  <c r="T149" i="9"/>
  <c r="T28" i="9"/>
  <c r="T29" i="9"/>
  <c r="T64" i="9"/>
  <c r="T178" i="9"/>
  <c r="T65" i="9"/>
  <c r="T179" i="9"/>
  <c r="T72" i="9"/>
  <c r="T73" i="9"/>
  <c r="T80" i="9"/>
  <c r="T81" i="9"/>
  <c r="T5" i="9"/>
  <c r="T11" i="9"/>
  <c r="T35" i="9"/>
  <c r="T41" i="9"/>
  <c r="T155" i="9"/>
  <c r="T90" i="9"/>
  <c r="T96" i="9"/>
  <c r="T138" i="9"/>
  <c r="T150" i="9"/>
  <c r="T210" i="9"/>
  <c r="T188" i="9"/>
  <c r="T194" i="9"/>
  <c r="T111" i="9"/>
  <c r="T108" i="9"/>
  <c r="T32" i="9"/>
  <c r="T137" i="9"/>
  <c r="T33" i="9"/>
  <c r="T151" i="9"/>
  <c r="T152" i="9"/>
  <c r="T58" i="9"/>
  <c r="T59" i="9"/>
  <c r="T186" i="9"/>
  <c r="T187" i="9"/>
  <c r="T154" i="9"/>
  <c r="T153" i="9"/>
  <c r="T184" i="9"/>
  <c r="T185" i="9"/>
  <c r="T56" i="9"/>
  <c r="T57" i="9"/>
  <c r="T52" i="9"/>
  <c r="T124" i="9"/>
  <c r="T208" i="9"/>
  <c r="T17" i="9"/>
  <c r="T101" i="9"/>
  <c r="T125" i="9"/>
  <c r="T36" i="9"/>
  <c r="T126" i="9"/>
  <c r="T156" i="9"/>
  <c r="T7" i="9"/>
  <c r="T127" i="9"/>
  <c r="T211" i="9"/>
  <c r="T128" i="9"/>
  <c r="T212" i="9"/>
  <c r="T51" i="9"/>
  <c r="T147" i="9"/>
  <c r="T177" i="9"/>
  <c r="T22" i="9"/>
  <c r="T23" i="9"/>
  <c r="T78" i="9"/>
  <c r="T79" i="9"/>
  <c r="T112" i="9"/>
  <c r="T130" i="9"/>
  <c r="T160" i="9"/>
  <c r="T47" i="9"/>
  <c r="T30" i="9"/>
  <c r="T19" i="9"/>
  <c r="T91" i="9"/>
  <c r="T157" i="9"/>
  <c r="T205" i="9"/>
  <c r="T8" i="9"/>
  <c r="T170" i="9"/>
  <c r="T3" i="9"/>
  <c r="T129" i="9"/>
  <c r="T135" i="9"/>
  <c r="T2" i="9"/>
  <c r="T161" i="9"/>
  <c r="T54" i="9"/>
  <c r="T162" i="9"/>
  <c r="T55" i="9"/>
  <c r="T182" i="9"/>
  <c r="T183" i="9"/>
  <c r="T16" i="9"/>
  <c r="T88" i="9"/>
  <c r="T100" i="9"/>
  <c r="T166" i="9"/>
  <c r="T190" i="9"/>
  <c r="T196" i="9"/>
  <c r="T113" i="9"/>
  <c r="T119" i="9"/>
  <c r="T197" i="9"/>
  <c r="T6" i="9"/>
  <c r="T12" i="9"/>
  <c r="T18" i="9"/>
  <c r="T42" i="9"/>
  <c r="T102" i="9"/>
  <c r="T114" i="9"/>
  <c r="T168" i="9"/>
  <c r="T192" i="9"/>
  <c r="T13" i="9"/>
  <c r="T97" i="9"/>
  <c r="T139" i="9"/>
  <c r="T163" i="9"/>
  <c r="T169" i="9"/>
  <c r="T14" i="9"/>
  <c r="T20" i="9"/>
  <c r="T38" i="9"/>
  <c r="T92" i="9"/>
  <c r="T98" i="9"/>
  <c r="T104" i="9"/>
  <c r="T134" i="9"/>
  <c r="T158" i="9"/>
  <c r="T206" i="9"/>
  <c r="T9" i="9"/>
  <c r="T39" i="9"/>
  <c r="T87" i="9"/>
  <c r="T99" i="9"/>
  <c r="T105" i="9"/>
  <c r="T117" i="9"/>
  <c r="T189" i="9"/>
  <c r="T195" i="9"/>
  <c r="T24" i="9"/>
  <c r="T25" i="9"/>
  <c r="T62" i="9"/>
  <c r="T63" i="9"/>
  <c r="T202" i="9"/>
  <c r="T173" i="9"/>
  <c r="T203" i="9"/>
  <c r="T174" i="9"/>
  <c r="T204" i="9"/>
  <c r="T50" i="9"/>
  <c r="T207" i="9"/>
  <c r="T46" i="9"/>
  <c r="T142" i="9"/>
  <c r="T143" i="9"/>
  <c r="T144" i="9"/>
  <c r="T175" i="9"/>
  <c r="T122" i="9"/>
  <c r="T176" i="9"/>
  <c r="T200" i="9"/>
  <c r="T45" i="9"/>
  <c r="T123" i="9"/>
  <c r="T201" i="9"/>
  <c r="T34" i="9"/>
  <c r="T95" i="9"/>
  <c r="T209" i="9"/>
  <c r="T110" i="9"/>
  <c r="T116" i="9"/>
  <c r="T15" i="9"/>
  <c r="T4" i="9"/>
  <c r="T10" i="9"/>
  <c r="T40" i="9"/>
  <c r="T106" i="9"/>
  <c r="T118" i="9"/>
  <c r="T136" i="9"/>
  <c r="T172" i="9"/>
  <c r="T89" i="9"/>
  <c r="T131" i="9"/>
  <c r="T167" i="9"/>
  <c r="T191" i="9"/>
  <c r="T48" i="9"/>
  <c r="T120" i="9"/>
  <c r="T132" i="9"/>
  <c r="T198" i="9"/>
  <c r="T37" i="9"/>
  <c r="T43" i="9"/>
  <c r="T103" i="9"/>
  <c r="T115" i="9"/>
  <c r="T121" i="9"/>
  <c r="T193" i="9"/>
  <c r="T199" i="9"/>
  <c r="T44" i="9"/>
  <c r="T140" i="9"/>
  <c r="T164" i="9"/>
  <c r="T21" i="9"/>
  <c r="T93" i="9"/>
  <c r="T141" i="9"/>
  <c r="T159" i="9"/>
  <c r="T171" i="9"/>
  <c r="T94" i="9"/>
  <c r="T109" i="9"/>
  <c r="T133" i="9"/>
  <c r="T82" i="9"/>
  <c r="T83" i="9"/>
  <c r="T66" i="9"/>
  <c r="T180" i="9"/>
  <c r="T67" i="9"/>
  <c r="T181" i="9"/>
  <c r="T74" i="9"/>
  <c r="T75" i="9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3" i="10"/>
  <c r="I3" i="10" l="1"/>
  <c r="D41" i="1" s="1"/>
  <c r="B32" i="1"/>
  <c r="B31" i="1"/>
  <c r="B30" i="1"/>
  <c r="B29" i="1"/>
  <c r="B28" i="1"/>
  <c r="B27" i="1"/>
  <c r="B26" i="1"/>
  <c r="B23" i="1"/>
  <c r="B12" i="1"/>
  <c r="B20" i="1"/>
  <c r="B19" i="1"/>
  <c r="B18" i="1"/>
  <c r="B17" i="1"/>
  <c r="B16" i="1"/>
  <c r="B15" i="1"/>
  <c r="B14" i="1"/>
  <c r="D14" i="1" s="1"/>
  <c r="B13" i="1"/>
  <c r="B9" i="1"/>
  <c r="B8" i="1"/>
  <c r="B7" i="1"/>
  <c r="B6" i="1"/>
  <c r="B5" i="1"/>
  <c r="B4" i="1"/>
  <c r="C39" i="1"/>
  <c r="C38" i="1"/>
  <c r="E37" i="2" l="1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B41" i="1"/>
  <c r="C40" i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122" i="2"/>
  <c r="E123" i="2"/>
  <c r="E124" i="2"/>
  <c r="E125" i="2"/>
  <c r="E126" i="2"/>
  <c r="E127" i="2"/>
  <c r="E128" i="2"/>
  <c r="E129" i="2"/>
  <c r="E130" i="2"/>
  <c r="E131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21" i="2"/>
  <c r="AE122" i="2"/>
  <c r="AE123" i="2"/>
  <c r="AE124" i="2"/>
  <c r="AE125" i="2"/>
  <c r="AE126" i="2"/>
  <c r="AE127" i="2"/>
  <c r="AE128" i="2"/>
  <c r="AE129" i="2"/>
  <c r="AE130" i="2"/>
  <c r="AE131" i="2"/>
  <c r="AE3" i="2"/>
  <c r="E3" i="2"/>
  <c r="C42" i="1" l="1"/>
  <c r="C3" i="2"/>
  <c r="D135" i="2"/>
  <c r="I135" i="2"/>
  <c r="K135" i="2"/>
  <c r="L135" i="2"/>
  <c r="M135" i="2"/>
  <c r="O135" i="2"/>
  <c r="P135" i="2"/>
  <c r="Q135" i="2"/>
  <c r="R135" i="2"/>
  <c r="T135" i="2"/>
  <c r="V135" i="2"/>
  <c r="W135" i="2"/>
  <c r="X135" i="2"/>
  <c r="Y135" i="2"/>
  <c r="Z135" i="2"/>
  <c r="AA135" i="2"/>
  <c r="AB135" i="2"/>
  <c r="AC135" i="2"/>
  <c r="G135" i="2"/>
  <c r="J135" i="2"/>
  <c r="U135" i="2"/>
  <c r="S135" i="2"/>
  <c r="H135" i="2"/>
  <c r="N135" i="2" l="1"/>
  <c r="AD135" i="2" l="1"/>
  <c r="B10" i="1"/>
  <c r="D16" i="1"/>
  <c r="D17" i="1"/>
  <c r="D29" i="1"/>
  <c r="B24" i="1"/>
  <c r="E135" i="2" l="1"/>
  <c r="AE135" i="2"/>
  <c r="D5" i="1"/>
  <c r="D6" i="1"/>
  <c r="D7" i="1"/>
  <c r="D8" i="1"/>
  <c r="D9" i="1"/>
  <c r="D4" i="1"/>
  <c r="B33" i="1" l="1"/>
  <c r="B35" i="1" s="1"/>
  <c r="D32" i="1"/>
  <c r="D31" i="1"/>
  <c r="D30" i="1"/>
  <c r="D28" i="1"/>
  <c r="D27" i="1"/>
  <c r="D26" i="1"/>
  <c r="D23" i="1"/>
  <c r="B21" i="1"/>
  <c r="D20" i="1"/>
  <c r="D19" i="1"/>
  <c r="D18" i="1"/>
  <c r="D15" i="1"/>
  <c r="D13" i="1"/>
  <c r="D12" i="1"/>
  <c r="D24" i="1" l="1"/>
  <c r="E24" i="1" s="1"/>
  <c r="G22" i="1" s="1"/>
  <c r="D33" i="1"/>
  <c r="E33" i="1" s="1"/>
  <c r="D21" i="1"/>
  <c r="E21" i="1" s="1"/>
  <c r="G12" i="1" s="1"/>
  <c r="D10" i="1"/>
  <c r="E10" i="1" l="1"/>
  <c r="G4" i="1" s="1"/>
  <c r="D35" i="1"/>
  <c r="G30" i="1"/>
  <c r="G26" i="1"/>
  <c r="G34" i="1" l="1"/>
  <c r="B38" i="1"/>
  <c r="G7" i="1"/>
  <c r="B39" i="1" s="1"/>
  <c r="E39" i="1" s="1"/>
  <c r="E35" i="1"/>
  <c r="D39" i="1" l="1"/>
  <c r="D38" i="1"/>
  <c r="E38" i="1"/>
  <c r="G10" i="1"/>
  <c r="B40" i="1"/>
  <c r="E40" i="1" s="1"/>
  <c r="B42" i="1" l="1"/>
  <c r="D40" i="1"/>
</calcChain>
</file>

<file path=xl/sharedStrings.xml><?xml version="1.0" encoding="utf-8"?>
<sst xmlns="http://schemas.openxmlformats.org/spreadsheetml/2006/main" count="309" uniqueCount="184">
  <si>
    <t>Quantité</t>
  </si>
  <si>
    <t>Format</t>
  </si>
  <si>
    <t>Hectolitre</t>
  </si>
  <si>
    <t>Accises</t>
  </si>
  <si>
    <t>Cotisation</t>
  </si>
  <si>
    <t>TOTAL Cotisation</t>
  </si>
  <si>
    <t>TOTAL des deux</t>
  </si>
  <si>
    <t>TOTAL Accises</t>
  </si>
  <si>
    <t>U101/LIMONADE
11,9233
+ 9,86</t>
  </si>
  <si>
    <t>U050/BONBONNE
1,41</t>
  </si>
  <si>
    <t>U111/EAU AROMATISÉ
SANS SUCRE
6,8133
+ 9,86</t>
  </si>
  <si>
    <t>Litrage</t>
  </si>
  <si>
    <t>N° BL</t>
  </si>
  <si>
    <t>U051/EAU
9,86</t>
  </si>
  <si>
    <t>LIMONADE</t>
  </si>
  <si>
    <t>EAU</t>
  </si>
  <si>
    <t>EAU AROMATISÉ</t>
  </si>
  <si>
    <t>TOTAL</t>
  </si>
  <si>
    <t>Date</t>
  </si>
  <si>
    <t>Total</t>
  </si>
  <si>
    <t>Vérif.</t>
  </si>
  <si>
    <t>N°Fac.</t>
  </si>
  <si>
    <t xml:space="preserve">BON.
</t>
  </si>
  <si>
    <t xml:space="preserve">BONB.
</t>
  </si>
  <si>
    <t>Description</t>
  </si>
  <si>
    <t>Catégorie</t>
  </si>
  <si>
    <t>Fruits rouges</t>
  </si>
  <si>
    <t>Limonade</t>
  </si>
  <si>
    <t>The vert menthe</t>
  </si>
  <si>
    <t>Jus</t>
  </si>
  <si>
    <t>Cola</t>
  </si>
  <si>
    <t>EM LEG GAZ</t>
  </si>
  <si>
    <t>Eau</t>
  </si>
  <si>
    <t>Orange 6 %</t>
  </si>
  <si>
    <t>Tropical</t>
  </si>
  <si>
    <t>Celestins</t>
  </si>
  <si>
    <t xml:space="preserve"> Aro</t>
  </si>
  <si>
    <t>Vérif. 
Roxane</t>
  </si>
  <si>
    <t xml:space="preserve">Etape 1 : </t>
  </si>
  <si>
    <t xml:space="preserve">Etape 2 : </t>
  </si>
  <si>
    <t xml:space="preserve">Etape 5 : </t>
  </si>
  <si>
    <t>Créer un tableau dynamique</t>
  </si>
  <si>
    <t>- Aller sur le tableau de Roxane</t>
  </si>
  <si>
    <t>- Onglet Insertion  -  Tableau Croisé - Dynamique</t>
  </si>
  <si>
    <t xml:space="preserve">Etape 6 : </t>
  </si>
  <si>
    <t>Aro Fraise Cora Kido</t>
  </si>
  <si>
    <t>Aro</t>
  </si>
  <si>
    <t>EMGA Menthe</t>
  </si>
  <si>
    <t>Grenadine</t>
  </si>
  <si>
    <t>Soda</t>
  </si>
  <si>
    <t>Total Général</t>
  </si>
  <si>
    <t xml:space="preserve">Etape 7 : </t>
  </si>
  <si>
    <t>Total BL :</t>
  </si>
  <si>
    <t xml:space="preserve">TOTAL des rubriques
sans eau +1 </t>
  </si>
  <si>
    <t>Formalités (12,5EUR/unité)</t>
  </si>
  <si>
    <t>TOTAL
Roxane</t>
  </si>
  <si>
    <t>Montant
Roxane</t>
  </si>
  <si>
    <t>Diff.</t>
  </si>
  <si>
    <t>Cristaline ARO Citron</t>
  </si>
  <si>
    <t>Aro Peche Cora Kido</t>
  </si>
  <si>
    <t>EMGA CORA CITRON</t>
  </si>
  <si>
    <t xml:space="preserve">Etape 3 : </t>
  </si>
  <si>
    <t xml:space="preserve">Etape 4 : </t>
  </si>
  <si>
    <t>Filtrer la colonne LIBFAM, K</t>
  </si>
  <si>
    <t>Pour chaque type de produit, changer la dénomination par le type de produit et le format</t>
  </si>
  <si>
    <t xml:space="preserve">EXEMPLE : </t>
  </si>
  <si>
    <t>BOISSON JUS FRAISE 0L50 PET</t>
  </si>
  <si>
    <t xml:space="preserve">en </t>
  </si>
  <si>
    <t>E.D.S. SPORT CAP 0L33 PET</t>
  </si>
  <si>
    <t>sucré 0,5 l</t>
  </si>
  <si>
    <t>eau 0,33 l</t>
  </si>
  <si>
    <t xml:space="preserve">Se référer à l'onglet "Catégorie Articles Roxane" </t>
  </si>
  <si>
    <t>Afficher Nombre de bouteilles par catégorie</t>
  </si>
  <si>
    <t>Encoder le résultat dans l'onglet Tableau Final</t>
  </si>
  <si>
    <t>Verifier si les sommes correspondent aux sommes de Roxane</t>
  </si>
  <si>
    <t>Mettre les sommes en milliers</t>
  </si>
  <si>
    <t>Si pas, refaire la procédure en s'assurant que les catégories soient corrects</t>
  </si>
  <si>
    <t>Afficher le  détail et calculer le nombre de BL</t>
  </si>
  <si>
    <t xml:space="preserve">Compter le nombre de Factures correspondant au nombre de BL à indiquer </t>
  </si>
  <si>
    <t>dans l'onglet Tableau Final , cellule D41</t>
  </si>
  <si>
    <t>Imprimer le détail sur une page pour envoyer à Roxane</t>
  </si>
  <si>
    <t xml:space="preserve">Etape 8 : </t>
  </si>
  <si>
    <t>Imprimer le tableau final sur une page</t>
  </si>
  <si>
    <t>Envoyer le montant à payer à Roxane</t>
  </si>
  <si>
    <t>dans l'onglet tableau final, cellule C38</t>
  </si>
  <si>
    <t xml:space="preserve"> - Filtrer uniquement les accises  (colonne H) et copier la somme  (la valeur uniquement) de la colonne HTECOT </t>
  </si>
  <si>
    <t xml:space="preserve"> - Supprimer les lignes des accises</t>
  </si>
  <si>
    <t xml:space="preserve"> - Copier le tableau de Roxane dans le fichier  de la semaine en cours </t>
  </si>
  <si>
    <t xml:space="preserve"> - Clique droit sur l'onglet pour copier facilement</t>
  </si>
  <si>
    <t xml:space="preserve">Copier la somme ( la valeur uniquement) de la colonne HTECOT ( il reste uniquement les cotisations emballage)  </t>
  </si>
  <si>
    <t>dans l'onglet tableau final, cellule C39</t>
  </si>
  <si>
    <t>SITDEP</t>
  </si>
  <si>
    <t>FANFAC</t>
  </si>
  <si>
    <t>FANLIV</t>
  </si>
  <si>
    <t>FADAEM</t>
  </si>
  <si>
    <t>FACLFA</t>
  </si>
  <si>
    <t>FACLLV</t>
  </si>
  <si>
    <t>TYPTAX</t>
  </si>
  <si>
    <t>LIBTAX</t>
  </si>
  <si>
    <t>FANART</t>
  </si>
  <si>
    <t>FACOND</t>
  </si>
  <si>
    <t>LIBFAM</t>
  </si>
  <si>
    <t>FAQTUC</t>
  </si>
  <si>
    <t>PUECOT</t>
  </si>
  <si>
    <t>HTECOT</t>
  </si>
  <si>
    <t>FAMILLE</t>
  </si>
  <si>
    <t>CODTAX</t>
  </si>
  <si>
    <t>LIBSEC</t>
  </si>
  <si>
    <t>DATCALC</t>
  </si>
  <si>
    <t>Cotisation Emballage</t>
  </si>
  <si>
    <t>Accise Belge</t>
  </si>
  <si>
    <t>eau 0,5l</t>
  </si>
  <si>
    <t>limonade 0,5l</t>
  </si>
  <si>
    <t>limonade 1,5l</t>
  </si>
  <si>
    <t>bonbonne 18,9l</t>
  </si>
  <si>
    <t>eau 1l</t>
  </si>
  <si>
    <t>eau 1,5l</t>
  </si>
  <si>
    <t>eau 0,33l</t>
  </si>
  <si>
    <t>eau aro 0,5l</t>
  </si>
  <si>
    <t>eau 2l</t>
  </si>
  <si>
    <t>eau 0,75l</t>
  </si>
  <si>
    <t>eau 5l</t>
  </si>
  <si>
    <t>Étiquettes de lignes</t>
  </si>
  <si>
    <t>Total général</t>
  </si>
  <si>
    <t>Étiquettes de colonnes</t>
  </si>
  <si>
    <t>FAQTFA</t>
  </si>
  <si>
    <t>E.D.S. PLATE 0L50 PET</t>
  </si>
  <si>
    <t>E.D.S. PLATE 2L00 PET</t>
  </si>
  <si>
    <t>E.D.S. PLATE 1L50 PET</t>
  </si>
  <si>
    <t>E.D.S. GAZ PETILLANTE 0L50 PET</t>
  </si>
  <si>
    <t>E.D.S. GAZ PETIL 1L50 BTE VERTE</t>
  </si>
  <si>
    <t>BONBONNE CLIENT 18L9</t>
  </si>
  <si>
    <t>E.D.S. PLATE 5L00 PET</t>
  </si>
  <si>
    <t>Somme de HTECOT</t>
  </si>
  <si>
    <t>Nbr BL montant négatif</t>
  </si>
  <si>
    <t>E.D.S. PLATE 1L00 PET</t>
  </si>
  <si>
    <t>SODA ORANGE 1L5 PET BTE CARREFOUR</t>
  </si>
  <si>
    <t>E.D.S. SPORT CAP 0L75 PET</t>
  </si>
  <si>
    <t>E.D.S. PLATE 0L33 PET</t>
  </si>
  <si>
    <t>EAU SOURCE GAZ 1L00</t>
  </si>
  <si>
    <t>BOISSON JUS PECHE 0L50 PET</t>
  </si>
  <si>
    <t>E.D.S. ARO FRUITS ROUGES 0L50 PET</t>
  </si>
  <si>
    <t>E.D.S. ARO CITRON 0L50 SS SUCRE</t>
  </si>
  <si>
    <t>BOISSON JUS TROPICAL 0L50 PET</t>
  </si>
  <si>
    <t>BOISSON JUS FRAISE 1L50 PET</t>
  </si>
  <si>
    <t>LIMONADE 1L5 STD BTE CARREFOUR</t>
  </si>
  <si>
    <t>COLA REG 1L5 BTE CARREFOUR</t>
  </si>
  <si>
    <t>GRENADINE 1L5 BTE CARREFOUR (PS)</t>
  </si>
  <si>
    <t>E.M.G. FINE GAZ 1L50 PET</t>
  </si>
  <si>
    <t>SODA ORANGE 6% JUS 1L5 BTE CARREFOUR</t>
  </si>
  <si>
    <t>B.A.J. EXOTIQUE 12% 1L50 PET</t>
  </si>
  <si>
    <t>E.M. PLATE 1L50 PET</t>
  </si>
  <si>
    <t>Somme de FAQTFA</t>
  </si>
  <si>
    <t>E.M.G. AROME 0L50 PET</t>
  </si>
  <si>
    <t>EMG 1L00 PET</t>
  </si>
  <si>
    <t>E.M.G. 0L50 PET</t>
  </si>
  <si>
    <t>E.D.S. ARO FR ROUGES 1L5 (SUCRALOSE)</t>
  </si>
  <si>
    <t>BOISSON JUS TROPICAL 1L50 PET</t>
  </si>
  <si>
    <t>E.D.S MONTAGNE 1L50 PET</t>
  </si>
  <si>
    <t>E.M. PLATE 1L00 PET</t>
  </si>
  <si>
    <t>limonade 0,33l</t>
  </si>
  <si>
    <t>limonade 1l</t>
  </si>
  <si>
    <t>limonade 2l</t>
  </si>
  <si>
    <t>limonade 5l</t>
  </si>
  <si>
    <t>eau 1,15l</t>
  </si>
  <si>
    <t>eau 1,25l</t>
  </si>
  <si>
    <t>eau aro 0,33l</t>
  </si>
  <si>
    <t>eau aro 1l</t>
  </si>
  <si>
    <t>eau aro 1,15l</t>
  </si>
  <si>
    <t>eau aro 1,5l</t>
  </si>
  <si>
    <t>eau aro 2l</t>
  </si>
  <si>
    <t>eau aro 5l</t>
  </si>
  <si>
    <t>E.M. PLATE 0L50 PET</t>
  </si>
  <si>
    <t>B.A.J. EXOTIQUE 12% 2L00 SUCRE (LIDL)</t>
  </si>
  <si>
    <t>E.M.P ARO CITRON 1L50 PET</t>
  </si>
  <si>
    <t>E.D.S. MONTAGNE PLATE 0L50 PET</t>
  </si>
  <si>
    <t>E.M. PLATE 0L50 SPORT PET</t>
  </si>
  <si>
    <t>Désignation</t>
  </si>
  <si>
    <t>N°</t>
  </si>
  <si>
    <t>Description Roxane</t>
  </si>
  <si>
    <t>E.M.G. 1L50 PET</t>
  </si>
  <si>
    <t>E.D.S. MONTAGNE 5L00 PET</t>
  </si>
  <si>
    <t>E.M. PLATE 33CL SPORT</t>
  </si>
  <si>
    <t>EMG 1L15 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</si>
</sst>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0.000000"/>
    <numFmt numFmtId="166" formatCode="#\ ##0"/>
    <numFmt numFmtId="167" formatCode="_ * #\ ##0.00_ ;_ * \-#,##0.00_ ;_ * &quot;-&quot;??_ ;_ @_ "/>
    <numFmt numFmtId="168" formatCode="_ * #\ ##0_ ;_ * \-#\ ##0_ ;_ * &quot;-&quot;??_ ;_ @_ "/>
    <numFmt numFmtId="169" formatCode="#\ ###\ ##0"/>
    <numFmt numFmtId="170" formatCode="0.00000"/>
  </numFmts>
  <fonts count="13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0" xfId="0" applyNumberFormat="1"/>
    <xf numFmtId="0" fontId="0" fillId="0" borderId="0" xfId="0" applyBorder="1"/>
    <xf numFmtId="0" fontId="0" fillId="0" borderId="4" xfId="0" applyBorder="1"/>
    <xf numFmtId="0" fontId="0" fillId="0" borderId="10" xfId="0" applyBorder="1"/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0" xfId="0" applyFont="1" applyAlignment="1"/>
    <xf numFmtId="0" fontId="0" fillId="0" borderId="1" xfId="0" applyFill="1" applyBorder="1" applyAlignment="1">
      <alignment horizontal="right"/>
    </xf>
    <xf numFmtId="0" fontId="0" fillId="2" borderId="19" xfId="0" applyFill="1" applyBorder="1"/>
    <xf numFmtId="165" fontId="0" fillId="0" borderId="0" xfId="0" applyNumberFormat="1"/>
    <xf numFmtId="164" fontId="0" fillId="0" borderId="20" xfId="1" applyFont="1" applyBorder="1"/>
    <xf numFmtId="0" fontId="3" fillId="0" borderId="24" xfId="0" applyFont="1" applyBorder="1" applyAlignment="1">
      <alignment horizontal="center" vertical="center"/>
    </xf>
    <xf numFmtId="164" fontId="0" fillId="0" borderId="8" xfId="1" applyFont="1" applyBorder="1"/>
    <xf numFmtId="0" fontId="0" fillId="2" borderId="6" xfId="0" applyFill="1" applyBorder="1"/>
    <xf numFmtId="0" fontId="0" fillId="0" borderId="25" xfId="0" applyBorder="1"/>
    <xf numFmtId="164" fontId="0" fillId="2" borderId="11" xfId="1" applyFont="1" applyFill="1" applyBorder="1"/>
    <xf numFmtId="166" fontId="0" fillId="0" borderId="2" xfId="0" applyNumberFormat="1" applyBorder="1" applyAlignment="1">
      <alignment horizontal="center" vertical="center"/>
    </xf>
    <xf numFmtId="167" fontId="0" fillId="0" borderId="1" xfId="1" applyNumberFormat="1" applyFont="1" applyBorder="1"/>
    <xf numFmtId="167" fontId="0" fillId="0" borderId="7" xfId="1" applyNumberFormat="1" applyFont="1" applyBorder="1"/>
    <xf numFmtId="167" fontId="0" fillId="0" borderId="22" xfId="1" applyNumberFormat="1" applyFont="1" applyBorder="1"/>
    <xf numFmtId="164" fontId="0" fillId="2" borderId="23" xfId="1" applyFont="1" applyFill="1" applyBorder="1"/>
    <xf numFmtId="166" fontId="0" fillId="0" borderId="3" xfId="0" applyNumberFormat="1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66" fontId="0" fillId="0" borderId="18" xfId="0" applyNumberFormat="1" applyBorder="1" applyAlignment="1">
      <alignment horizontal="center" vertical="center"/>
    </xf>
    <xf numFmtId="167" fontId="0" fillId="0" borderId="19" xfId="1" applyNumberFormat="1" applyFont="1" applyBorder="1"/>
    <xf numFmtId="0" fontId="0" fillId="0" borderId="8" xfId="0" applyBorder="1"/>
    <xf numFmtId="0" fontId="0" fillId="0" borderId="24" xfId="0" applyBorder="1"/>
    <xf numFmtId="0" fontId="3" fillId="0" borderId="28" xfId="0" applyFont="1" applyBorder="1" applyAlignment="1">
      <alignment vertical="center"/>
    </xf>
    <xf numFmtId="2" fontId="0" fillId="0" borderId="29" xfId="0" applyNumberFormat="1" applyBorder="1" applyAlignment="1">
      <alignment vertical="center"/>
    </xf>
    <xf numFmtId="0" fontId="0" fillId="0" borderId="30" xfId="0" applyBorder="1"/>
    <xf numFmtId="0" fontId="0" fillId="0" borderId="29" xfId="0" applyBorder="1"/>
    <xf numFmtId="0" fontId="3" fillId="0" borderId="30" xfId="0" applyFont="1" applyBorder="1" applyAlignment="1">
      <alignment horizontal="center" vertical="center"/>
    </xf>
    <xf numFmtId="164" fontId="0" fillId="0" borderId="29" xfId="1" applyFont="1" applyBorder="1" applyAlignment="1">
      <alignment horizontal="center" vertical="center"/>
    </xf>
    <xf numFmtId="167" fontId="0" fillId="0" borderId="13" xfId="1" applyNumberFormat="1" applyFont="1" applyBorder="1"/>
    <xf numFmtId="0" fontId="0" fillId="0" borderId="1" xfId="0" applyBorder="1"/>
    <xf numFmtId="0" fontId="0" fillId="0" borderId="7" xfId="0" applyBorder="1"/>
    <xf numFmtId="0" fontId="3" fillId="0" borderId="2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7" fillId="0" borderId="0" xfId="0" applyFont="1"/>
    <xf numFmtId="168" fontId="0" fillId="0" borderId="1" xfId="1" applyNumberFormat="1" applyFont="1" applyBorder="1"/>
    <xf numFmtId="168" fontId="0" fillId="0" borderId="11" xfId="1" applyNumberFormat="1" applyFont="1" applyBorder="1"/>
    <xf numFmtId="168" fontId="3" fillId="0" borderId="2" xfId="1" applyNumberFormat="1" applyFont="1" applyFill="1" applyBorder="1" applyAlignment="1">
      <alignment vertical="center"/>
    </xf>
    <xf numFmtId="168" fontId="0" fillId="0" borderId="1" xfId="1" applyNumberFormat="1" applyFont="1" applyBorder="1" applyAlignment="1">
      <alignment horizontal="center" vertical="center"/>
    </xf>
    <xf numFmtId="168" fontId="0" fillId="0" borderId="35" xfId="1" applyNumberFormat="1" applyFont="1" applyBorder="1"/>
    <xf numFmtId="168" fontId="0" fillId="0" borderId="2" xfId="1" applyNumberFormat="1" applyFont="1" applyBorder="1"/>
    <xf numFmtId="168" fontId="0" fillId="0" borderId="0" xfId="0" applyNumberFormat="1"/>
    <xf numFmtId="0" fontId="3" fillId="0" borderId="3" xfId="0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0" fontId="0" fillId="0" borderId="37" xfId="0" applyBorder="1"/>
    <xf numFmtId="0" fontId="0" fillId="0" borderId="44" xfId="0" applyFill="1" applyBorder="1" applyAlignment="1">
      <alignment horizontal="center" vertical="center"/>
    </xf>
    <xf numFmtId="16" fontId="0" fillId="0" borderId="7" xfId="0" applyNumberFormat="1" applyBorder="1"/>
    <xf numFmtId="0" fontId="0" fillId="0" borderId="45" xfId="0" applyBorder="1"/>
    <xf numFmtId="168" fontId="0" fillId="0" borderId="7" xfId="1" applyNumberFormat="1" applyFont="1" applyBorder="1"/>
    <xf numFmtId="168" fontId="2" fillId="0" borderId="2" xfId="1" applyNumberFormat="1" applyFont="1" applyFill="1" applyBorder="1" applyAlignment="1">
      <alignment vertical="center"/>
    </xf>
    <xf numFmtId="168" fontId="2" fillId="0" borderId="1" xfId="1" applyNumberFormat="1" applyFont="1" applyBorder="1"/>
    <xf numFmtId="168" fontId="2" fillId="0" borderId="11" xfId="1" applyNumberFormat="1" applyFont="1" applyBorder="1"/>
    <xf numFmtId="168" fontId="2" fillId="0" borderId="2" xfId="1" applyNumberFormat="1" applyFont="1" applyBorder="1"/>
    <xf numFmtId="0" fontId="0" fillId="0" borderId="39" xfId="0" applyBorder="1" applyAlignment="1">
      <alignment horizontal="left" vertical="top"/>
    </xf>
    <xf numFmtId="16" fontId="0" fillId="0" borderId="6" xfId="0" applyNumberFormat="1" applyBorder="1"/>
    <xf numFmtId="168" fontId="0" fillId="0" borderId="0" xfId="1" applyNumberFormat="1" applyFont="1" applyBorder="1"/>
    <xf numFmtId="0" fontId="5" fillId="4" borderId="40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168" fontId="2" fillId="0" borderId="7" xfId="1" applyNumberFormat="1" applyFont="1" applyBorder="1"/>
    <xf numFmtId="0" fontId="8" fillId="0" borderId="1" xfId="0" applyFont="1" applyBorder="1" applyAlignment="1">
      <alignment horizontal="center" vertical="center"/>
    </xf>
    <xf numFmtId="168" fontId="0" fillId="0" borderId="4" xfId="1" applyNumberFormat="1" applyFont="1" applyBorder="1"/>
    <xf numFmtId="168" fontId="0" fillId="0" borderId="47" xfId="1" applyNumberFormat="1" applyFont="1" applyBorder="1"/>
    <xf numFmtId="168" fontId="3" fillId="0" borderId="35" xfId="1" applyNumberFormat="1" applyFont="1" applyFill="1" applyBorder="1" applyAlignment="1">
      <alignment vertical="center"/>
    </xf>
    <xf numFmtId="0" fontId="0" fillId="0" borderId="1" xfId="0" applyFill="1" applyBorder="1"/>
    <xf numFmtId="0" fontId="0" fillId="0" borderId="6" xfId="0" applyBorder="1"/>
    <xf numFmtId="0" fontId="0" fillId="0" borderId="1" xfId="0" applyFont="1" applyBorder="1"/>
    <xf numFmtId="169" fontId="7" fillId="0" borderId="0" xfId="1" applyNumberFormat="1" applyFont="1"/>
    <xf numFmtId="0" fontId="0" fillId="0" borderId="7" xfId="0" applyNumberFormat="1" applyBorder="1"/>
    <xf numFmtId="0" fontId="5" fillId="0" borderId="40" xfId="0" applyFont="1" applyFill="1" applyBorder="1" applyAlignment="1">
      <alignment horizontal="center" vertical="center" wrapText="1"/>
    </xf>
    <xf numFmtId="0" fontId="0" fillId="0" borderId="49" xfId="0" applyFill="1" applyBorder="1" applyAlignment="1">
      <alignment horizontal="center" vertical="center"/>
    </xf>
    <xf numFmtId="0" fontId="0" fillId="0" borderId="50" xfId="0" applyBorder="1"/>
    <xf numFmtId="0" fontId="9" fillId="0" borderId="0" xfId="0" applyFont="1"/>
    <xf numFmtId="49" fontId="0" fillId="0" borderId="0" xfId="0" applyNumberFormat="1"/>
    <xf numFmtId="165" fontId="0" fillId="0" borderId="0" xfId="0" applyNumberFormat="1" applyAlignment="1">
      <alignment horizontal="right"/>
    </xf>
    <xf numFmtId="167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right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 wrapText="1"/>
    </xf>
    <xf numFmtId="9" fontId="0" fillId="0" borderId="0" xfId="2" applyFont="1"/>
    <xf numFmtId="0" fontId="0" fillId="7" borderId="51" xfId="0" applyFont="1" applyFill="1" applyBorder="1"/>
    <xf numFmtId="0" fontId="10" fillId="8" borderId="52" xfId="0" applyFont="1" applyFill="1" applyBorder="1"/>
    <xf numFmtId="0" fontId="10" fillId="8" borderId="51" xfId="0" applyFont="1" applyFill="1" applyBorder="1"/>
    <xf numFmtId="0" fontId="10" fillId="8" borderId="53" xfId="0" applyFont="1" applyFill="1" applyBorder="1"/>
    <xf numFmtId="0" fontId="11" fillId="0" borderId="54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6" fontId="0" fillId="0" borderId="0" xfId="0" applyNumberFormat="1"/>
    <xf numFmtId="164" fontId="0" fillId="0" borderId="0" xfId="0" applyNumberFormat="1"/>
    <xf numFmtId="0" fontId="0" fillId="7" borderId="51" xfId="0" applyFill="1" applyBorder="1"/>
    <xf numFmtId="164" fontId="0" fillId="0" borderId="0" xfId="1" applyFont="1"/>
    <xf numFmtId="164" fontId="0" fillId="0" borderId="1" xfId="1" applyFont="1" applyBorder="1"/>
    <xf numFmtId="0" fontId="0" fillId="0" borderId="51" xfId="0" applyBorder="1"/>
    <xf numFmtId="0" fontId="0" fillId="0" borderId="51" xfId="0" applyFont="1" applyBorder="1"/>
    <xf numFmtId="165" fontId="0" fillId="0" borderId="0" xfId="0" applyNumberFormat="1" applyFill="1" applyBorder="1"/>
    <xf numFmtId="170" fontId="0" fillId="0" borderId="0" xfId="0" applyNumberFormat="1"/>
    <xf numFmtId="0" fontId="0" fillId="7" borderId="52" xfId="0" applyFill="1" applyBorder="1"/>
    <xf numFmtId="0" fontId="0" fillId="7" borderId="53" xfId="0" applyFill="1" applyBorder="1"/>
    <xf numFmtId="0" fontId="0" fillId="0" borderId="52" xfId="0" applyBorder="1"/>
    <xf numFmtId="0" fontId="0" fillId="0" borderId="53" xfId="0" applyBorder="1"/>
    <xf numFmtId="0" fontId="4" fillId="0" borderId="0" xfId="0" applyFont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67" fontId="0" fillId="0" borderId="9" xfId="1" applyNumberFormat="1" applyFont="1" applyBorder="1" applyAlignment="1">
      <alignment horizontal="center" vertical="center"/>
    </xf>
    <xf numFmtId="167" fontId="0" fillId="0" borderId="10" xfId="1" applyNumberFormat="1" applyFont="1" applyBorder="1" applyAlignment="1">
      <alignment horizontal="center" vertical="center"/>
    </xf>
    <xf numFmtId="167" fontId="0" fillId="0" borderId="3" xfId="1" applyNumberFormat="1" applyFont="1" applyBorder="1" applyAlignment="1">
      <alignment horizontal="center" vertical="center"/>
    </xf>
    <xf numFmtId="167" fontId="0" fillId="0" borderId="5" xfId="1" applyNumberFormat="1" applyFont="1" applyBorder="1" applyAlignment="1">
      <alignment horizontal="center" vertical="center"/>
    </xf>
    <xf numFmtId="167" fontId="0" fillId="0" borderId="6" xfId="1" applyNumberFormat="1" applyFont="1" applyBorder="1" applyAlignment="1">
      <alignment horizontal="center" vertical="center"/>
    </xf>
    <xf numFmtId="167" fontId="0" fillId="0" borderId="7" xfId="1" applyNumberFormat="1" applyFont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164" fontId="0" fillId="0" borderId="5" xfId="1" applyFont="1" applyBorder="1" applyAlignment="1">
      <alignment horizontal="center" vertical="center"/>
    </xf>
    <xf numFmtId="164" fontId="0" fillId="0" borderId="6" xfId="1" applyFont="1" applyBorder="1" applyAlignment="1">
      <alignment horizontal="center" vertical="center"/>
    </xf>
    <xf numFmtId="164" fontId="0" fillId="0" borderId="7" xfId="1" applyFont="1" applyBorder="1" applyAlignment="1">
      <alignment horizontal="center" vertical="center"/>
    </xf>
    <xf numFmtId="164" fontId="0" fillId="0" borderId="9" xfId="1" applyFont="1" applyBorder="1" applyAlignment="1">
      <alignment horizontal="center" vertical="center"/>
    </xf>
    <xf numFmtId="164" fontId="0" fillId="0" borderId="10" xfId="1" applyFont="1" applyBorder="1" applyAlignment="1">
      <alignment horizontal="center" vertical="center"/>
    </xf>
    <xf numFmtId="164" fontId="0" fillId="0" borderId="3" xfId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0" fillId="0" borderId="25" xfId="1" applyFont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64" fontId="0" fillId="0" borderId="4" xfId="1" applyFont="1" applyBorder="1" applyAlignment="1">
      <alignment horizontal="center" vertical="center"/>
    </xf>
    <xf numFmtId="0" fontId="6" fillId="6" borderId="46" xfId="0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5" fillId="5" borderId="31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6" fillId="6" borderId="36" xfId="0" applyFont="1" applyFill="1" applyBorder="1" applyAlignment="1">
      <alignment horizontal="center" vertical="center" wrapText="1"/>
    </xf>
    <xf numFmtId="0" fontId="6" fillId="6" borderId="32" xfId="0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 wrapText="1"/>
    </xf>
    <xf numFmtId="0" fontId="5" fillId="5" borderId="43" xfId="0" applyFont="1" applyFill="1" applyBorder="1" applyAlignment="1">
      <alignment horizontal="center" vertical="center" wrapText="1"/>
    </xf>
    <xf numFmtId="0" fontId="5" fillId="3" borderId="4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7" borderId="1" xfId="0" applyFont="1" applyFill="1" applyBorder="1"/>
    <xf numFmtId="0" fontId="0" fillId="7" borderId="1" xfId="0" applyFill="1" applyBorder="1"/>
    <xf numFmtId="0" fontId="0" fillId="0" borderId="6" xfId="0" applyFill="1" applyBorder="1" applyAlignment="1">
      <alignment horizontal="center"/>
    </xf>
    <xf numFmtId="0" fontId="0" fillId="0" borderId="6" xfId="0" applyFill="1" applyBorder="1"/>
    <xf numFmtId="0" fontId="0" fillId="0" borderId="1" xfId="0" applyFill="1" applyBorder="1" applyAlignment="1">
      <alignment horizontal="center"/>
    </xf>
    <xf numFmtId="0" fontId="0" fillId="0" borderId="0" xfId="0"/>
    <xf numFmtId="0" fontId="12" fillId="7" borderId="52" xfId="0" applyFont="1" applyFill="1" applyBorder="1"/>
    <xf numFmtId="0" fontId="12" fillId="7" borderId="51" xfId="0" applyFont="1" applyFill="1" applyBorder="1"/>
    <xf numFmtId="0" fontId="12" fillId="7" borderId="53" xfId="0" applyFont="1" applyFill="1" applyBorder="1"/>
    <xf numFmtId="0" fontId="12" fillId="0" borderId="52" xfId="0" applyFont="1" applyBorder="1"/>
    <xf numFmtId="0" fontId="12" fillId="0" borderId="51" xfId="0" applyFont="1" applyBorder="1"/>
    <xf numFmtId="0" fontId="12" fillId="0" borderId="53" xfId="0" applyFont="1" applyBorder="1"/>
  </cellXfs>
  <cellStyles count="3">
    <cellStyle name="Milliers" xfId="1" builtinId="3"/>
    <cellStyle name="Normal" xfId="0" builtinId="0"/>
    <cellStyle name="Pourcentage" xfId="2" builtinId="5"/>
  </cellStyles>
  <dxfs count="14"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752475</xdr:colOff>
      <xdr:row>17</xdr:row>
      <xdr:rowOff>123825</xdr:rowOff>
    </xdr:from>
    <xdr:to>
      <xdr:col>7</xdr:col>
      <xdr:colOff>166276</xdr:colOff>
      <xdr:row>32</xdr:row>
      <xdr:rowOff>76200</xdr:rowOff>
    </xdr:to>
    <xdr:pic>
      <xdr:nvPicPr>
        <xdr:cNvPr id="5" name="Image 4" descr="Capture - Afficher les catégories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29025" y="3362325"/>
          <a:ext cx="1699801" cy="2809875"/>
        </a:xfrm>
        <a:prstGeom prst="rect">
          <a:avLst/>
        </a:prstGeom>
      </xdr:spPr>
    </xdr:pic>
    <xdr:clientData/>
  </xdr:twoCellAnchor>
  <xdr:twoCellAnchor editAs="oneCell">
    <xdr:from>
      <xdr:col>7</xdr:col>
      <xdr:colOff>219075</xdr:colOff>
      <xdr:row>17</xdr:row>
      <xdr:rowOff>57150</xdr:rowOff>
    </xdr:from>
    <xdr:to>
      <xdr:col>10</xdr:col>
      <xdr:colOff>676340</xdr:colOff>
      <xdr:row>31</xdr:row>
      <xdr:rowOff>152400</xdr:rowOff>
    </xdr:to>
    <xdr:pic>
      <xdr:nvPicPr>
        <xdr:cNvPr id="6" name="Image 5" descr="Capture - Afficher les catégories-résultat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81625" y="3295650"/>
          <a:ext cx="2743265" cy="2762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3</xdr:col>
      <xdr:colOff>571500</xdr:colOff>
      <xdr:row>59</xdr:row>
      <xdr:rowOff>24984</xdr:rowOff>
    </xdr:to>
    <xdr:pic>
      <xdr:nvPicPr>
        <xdr:cNvPr id="8" name="Image 7" descr="Système avec colonne format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0550" y="7620000"/>
          <a:ext cx="2095500" cy="32634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Accises/Roxane/2020/Calcul%20Accises%20-%20Roxane-2020-%20%20semaine%2035.Test%20V&#233;rif%20avec%20tableau%20roxane%20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au Final"/>
      <sheetName val="Tableau Dynamique"/>
      <sheetName val="Tableau Roxane"/>
      <sheetName val="Catégorie Articles Roxane"/>
      <sheetName val="Procédure de Véri.-Roxane"/>
      <sheetName val="Feuil3"/>
      <sheetName val="Feuil1"/>
    </sheetNames>
    <sheetDataSet>
      <sheetData sheetId="0"/>
      <sheetData sheetId="1">
        <row r="5">
          <cell r="D5">
            <v>9064</v>
          </cell>
        </row>
      </sheetData>
      <sheetData sheetId="2">
        <row r="165">
          <cell r="C165">
            <v>40296</v>
          </cell>
          <cell r="D165">
            <v>3107813</v>
          </cell>
        </row>
        <row r="166">
          <cell r="C166">
            <v>40324</v>
          </cell>
          <cell r="D166">
            <v>3110702</v>
          </cell>
        </row>
        <row r="167">
          <cell r="C167">
            <v>40359</v>
          </cell>
          <cell r="D167">
            <v>3112158</v>
          </cell>
        </row>
        <row r="168">
          <cell r="C168">
            <v>44510</v>
          </cell>
          <cell r="D168">
            <v>3109291</v>
          </cell>
        </row>
        <row r="169">
          <cell r="C169">
            <v>48099</v>
          </cell>
          <cell r="D169">
            <v>3105840</v>
          </cell>
        </row>
        <row r="170">
          <cell r="C170">
            <v>48109</v>
          </cell>
          <cell r="D170">
            <v>3105850</v>
          </cell>
        </row>
        <row r="171">
          <cell r="C171">
            <v>48116</v>
          </cell>
          <cell r="D171">
            <v>3105857</v>
          </cell>
        </row>
        <row r="172">
          <cell r="C172">
            <v>48117</v>
          </cell>
          <cell r="D172">
            <v>3105858</v>
          </cell>
        </row>
        <row r="173">
          <cell r="C173">
            <v>48127</v>
          </cell>
          <cell r="D173">
            <v>3105867</v>
          </cell>
        </row>
        <row r="174">
          <cell r="C174">
            <v>48152</v>
          </cell>
          <cell r="D174">
            <v>3105882</v>
          </cell>
        </row>
        <row r="175">
          <cell r="C175">
            <v>48166</v>
          </cell>
          <cell r="D175">
            <v>3107264</v>
          </cell>
        </row>
        <row r="176">
          <cell r="C176">
            <v>48175</v>
          </cell>
          <cell r="D176">
            <v>3107270</v>
          </cell>
        </row>
        <row r="177">
          <cell r="C177">
            <v>48183</v>
          </cell>
          <cell r="D177">
            <v>3107276</v>
          </cell>
        </row>
        <row r="178">
          <cell r="C178">
            <v>48191</v>
          </cell>
          <cell r="D178">
            <v>3107281</v>
          </cell>
        </row>
        <row r="179">
          <cell r="C179">
            <v>48231</v>
          </cell>
          <cell r="D179">
            <v>3108735</v>
          </cell>
        </row>
        <row r="180">
          <cell r="C180">
            <v>48239</v>
          </cell>
          <cell r="D180">
            <v>3108743</v>
          </cell>
        </row>
        <row r="181">
          <cell r="C181">
            <v>48243</v>
          </cell>
          <cell r="D181">
            <v>3108745</v>
          </cell>
        </row>
        <row r="182">
          <cell r="C182">
            <v>48249</v>
          </cell>
          <cell r="D182">
            <v>3108751</v>
          </cell>
        </row>
        <row r="183">
          <cell r="C183">
            <v>48251</v>
          </cell>
          <cell r="D183">
            <v>3108753</v>
          </cell>
        </row>
        <row r="184">
          <cell r="C184">
            <v>48256</v>
          </cell>
          <cell r="D184">
            <v>3108758</v>
          </cell>
        </row>
        <row r="185">
          <cell r="C185">
            <v>48282</v>
          </cell>
          <cell r="D185">
            <v>3108773</v>
          </cell>
        </row>
        <row r="186">
          <cell r="C186">
            <v>48306</v>
          </cell>
          <cell r="D186">
            <v>3110164</v>
          </cell>
        </row>
        <row r="187">
          <cell r="C187">
            <v>48309</v>
          </cell>
          <cell r="D187">
            <v>3110167</v>
          </cell>
        </row>
        <row r="188">
          <cell r="C188">
            <v>48313</v>
          </cell>
          <cell r="D188">
            <v>3110171</v>
          </cell>
        </row>
        <row r="189">
          <cell r="C189">
            <v>48322</v>
          </cell>
          <cell r="D189">
            <v>3110180</v>
          </cell>
        </row>
        <row r="190">
          <cell r="C190">
            <v>48339</v>
          </cell>
          <cell r="D190">
            <v>3111597</v>
          </cell>
        </row>
        <row r="191">
          <cell r="C191">
            <v>48371</v>
          </cell>
          <cell r="D191">
            <v>3111618</v>
          </cell>
        </row>
        <row r="192">
          <cell r="C192">
            <v>48381</v>
          </cell>
          <cell r="D192">
            <v>3111628</v>
          </cell>
        </row>
        <row r="193">
          <cell r="C193">
            <v>48394</v>
          </cell>
          <cell r="D193">
            <v>3111639</v>
          </cell>
        </row>
        <row r="194">
          <cell r="C194">
            <v>48395</v>
          </cell>
          <cell r="D194">
            <v>3111640</v>
          </cell>
        </row>
        <row r="195">
          <cell r="C195">
            <v>48407</v>
          </cell>
          <cell r="D195">
            <v>3111651</v>
          </cell>
        </row>
        <row r="196">
          <cell r="C196">
            <v>52505</v>
          </cell>
          <cell r="D196">
            <v>3112533</v>
          </cell>
        </row>
        <row r="197">
          <cell r="C197">
            <v>55325</v>
          </cell>
          <cell r="D197">
            <v>3105681</v>
          </cell>
        </row>
        <row r="198">
          <cell r="C198">
            <v>55338</v>
          </cell>
          <cell r="D198">
            <v>3105684</v>
          </cell>
        </row>
        <row r="199">
          <cell r="C199">
            <v>55348</v>
          </cell>
          <cell r="D199">
            <v>3105688</v>
          </cell>
        </row>
        <row r="200">
          <cell r="C200">
            <v>55354</v>
          </cell>
          <cell r="D200">
            <v>3105691</v>
          </cell>
        </row>
        <row r="201">
          <cell r="C201">
            <v>55379</v>
          </cell>
          <cell r="D201">
            <v>3105709</v>
          </cell>
        </row>
        <row r="202">
          <cell r="C202">
            <v>55384</v>
          </cell>
          <cell r="D202">
            <v>3105712</v>
          </cell>
        </row>
        <row r="203">
          <cell r="C203">
            <v>55388</v>
          </cell>
          <cell r="D203">
            <v>3105714</v>
          </cell>
        </row>
        <row r="204">
          <cell r="C204">
            <v>55398</v>
          </cell>
          <cell r="D204">
            <v>3105721</v>
          </cell>
        </row>
        <row r="205">
          <cell r="C205">
            <v>55436</v>
          </cell>
          <cell r="D205">
            <v>3105748</v>
          </cell>
        </row>
        <row r="206">
          <cell r="C206">
            <v>55461</v>
          </cell>
          <cell r="D206">
            <v>3105767</v>
          </cell>
        </row>
        <row r="207">
          <cell r="C207">
            <v>55502</v>
          </cell>
          <cell r="D207">
            <v>3107149</v>
          </cell>
        </row>
        <row r="208">
          <cell r="C208">
            <v>55505</v>
          </cell>
          <cell r="D208">
            <v>3107151</v>
          </cell>
        </row>
        <row r="209">
          <cell r="C209">
            <v>55566</v>
          </cell>
          <cell r="D209">
            <v>3107191</v>
          </cell>
        </row>
        <row r="210">
          <cell r="C210">
            <v>55567</v>
          </cell>
          <cell r="D210">
            <v>3107192</v>
          </cell>
        </row>
        <row r="211">
          <cell r="C211">
            <v>55604</v>
          </cell>
          <cell r="D211">
            <v>3108611</v>
          </cell>
        </row>
        <row r="212">
          <cell r="C212">
            <v>55607</v>
          </cell>
          <cell r="D212">
            <v>3108612</v>
          </cell>
        </row>
        <row r="213">
          <cell r="C213">
            <v>55629</v>
          </cell>
          <cell r="D213">
            <v>3108623</v>
          </cell>
        </row>
        <row r="214">
          <cell r="C214">
            <v>55632</v>
          </cell>
          <cell r="D214">
            <v>3108626</v>
          </cell>
        </row>
        <row r="215">
          <cell r="C215">
            <v>55639</v>
          </cell>
          <cell r="D215">
            <v>3108630</v>
          </cell>
        </row>
        <row r="216">
          <cell r="C216">
            <v>55661</v>
          </cell>
          <cell r="D216">
            <v>3108647</v>
          </cell>
        </row>
        <row r="217">
          <cell r="C217">
            <v>55667</v>
          </cell>
          <cell r="D217">
            <v>3108653</v>
          </cell>
        </row>
        <row r="218">
          <cell r="C218">
            <v>55724</v>
          </cell>
          <cell r="D218">
            <v>3110027</v>
          </cell>
        </row>
        <row r="219">
          <cell r="C219">
            <v>55729</v>
          </cell>
          <cell r="D219">
            <v>3110028</v>
          </cell>
        </row>
        <row r="220">
          <cell r="C220">
            <v>55733</v>
          </cell>
          <cell r="D220">
            <v>3110031</v>
          </cell>
        </row>
        <row r="221">
          <cell r="C221">
            <v>55765</v>
          </cell>
          <cell r="D221">
            <v>3110051</v>
          </cell>
        </row>
        <row r="222">
          <cell r="C222">
            <v>55768</v>
          </cell>
          <cell r="D222">
            <v>3110054</v>
          </cell>
        </row>
        <row r="223">
          <cell r="C223">
            <v>55875</v>
          </cell>
          <cell r="D223">
            <v>3111516</v>
          </cell>
        </row>
        <row r="224">
          <cell r="C224">
            <v>55914</v>
          </cell>
          <cell r="D224">
            <v>3111547</v>
          </cell>
        </row>
        <row r="225">
          <cell r="C225">
            <v>55923</v>
          </cell>
          <cell r="D225">
            <v>3111555</v>
          </cell>
        </row>
        <row r="226">
          <cell r="C226">
            <v>62229</v>
          </cell>
          <cell r="D226">
            <v>3107767</v>
          </cell>
        </row>
        <row r="227">
          <cell r="C227">
            <v>62252</v>
          </cell>
          <cell r="D227">
            <v>3109186</v>
          </cell>
        </row>
        <row r="228">
          <cell r="C228">
            <v>62306</v>
          </cell>
          <cell r="D228">
            <v>3109219</v>
          </cell>
        </row>
        <row r="229">
          <cell r="C229">
            <v>67305</v>
          </cell>
          <cell r="D229">
            <v>3105573</v>
          </cell>
        </row>
        <row r="230">
          <cell r="C230">
            <v>67343</v>
          </cell>
          <cell r="D230">
            <v>3105587</v>
          </cell>
        </row>
        <row r="231">
          <cell r="C231">
            <v>78117</v>
          </cell>
          <cell r="D231">
            <v>3111725</v>
          </cell>
        </row>
        <row r="232">
          <cell r="C232">
            <v>79771</v>
          </cell>
          <cell r="D232">
            <v>3106073</v>
          </cell>
        </row>
        <row r="233">
          <cell r="C233">
            <v>79801</v>
          </cell>
          <cell r="D233">
            <v>3106088</v>
          </cell>
        </row>
        <row r="234">
          <cell r="C234">
            <v>79900</v>
          </cell>
          <cell r="D234">
            <v>3107535</v>
          </cell>
        </row>
        <row r="235">
          <cell r="C235">
            <v>79910</v>
          </cell>
          <cell r="D235">
            <v>3107545</v>
          </cell>
        </row>
        <row r="236">
          <cell r="C236">
            <v>79974</v>
          </cell>
          <cell r="D236">
            <v>3107592</v>
          </cell>
        </row>
        <row r="237">
          <cell r="C237">
            <v>79994</v>
          </cell>
          <cell r="D237">
            <v>3108983</v>
          </cell>
        </row>
        <row r="238">
          <cell r="C238">
            <v>80088</v>
          </cell>
          <cell r="D238">
            <v>3110436</v>
          </cell>
        </row>
        <row r="239">
          <cell r="C239">
            <v>80130</v>
          </cell>
          <cell r="D239">
            <v>3110478</v>
          </cell>
        </row>
        <row r="240">
          <cell r="C240">
            <v>80166</v>
          </cell>
          <cell r="D240">
            <v>3110503</v>
          </cell>
        </row>
        <row r="241">
          <cell r="C241">
            <v>80178</v>
          </cell>
          <cell r="D241">
            <v>3111866</v>
          </cell>
        </row>
        <row r="242">
          <cell r="C242">
            <v>80197</v>
          </cell>
          <cell r="D242">
            <v>3110515</v>
          </cell>
        </row>
        <row r="243">
          <cell r="C243">
            <v>80224</v>
          </cell>
          <cell r="D243">
            <v>3111902</v>
          </cell>
        </row>
        <row r="244">
          <cell r="C244">
            <v>80939</v>
          </cell>
          <cell r="D244">
            <v>3105485</v>
          </cell>
        </row>
        <row r="245">
          <cell r="C245">
            <v>80980</v>
          </cell>
          <cell r="D245">
            <v>3105517</v>
          </cell>
        </row>
        <row r="246">
          <cell r="C246">
            <v>81110</v>
          </cell>
          <cell r="D246">
            <v>3107007</v>
          </cell>
        </row>
        <row r="247">
          <cell r="C247">
            <v>81177</v>
          </cell>
          <cell r="D247">
            <v>3108411</v>
          </cell>
        </row>
        <row r="248">
          <cell r="C248">
            <v>81179</v>
          </cell>
          <cell r="D248">
            <v>3108412</v>
          </cell>
        </row>
        <row r="249">
          <cell r="C249">
            <v>81292</v>
          </cell>
          <cell r="D249">
            <v>3109822</v>
          </cell>
        </row>
        <row r="250">
          <cell r="C250">
            <v>81348</v>
          </cell>
          <cell r="D250">
            <v>3109852</v>
          </cell>
        </row>
        <row r="251">
          <cell r="C251">
            <v>81385</v>
          </cell>
          <cell r="D251">
            <v>3109881</v>
          </cell>
        </row>
      </sheetData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920x" refreshedDate="44783.627611689815" createdVersion="3" refreshedVersion="8" minRefreshableVersion="3" recordCount="473" xr:uid="{00000000-000A-0000-FFFF-FFFF91000000}">
  <cacheSource type="worksheet">
    <worksheetSource ref="A1:T602" sheet="Copie fichier roxane"/>
  </cacheSource>
  <cacheFields count="20">
    <cacheField name="SITDEP" numFmtId="0">
      <sharedItems containsBlank="1"/>
    </cacheField>
    <cacheField name="FANFAC" numFmtId="0">
      <sharedItems containsString="0" containsBlank="1" containsNumber="1" containsInteger="1" minValue="3634286" maxValue="3646705"/>
    </cacheField>
    <cacheField name="FANLIV" numFmtId="0">
      <sharedItems containsString="0" containsBlank="1" containsNumber="1" containsInteger="1" minValue="2156" maxValue="199702" count="414">
        <n v="14131"/>
        <n v="73386"/>
        <n v="96594"/>
        <n v="14133"/>
        <n v="96760"/>
        <n v="24008"/>
        <n v="86846"/>
        <n v="97049"/>
        <n v="97083"/>
        <n v="97125"/>
        <n v="97131"/>
        <n v="97135"/>
        <n v="97139"/>
        <n v="97153"/>
        <n v="71142"/>
        <n v="71167"/>
        <n v="71172"/>
        <n v="71177"/>
        <n v="71185"/>
        <n v="71197"/>
        <n v="14502"/>
        <n v="14567"/>
        <n v="14574"/>
        <n v="6247"/>
        <n v="92024"/>
        <n v="24108"/>
        <n v="24196"/>
        <n v="97171"/>
        <n v="97175"/>
        <n v="97194"/>
        <n v="97207"/>
        <n v="97217"/>
        <n v="97242"/>
        <n v="97256"/>
        <n v="97269"/>
        <n v="71230"/>
        <n v="71250"/>
        <n v="14608"/>
        <n v="14653"/>
        <n v="48259"/>
        <n v="97262"/>
        <n v="97277"/>
        <n v="97285"/>
        <n v="97319"/>
        <n v="97337"/>
        <n v="71282"/>
        <n v="71293"/>
        <n v="71304"/>
        <n v="14701"/>
        <n v="14725"/>
        <n v="67407"/>
        <n v="67408"/>
        <n v="24364"/>
        <n v="87005"/>
        <n v="87027"/>
        <n v="97408"/>
        <n v="97432"/>
        <n v="97448"/>
        <n v="97475"/>
        <n v="97476"/>
        <n v="97512"/>
        <n v="71335"/>
        <n v="71342"/>
        <n v="71365"/>
        <n v="71377"/>
        <n v="87052"/>
        <n v="97507"/>
        <n v="97522"/>
        <n v="97536"/>
        <n v="97537"/>
        <n v="71406"/>
        <n v="71409"/>
        <n v="71419"/>
        <n v="71443"/>
        <n v="14908"/>
        <n v="73679"/>
        <m/>
        <n v="6276" u="1"/>
        <n v="6844" u="1"/>
        <n v="6986" u="1"/>
        <n v="7270" u="1"/>
        <n v="7412" u="1"/>
        <n v="8762" u="1"/>
        <n v="8975" u="1"/>
        <n v="97635" u="1"/>
        <n v="8767" u="1"/>
        <n v="22024" u="1"/>
        <n v="35420" u="1"/>
        <n v="71547" u="1"/>
        <n v="77085" u="1"/>
        <n v="91072" u="1"/>
        <n v="8275" u="1"/>
        <n v="8488" u="1"/>
        <n v="8559" u="1"/>
        <n v="8701" u="1"/>
        <n v="76770" u="1"/>
        <n v="97928" u="1"/>
        <n v="7384" u="1"/>
        <n v="7455" u="1"/>
        <n v="21841" u="1"/>
        <n v="22906" u="1"/>
        <n v="66342" u="1"/>
        <n v="199702" u="1"/>
        <n v="6324" u="1"/>
        <n v="15035" u="1"/>
        <n v="75825" u="1"/>
        <n v="76961" u="1"/>
        <n v="7143" u="1"/>
        <n v="8721" u="1"/>
        <n v="8863" u="1"/>
        <n v="12910" u="1"/>
        <n v="21435" u="1"/>
        <n v="24914" u="1"/>
        <n v="33603" u="1"/>
        <n v="50288" u="1"/>
        <n v="23291" u="1"/>
        <n v="6367" u="1"/>
        <n v="6722" u="1"/>
        <n v="7148" u="1"/>
        <n v="8873" u="1"/>
        <n v="35063" u="1"/>
        <n v="97813" u="1"/>
        <n v="6760" u="1"/>
        <n v="6831" u="1"/>
        <n v="7399" u="1"/>
        <n v="14984" u="1"/>
        <n v="76979" u="1"/>
        <n v="6197" u="1"/>
        <n v="6339" u="1"/>
        <n v="6978" u="1"/>
        <n v="8533" u="1"/>
        <n v="8604" u="1"/>
        <n v="8675" u="1"/>
        <n v="21556" u="1"/>
        <n v="90620" u="1"/>
        <n v="6945" u="1"/>
        <n v="22986" u="1"/>
        <n v="14933" u="1"/>
        <n v="75648" u="1"/>
        <n v="76003" u="1"/>
        <n v="97658" u="1"/>
        <n v="33266" u="1"/>
        <n v="97911" u="1"/>
        <n v="22803" u="1"/>
        <n v="71681" u="1"/>
        <n v="97951" u="1"/>
        <n v="3360" u="1"/>
        <n v="97920" u="1"/>
        <n v="6709" u="1"/>
        <n v="7064" u="1"/>
        <n v="50011" u="1"/>
        <n v="76092" u="1"/>
        <n v="91073" u="1"/>
        <n v="6605" u="1"/>
        <n v="7031" u="1"/>
        <n v="8426" u="1"/>
        <n v="75990" u="1"/>
        <n v="90687" u="1"/>
        <n v="6430" u="1"/>
        <n v="8502" u="1"/>
        <n v="75675" u="1"/>
        <n v="4764" u="1"/>
        <n v="6823" u="1"/>
        <n v="6894" u="1"/>
        <n v="21575" u="1"/>
        <n v="22072" u="1"/>
        <n v="33244" u="1"/>
        <n v="6222" u="1"/>
        <n v="6577" u="1"/>
        <n v="21656" u="1"/>
        <n v="62587" u="1"/>
        <n v="71495" u="1"/>
        <n v="6970" u="1"/>
        <n v="8943" u="1"/>
        <n v="71535" u="1"/>
        <n v="76789" u="1"/>
        <n v="91699" u="1"/>
        <n v="7505" u="1"/>
        <n v="19262" u="1"/>
        <n v="35221" u="1"/>
        <n v="76332" u="1"/>
        <n v="76971" u="1"/>
        <n v="77042" u="1"/>
        <n v="6336" u="1"/>
        <n v="6975" u="1"/>
        <n v="73958" u="1"/>
        <n v="77082" u="1"/>
        <n v="90501" u="1"/>
        <n v="97885" u="1"/>
        <n v="6374" u="1"/>
        <n v="97996" u="1"/>
        <n v="6980" u="1"/>
        <n v="7264" u="1"/>
        <n v="15140" u="1"/>
        <n v="33293" u="1"/>
        <n v="33648" u="1"/>
        <n v="76168" u="1"/>
        <n v="6450" u="1"/>
        <n v="23420" u="1"/>
        <n v="76106" u="1"/>
        <n v="76461" u="1"/>
        <n v="97832" u="1"/>
        <n v="20884" u="1"/>
        <n v="35412" u="1"/>
        <n v="71460" u="1"/>
        <n v="75933" u="1"/>
        <n v="91624" u="1"/>
        <n v="3626" u="1"/>
        <n v="4647" u="1"/>
        <n v="6706" u="1"/>
        <n v="75618" u="1"/>
        <n v="76115" u="1"/>
        <n v="6815" u="1"/>
        <n v="33109" u="1"/>
        <n v="76794" u="1"/>
        <n v="8496" u="1"/>
        <n v="6820" u="1"/>
        <n v="7459" u="1"/>
        <n v="8359" u="1"/>
        <n v="8501" u="1"/>
        <n v="35350" u="1"/>
        <n v="35634" u="1"/>
        <n v="76164" u="1"/>
        <n v="2637" u="1"/>
        <n v="6290" u="1"/>
        <n v="6858" u="1"/>
        <n v="8790" u="1"/>
        <n v="76985" u="1"/>
        <n v="97717" u="1"/>
        <n v="98072" u="1"/>
        <n v="4624" u="1"/>
        <n v="6825" u="1"/>
        <n v="71487" u="1"/>
        <n v="76315" u="1"/>
        <n v="4804" u="1"/>
        <n v="5514" u="1"/>
        <n v="6366" u="1"/>
        <n v="8374" u="1"/>
        <n v="8942" u="1"/>
        <n v="76923" u="1"/>
        <n v="77065" u="1"/>
        <n v="97797" u="1"/>
        <n v="6546" u="1"/>
        <n v="6759" u="1"/>
        <n v="8450" u="1"/>
        <n v="21532" u="1"/>
        <n v="35075" u="1"/>
        <n v="49914" u="1"/>
        <n v="71638" u="1"/>
        <n v="76111" u="1"/>
        <n v="97908" u="1"/>
        <n v="6371" u="1"/>
        <n v="129898" u="1"/>
        <n v="8389" u="1"/>
        <n v="23043" u="1"/>
        <n v="7228" u="1"/>
        <n v="21349" u="1"/>
        <n v="33502" u="1"/>
        <n v="35419" u="1"/>
        <n v="76089" u="1"/>
        <n v="97673" u="1"/>
        <n v="8896" u="1"/>
        <n v="75703" u="1"/>
        <n v="76839" u="1"/>
        <n v="76981" u="1"/>
        <n v="6381" u="1"/>
        <n v="6807" u="1"/>
        <n v="7091" u="1"/>
        <n v="8333" u="1"/>
        <n v="98179" u="1"/>
        <n v="6703" u="1"/>
        <n v="7413" u="1"/>
        <n v="8906" u="1"/>
        <n v="12456" u="1"/>
        <n v="77061" u="1"/>
        <n v="6244" u="1"/>
        <n v="6670" u="1"/>
        <n v="33369" u="1"/>
        <n v="76320" u="1"/>
        <n v="6353" u="1"/>
        <n v="6779" u="1"/>
        <n v="8348" u="1"/>
        <n v="35519" u="1"/>
        <n v="76928" u="1"/>
        <n v="87081" u="1"/>
        <n v="97944" u="1"/>
        <n v="3362" u="1"/>
        <n v="6320" u="1"/>
        <n v="6959" u="1"/>
        <n v="7101" u="1"/>
        <n v="7456" u="1"/>
        <n v="8921" u="1"/>
        <n v="75690" u="1"/>
        <n v="76897" u="1"/>
        <n v="6855" u="1"/>
        <n v="8358" u="1"/>
        <n v="34139" u="1"/>
        <n v="97882" u="1"/>
        <n v="6893" u="1"/>
        <n v="7035" u="1"/>
        <n v="8434" u="1"/>
        <n v="8576" u="1"/>
        <n v="76835" u="1"/>
        <n v="90680" u="1"/>
        <n v="91532" u="1"/>
        <n v="97638" u="1"/>
        <n v="6221" u="1"/>
        <n v="7428" u="1"/>
        <n v="8510" u="1"/>
        <n v="23285" u="1"/>
        <n v="4768" u="1"/>
        <n v="7111" u="1"/>
        <n v="24999" u="1"/>
        <n v="29898" u="1"/>
        <n v="33276" u="1"/>
        <n v="79897" u="1"/>
        <n v="6936" u="1"/>
        <n v="7078" u="1"/>
        <n v="7149" u="1"/>
        <n v="8520" u="1"/>
        <n v="75748" u="1"/>
        <n v="89522" u="1"/>
        <n v="6335" u="1"/>
        <n v="7116" u="1"/>
        <n v="8312" u="1"/>
        <n v="35588" u="1"/>
        <n v="76782" u="1"/>
        <n v="97727" u="1"/>
        <n v="6799" u="1"/>
        <n v="8672" u="1"/>
        <n v="21479" u="1"/>
        <n v="74834" u="1"/>
        <n v="98051" u="1"/>
        <n v="6520" u="1"/>
        <n v="8682" u="1"/>
        <n v="76121" u="1"/>
        <n v="97776" u="1"/>
        <n v="97847" u="1"/>
        <n v="6487" u="1"/>
        <n v="6913" u="1"/>
        <n v="7126" u="1"/>
        <n v="8261" u="1"/>
        <n v="71617" u="1"/>
        <n v="77084" u="1"/>
        <n v="98029" u="1"/>
        <n v="6383" u="1"/>
        <n v="7164" u="1"/>
        <n v="10538" u="1"/>
        <n v="23081" u="1"/>
        <n v="6705" u="1"/>
        <n v="6989" u="1"/>
        <n v="21316" u="1"/>
        <n v="23304" u="1"/>
        <n v="33862" u="1"/>
        <n v="75815" u="1"/>
        <n v="7311" u="1"/>
        <n v="21397" u="1"/>
        <n v="75855" u="1"/>
        <n v="76991" u="1"/>
        <n v="98078" u="1"/>
        <n v="6213" u="1"/>
        <n v="6284" u="1"/>
        <n v="7065" u="1"/>
        <n v="7562" u="1"/>
        <n v="8494" u="1"/>
        <n v="21904" u="1"/>
        <n v="22969" u="1"/>
        <n v="62586" u="1"/>
        <n v="75753" u="1"/>
        <n v="2156" u="1"/>
        <n v="23050" u="1"/>
        <n v="6218" u="1"/>
        <n v="7283" u="1"/>
        <n v="7425" u="1"/>
        <n v="75904" u="1"/>
        <n v="6824" u="1"/>
        <n v="8296" u="1"/>
        <n v="8367" u="1"/>
        <n v="9006" u="1"/>
        <n v="4059" u="1"/>
        <n v="8798" u="1"/>
        <n v="34124" u="1"/>
        <n v="65689" u="1"/>
        <n v="75913" u="1"/>
        <n v="76907" u="1"/>
        <n v="97781" u="1"/>
        <n v="6474" u="1"/>
        <n v="8945" u="1"/>
        <n v="20889" u="1"/>
        <n v="74036" u="1"/>
        <n v="98105" u="1"/>
        <n v="2819" u="1"/>
        <n v="7435" u="1"/>
        <n v="8524" u="1"/>
        <n v="75922" u="1"/>
        <n v="97648" u="1"/>
        <n v="97719" u="1"/>
        <n v="97790" u="1"/>
        <n v="98003" u="1"/>
        <n v="76104" u="1"/>
        <n v="91511" u="1"/>
        <n v="6446" u="1"/>
        <n v="7227" u="1"/>
        <n v="23049" u="1"/>
        <n v="23191" u="1"/>
        <n v="33778" u="1"/>
        <n v="97870" u="1"/>
        <n v="7194" u="1"/>
        <n v="73841" u="1"/>
        <n v="76042" u="1"/>
        <n v="76823" u="1"/>
        <n v="7019" u="1"/>
        <n v="71538" u="1"/>
        <n v="92199" u="1"/>
      </sharedItems>
    </cacheField>
    <cacheField name="FADAEM" numFmtId="0">
      <sharedItems containsString="0" containsBlank="1" containsNumber="1" containsInteger="1" minValue="20220404" maxValue="20220415"/>
    </cacheField>
    <cacheField name="FACLFA" numFmtId="0">
      <sharedItems containsString="0" containsBlank="1" containsNumber="1" containsInteger="1" minValue="1180" maxValue="77008"/>
    </cacheField>
    <cacheField name="FACLLV" numFmtId="0">
      <sharedItems containsString="0" containsBlank="1" containsNumber="1" containsInteger="1" minValue="1181" maxValue="77008"/>
    </cacheField>
    <cacheField name="TYPTAX" numFmtId="0">
      <sharedItems containsBlank="1"/>
    </cacheField>
    <cacheField name="LIBTAX" numFmtId="0">
      <sharedItems containsBlank="1" count="3">
        <s v="Cotisation Emballage"/>
        <s v="Accise Belge"/>
        <m/>
      </sharedItems>
    </cacheField>
    <cacheField name="FANART" numFmtId="0">
      <sharedItems containsString="0" containsBlank="1" containsNumber="1" containsInteger="1" minValue="49" maxValue="6551"/>
    </cacheField>
    <cacheField name="FACOND" numFmtId="0">
      <sharedItems containsString="0" containsBlank="1" containsNumber="1" containsInteger="1" minValue="10" maxValue="839"/>
    </cacheField>
    <cacheField name="LIBFAM" numFmtId="0">
      <sharedItems containsBlank="1"/>
    </cacheField>
    <cacheField name="FAQTUC" numFmtId="0">
      <sharedItems containsString="0" containsBlank="1" containsNumber="1" containsInteger="1" minValue="90" maxValue="16632"/>
    </cacheField>
    <cacheField name="FAQTFA" numFmtId="0">
      <sharedItems containsString="0" containsBlank="1" containsNumber="1" containsInteger="1" minValue="160" maxValue="70560"/>
    </cacheField>
    <cacheField name="PUECOT" numFmtId="0">
      <sharedItems containsString="0" containsBlank="1" containsNumber="1" minValue="3.2500000000000001E-2" maxValue="1.1832"/>
    </cacheField>
    <cacheField name="HTECOT" numFmtId="0">
      <sharedItems containsString="0" containsBlank="1" containsNumber="1" minValue="44.19" maxValue="2603.04"/>
    </cacheField>
    <cacheField name="FAMILLE" numFmtId="0">
      <sharedItems containsBlank="1"/>
    </cacheField>
    <cacheField name="CODTAX" numFmtId="0">
      <sharedItems containsString="0" containsBlank="1" containsNumber="1" containsInteger="1" minValue="7" maxValue="580"/>
    </cacheField>
    <cacheField name="LIBSEC" numFmtId="0">
      <sharedItems containsBlank="1"/>
    </cacheField>
    <cacheField name="DATCALC" numFmtId="0">
      <sharedItems containsString="0" containsBlank="1" containsNumber="1" containsInteger="1" minValue="20220412" maxValue="20220418"/>
    </cacheField>
    <cacheField name="Désign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920x" refreshedDate="44783.630256712961" createdVersion="3" refreshedVersion="8" minRefreshableVersion="3" recordCount="436" xr:uid="{00000000-000A-0000-FFFF-FFFF8D000000}">
  <cacheSource type="worksheet">
    <worksheetSource ref="C1:T437" sheet="Copie fichier roxane"/>
  </cacheSource>
  <cacheFields count="18">
    <cacheField name="FANLIV" numFmtId="0">
      <sharedItems containsString="0" containsBlank="1" containsNumber="1" containsInteger="1" minValue="6247" maxValue="97537"/>
    </cacheField>
    <cacheField name="FADAEM" numFmtId="0">
      <sharedItems containsString="0" containsBlank="1" containsNumber="1" containsInteger="1" minValue="20220404" maxValue="20220415"/>
    </cacheField>
    <cacheField name="FACLFA" numFmtId="0">
      <sharedItems containsString="0" containsBlank="1" containsNumber="1" containsInteger="1" minValue="1180" maxValue="77008"/>
    </cacheField>
    <cacheField name="FACLLV" numFmtId="0">
      <sharedItems containsString="0" containsBlank="1" containsNumber="1" containsInteger="1" minValue="1181" maxValue="77008"/>
    </cacheField>
    <cacheField name="TYPTAX" numFmtId="0">
      <sharedItems containsBlank="1"/>
    </cacheField>
    <cacheField name="LIBTAX" numFmtId="0">
      <sharedItems containsBlank="1" count="3">
        <s v="Cotisation Emballage"/>
        <s v="Accise Belge"/>
        <m/>
      </sharedItems>
    </cacheField>
    <cacheField name="FANART" numFmtId="0">
      <sharedItems containsString="0" containsBlank="1" containsNumber="1" containsInteger="1" minValue="49" maxValue="6551"/>
    </cacheField>
    <cacheField name="FACOND" numFmtId="0">
      <sharedItems containsString="0" containsBlank="1" containsNumber="1" containsInteger="1" minValue="10" maxValue="839"/>
    </cacheField>
    <cacheField name="LIBFAM" numFmtId="0">
      <sharedItems containsBlank="1"/>
    </cacheField>
    <cacheField name="FAQTUC" numFmtId="0">
      <sharedItems containsString="0" containsBlank="1" containsNumber="1" containsInteger="1" minValue="90" maxValue="16632"/>
    </cacheField>
    <cacheField name="FAQTFA" numFmtId="0">
      <sharedItems containsString="0" containsBlank="1" containsNumber="1" containsInteger="1" minValue="160" maxValue="70560"/>
    </cacheField>
    <cacheField name="PUECOT" numFmtId="0">
      <sharedItems containsString="0" containsBlank="1" containsNumber="1" minValue="3.2500000000000001E-2" maxValue="1.1832"/>
    </cacheField>
    <cacheField name="HTECOT" numFmtId="0">
      <sharedItems containsString="0" containsBlank="1" containsNumber="1" minValue="44.19" maxValue="2603.04"/>
    </cacheField>
    <cacheField name="FAMILLE" numFmtId="0">
      <sharedItems containsBlank="1"/>
    </cacheField>
    <cacheField name="CODTAX" numFmtId="0">
      <sharedItems containsString="0" containsBlank="1" containsNumber="1" containsInteger="1" minValue="7" maxValue="580"/>
    </cacheField>
    <cacheField name="LIBSEC" numFmtId="0">
      <sharedItems containsBlank="1"/>
    </cacheField>
    <cacheField name="DATCALC" numFmtId="0">
      <sharedItems containsString="0" containsBlank="1" containsNumber="1" containsInteger="1" minValue="20220412" maxValue="20220418"/>
    </cacheField>
    <cacheField name="Désignation" numFmtId="0">
      <sharedItems containsBlank="1" count="16">
        <s v="eau 2l"/>
        <s v="eau 1,5l"/>
        <s v="eau 0,5l"/>
        <s v="eau 0,33l"/>
        <s v="eau 5l"/>
        <s v="bonbonne 18,9l"/>
        <s v="limonade 0,5l"/>
        <s v="eau aro 0,5l"/>
        <s v="limonade 1,5l"/>
        <s v="limonade 2l"/>
        <s v="eau 1l"/>
        <s v="eau 0,75l"/>
        <e v="#N/A"/>
        <m u="1"/>
        <s v="eau 0,75" u="1"/>
        <s v="eau aro 1,5l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3">
  <r>
    <s v="MER"/>
    <n v="3634286"/>
    <x v="0"/>
    <n v="20220404"/>
    <n v="13850"/>
    <n v="13850"/>
    <s v="CE"/>
    <x v="0"/>
    <n v="6129"/>
    <n v="686"/>
    <s v="E.D.S. PLATE 2L00 PET"/>
    <n v="11520"/>
    <n v="11520"/>
    <n v="0.19719999999999999"/>
    <n v="2271.7399999999998"/>
    <s v="130110"/>
    <n v="28"/>
    <s v="EDS 2L RONDE"/>
    <n v="20220412"/>
    <s v="eau 2l"/>
  </r>
  <r>
    <s v="CLO"/>
    <n v="3634427"/>
    <x v="1"/>
    <n v="20220404"/>
    <n v="3371"/>
    <n v="3372"/>
    <s v="CE"/>
    <x v="0"/>
    <n v="6289"/>
    <n v="367"/>
    <s v="E.M. PLATE 1L50 PET"/>
    <n v="16128"/>
    <n v="16128"/>
    <n v="0.1479"/>
    <n v="2385.33"/>
    <s v="071010"/>
    <n v="580"/>
    <s v="EAU 1L50 CLO"/>
    <n v="20220412"/>
    <s v="eau 1,5l"/>
  </r>
  <r>
    <s v="JAN"/>
    <n v="3635158"/>
    <x v="2"/>
    <n v="20220405"/>
    <n v="77008"/>
    <n v="77008"/>
    <s v="CE"/>
    <x v="0"/>
    <n v="6010"/>
    <n v="684"/>
    <s v="E.D.S. PLATE 0L50 PET"/>
    <n v="864"/>
    <n v="20736"/>
    <n v="1.1832"/>
    <n v="1022.28"/>
    <s v="140110"/>
    <n v="8"/>
    <s v="EDS 0L50 VRAC 24"/>
    <n v="20220412"/>
    <s v="eau 0,5l"/>
  </r>
  <r>
    <s v="JAN"/>
    <n v="3635158"/>
    <x v="2"/>
    <n v="20220405"/>
    <n v="77008"/>
    <n v="77008"/>
    <s v="CE"/>
    <x v="0"/>
    <n v="6032"/>
    <n v="682"/>
    <s v="E.D.S. PLATE 0L50 PET"/>
    <n v="3744"/>
    <n v="22464"/>
    <n v="0.29580000000000001"/>
    <n v="1107.48"/>
    <s v="140110"/>
    <n v="7"/>
    <s v="EDS 0L50 PK6 ET 12"/>
    <n v="20220412"/>
    <s v="eau 0,5l"/>
  </r>
  <r>
    <s v="JAN"/>
    <n v="3635158"/>
    <x v="2"/>
    <n v="20220405"/>
    <n v="77008"/>
    <n v="77008"/>
    <s v="CE"/>
    <x v="0"/>
    <n v="6109"/>
    <n v="692"/>
    <s v="E.D.S. PLATE 0L33 PET"/>
    <n v="180"/>
    <n v="4320"/>
    <n v="0.78"/>
    <n v="140.4"/>
    <s v="210110"/>
    <n v="150"/>
    <s v="EDS 0L33 BOUCHON VIS"/>
    <n v="20220412"/>
    <s v="eau 0,33l"/>
  </r>
  <r>
    <s v="JAN"/>
    <n v="3635158"/>
    <x v="2"/>
    <n v="20220405"/>
    <n v="77008"/>
    <n v="77008"/>
    <s v="CE"/>
    <x v="0"/>
    <n v="6224"/>
    <n v="702"/>
    <s v="E.D.S. SPORT CAP 0L33 PET"/>
    <n v="360"/>
    <n v="2160"/>
    <n v="0.19500000000000001"/>
    <n v="70.2"/>
    <s v="210113"/>
    <n v="76"/>
    <s v="EDS 0L33 SPORTCAP"/>
    <n v="20220412"/>
    <s v="eau 0,33l"/>
  </r>
  <r>
    <s v="MER"/>
    <n v="3635473"/>
    <x v="3"/>
    <n v="20220405"/>
    <n v="70004"/>
    <n v="70002"/>
    <s v="CE"/>
    <x v="0"/>
    <n v="6110"/>
    <n v="678"/>
    <s v="E.D.S. SPORT CAP 0L33 PET"/>
    <n v="5580"/>
    <n v="66960"/>
    <n v="0.39"/>
    <n v="2176.1999999999998"/>
    <s v="210113"/>
    <n v="76"/>
    <s v="EDS 0L33 SPORTCAP"/>
    <n v="20220412"/>
    <s v="eau 0,33l"/>
  </r>
  <r>
    <s v="JAN"/>
    <n v="3636521"/>
    <x v="4"/>
    <n v="20220406"/>
    <n v="40580"/>
    <n v="40580"/>
    <s v="CE"/>
    <x v="0"/>
    <n v="619"/>
    <n v="10"/>
    <s v="E.D.S. PLATE 5L00 PET"/>
    <n v="960"/>
    <n v="960"/>
    <n v="0.49299999999999999"/>
    <n v="473.28"/>
    <s v="230110"/>
    <n v="61"/>
    <s v="EDS 5L"/>
    <n v="20220412"/>
    <s v="eau 5l"/>
  </r>
  <r>
    <s v="JAN"/>
    <n v="3636521"/>
    <x v="4"/>
    <n v="20220406"/>
    <n v="40580"/>
    <n v="40580"/>
    <s v="CE"/>
    <x v="0"/>
    <n v="6010"/>
    <n v="684"/>
    <s v="E.D.S. PLATE 0L50 PET"/>
    <n v="720"/>
    <n v="17280"/>
    <n v="1.1832"/>
    <n v="851.9"/>
    <s v="140110"/>
    <n v="8"/>
    <s v="EDS 0L50 VRAC 24"/>
    <n v="20220412"/>
    <s v="eau 0,5l"/>
  </r>
  <r>
    <s v="JAN"/>
    <n v="3636521"/>
    <x v="4"/>
    <n v="20220406"/>
    <n v="40580"/>
    <n v="40580"/>
    <s v="CE"/>
    <x v="0"/>
    <n v="6050"/>
    <n v="33"/>
    <s v="E.D.S. PLATE 1L50 PET"/>
    <n v="5040"/>
    <n v="5040"/>
    <n v="0.1479"/>
    <n v="745.42"/>
    <s v="070110"/>
    <n v="31"/>
    <s v="EDS PLATE 1L5 PK 6"/>
    <n v="20220412"/>
    <s v="eau 1,5l"/>
  </r>
  <r>
    <s v="JAN"/>
    <n v="3636521"/>
    <x v="4"/>
    <n v="20220406"/>
    <n v="40580"/>
    <n v="40580"/>
    <s v="CE"/>
    <x v="0"/>
    <n v="6109"/>
    <n v="692"/>
    <s v="E.D.S. PLATE 0L33 PET"/>
    <n v="90"/>
    <n v="2160"/>
    <n v="0.78"/>
    <n v="70.2"/>
    <s v="210110"/>
    <n v="150"/>
    <s v="EDS 0L33 BOUCHON VIS"/>
    <n v="20220412"/>
    <s v="eau 0,33l"/>
  </r>
  <r>
    <s v="JAN"/>
    <n v="3636521"/>
    <x v="4"/>
    <n v="20220406"/>
    <n v="40580"/>
    <n v="40580"/>
    <s v="CE"/>
    <x v="0"/>
    <n v="6501"/>
    <n v="33"/>
    <s v="E.D.S. GAZ PETIL 1L50 BTE VERTE"/>
    <n v="1008"/>
    <n v="1008"/>
    <n v="0.1479"/>
    <n v="149.08000000000001"/>
    <s v="070313"/>
    <n v="41"/>
    <s v="EDS GAZEIFIEE 1L50 CRISTALINE"/>
    <n v="20220412"/>
    <s v="eau 1,5l"/>
  </r>
  <r>
    <s v="MAN"/>
    <n v="3640600"/>
    <x v="5"/>
    <n v="20220411"/>
    <n v="2100"/>
    <n v="2100"/>
    <s v="CE"/>
    <x v="0"/>
    <n v="619"/>
    <n v="10"/>
    <s v="E.D.S. PLATE 5L00 PET"/>
    <n v="5280"/>
    <n v="5280"/>
    <n v="0.49299999999999999"/>
    <n v="2603.04"/>
    <s v="230110"/>
    <n v="61"/>
    <s v="EDS 5L"/>
    <n v="20220414"/>
    <s v="eau 5l"/>
  </r>
  <r>
    <s v="BEC"/>
    <n v="3640657"/>
    <x v="6"/>
    <n v="20220411"/>
    <n v="13850"/>
    <n v="13850"/>
    <s v="CE"/>
    <x v="0"/>
    <n v="6501"/>
    <n v="465"/>
    <s v="E.D.S. GAZ PETIL 1L50 BTE VERTE"/>
    <n v="15120"/>
    <n v="15120"/>
    <n v="0.1479"/>
    <n v="2236.25"/>
    <s v="070313"/>
    <n v="41"/>
    <s v="EDS GAZEIFIEE 1L50 CRISTALINE"/>
    <n v="20220414"/>
    <s v="eau 1,5l"/>
  </r>
  <r>
    <s v="JAN"/>
    <n v="3640710"/>
    <x v="7"/>
    <n v="20220411"/>
    <n v="70004"/>
    <n v="70004"/>
    <s v="CE"/>
    <x v="0"/>
    <n v="6040"/>
    <n v="683"/>
    <s v="E.D.S. PLATE 0L50 PET"/>
    <n v="3888"/>
    <n v="46656"/>
    <n v="0.59160000000000001"/>
    <n v="2300.14"/>
    <s v="140110"/>
    <n v="7"/>
    <s v="EDS 0L50 PK6 ET 12"/>
    <n v="20220414"/>
    <s v="eau 0,5l"/>
  </r>
  <r>
    <s v="JAN"/>
    <n v="3640732"/>
    <x v="8"/>
    <n v="20220411"/>
    <n v="70004"/>
    <n v="70004"/>
    <s v="CE"/>
    <x v="0"/>
    <n v="6129"/>
    <n v="516"/>
    <s v="E.D.S. PLATE 2L00 PET"/>
    <n v="11520"/>
    <n v="11520"/>
    <n v="0.19719999999999999"/>
    <n v="2271.7399999999998"/>
    <s v="130110"/>
    <n v="28"/>
    <s v="EDS 2L RONDE"/>
    <n v="20220414"/>
    <s v="eau 2l"/>
  </r>
  <r>
    <s v="JAN"/>
    <n v="3640765"/>
    <x v="9"/>
    <n v="20220411"/>
    <n v="4710"/>
    <n v="4712"/>
    <s v="CE"/>
    <x v="0"/>
    <n v="6032"/>
    <n v="682"/>
    <s v="E.D.S. PLATE 0L50 PET"/>
    <n v="7776"/>
    <n v="46656"/>
    <n v="0.29580000000000001"/>
    <n v="2300.14"/>
    <s v="140110"/>
    <n v="7"/>
    <s v="EDS 0L50 PK6 ET 12"/>
    <n v="20220414"/>
    <s v="eau 0,5l"/>
  </r>
  <r>
    <s v="JAN"/>
    <n v="3640770"/>
    <x v="10"/>
    <n v="20220411"/>
    <n v="4270"/>
    <n v="4270"/>
    <s v="CE"/>
    <x v="0"/>
    <n v="619"/>
    <n v="116"/>
    <s v="E.D.S. PLATE 5L00 PET"/>
    <n v="800"/>
    <n v="800"/>
    <n v="0.49299999999999999"/>
    <n v="394.4"/>
    <s v="230110"/>
    <n v="61"/>
    <s v="EDS 5L"/>
    <n v="20220414"/>
    <s v="eau 5l"/>
  </r>
  <r>
    <s v="JAN"/>
    <n v="3640770"/>
    <x v="10"/>
    <n v="20220411"/>
    <n v="4270"/>
    <n v="4270"/>
    <s v="CE"/>
    <x v="0"/>
    <n v="6050"/>
    <n v="33"/>
    <s v="E.D.S. PLATE 1L50 PET"/>
    <n v="5040"/>
    <n v="5040"/>
    <n v="0.1479"/>
    <n v="745.42"/>
    <s v="070110"/>
    <n v="31"/>
    <s v="EDS PLATE 1L5 PK 6"/>
    <n v="20220414"/>
    <s v="eau 1,5l"/>
  </r>
  <r>
    <s v="JAN"/>
    <n v="3640770"/>
    <x v="10"/>
    <n v="20220411"/>
    <n v="4270"/>
    <n v="4270"/>
    <s v="CE"/>
    <x v="0"/>
    <n v="6066"/>
    <n v="33"/>
    <s v="E.D.S. PLATE 1L50 PET"/>
    <n v="6048"/>
    <n v="6048"/>
    <n v="0.1479"/>
    <n v="894.5"/>
    <s v="070110"/>
    <n v="31"/>
    <s v="EDS PLATE 1L5 PK 6"/>
    <n v="20220414"/>
    <s v="eau 1,5l"/>
  </r>
  <r>
    <s v="JAN"/>
    <n v="3640770"/>
    <x v="10"/>
    <n v="20220411"/>
    <n v="4270"/>
    <n v="4270"/>
    <s v="CE"/>
    <x v="0"/>
    <n v="6501"/>
    <n v="33"/>
    <s v="E.D.S. GAZ PETIL 1L50 BTE VERTE"/>
    <n v="2016"/>
    <n v="2016"/>
    <n v="0.1479"/>
    <n v="298.17"/>
    <s v="070313"/>
    <n v="41"/>
    <s v="EDS GAZEIFIEE 1L50 CRISTALINE"/>
    <n v="20220414"/>
    <s v="eau 1,5l"/>
  </r>
  <r>
    <s v="JAN"/>
    <n v="3640774"/>
    <x v="11"/>
    <n v="20220411"/>
    <n v="11401"/>
    <n v="11401"/>
    <s v="CE"/>
    <x v="0"/>
    <n v="6040"/>
    <n v="683"/>
    <s v="E.D.S. PLATE 0L50 PET"/>
    <n v="3744"/>
    <n v="44928"/>
    <n v="0.59160000000000001"/>
    <n v="2214.9499999999998"/>
    <s v="140110"/>
    <n v="7"/>
    <s v="EDS 0L50 PK6 ET 12"/>
    <n v="20220414"/>
    <s v="eau 0,5l"/>
  </r>
  <r>
    <s v="JAN"/>
    <n v="3640774"/>
    <x v="11"/>
    <n v="20220411"/>
    <n v="11401"/>
    <n v="11401"/>
    <s v="CE"/>
    <x v="0"/>
    <n v="6129"/>
    <n v="516"/>
    <s v="E.D.S. PLATE 2L00 PET"/>
    <n v="768"/>
    <n v="768"/>
    <n v="0.19719999999999999"/>
    <n v="151.44999999999999"/>
    <s v="130110"/>
    <n v="28"/>
    <s v="EDS 2L RONDE"/>
    <n v="20220414"/>
    <s v="eau 2l"/>
  </r>
  <r>
    <s v="JAN"/>
    <n v="3640778"/>
    <x v="12"/>
    <n v="20220411"/>
    <n v="11401"/>
    <n v="11401"/>
    <s v="CE"/>
    <x v="0"/>
    <n v="6050"/>
    <n v="33"/>
    <s v="E.D.S. PLATE 1L50 PET"/>
    <n v="15624"/>
    <n v="15624"/>
    <n v="0.1479"/>
    <n v="2310.79"/>
    <s v="070110"/>
    <n v="31"/>
    <s v="EDS PLATE 1L5 PK 6"/>
    <n v="20220414"/>
    <s v="eau 1,5l"/>
  </r>
  <r>
    <s v="JAN"/>
    <n v="3640791"/>
    <x v="13"/>
    <n v="20220411"/>
    <n v="77002"/>
    <n v="77002"/>
    <s v="CE"/>
    <x v="0"/>
    <n v="6050"/>
    <n v="33"/>
    <s v="E.D.S. PLATE 1L50 PET"/>
    <n v="15624"/>
    <n v="15624"/>
    <n v="0.1479"/>
    <n v="2310.79"/>
    <s v="070110"/>
    <n v="31"/>
    <s v="EDS PLATE 1L5 PK 6"/>
    <n v="20220414"/>
    <s v="eau 1,5l"/>
  </r>
  <r>
    <s v="STL"/>
    <n v="3640811"/>
    <x v="14"/>
    <n v="20220411"/>
    <n v="2100"/>
    <n v="2100"/>
    <s v="CE"/>
    <x v="0"/>
    <n v="6093"/>
    <n v="33"/>
    <s v="E.M. PLATE 1L50 PET"/>
    <n v="15120"/>
    <n v="15120"/>
    <n v="0.1479"/>
    <n v="2236.25"/>
    <s v="071010"/>
    <n v="31"/>
    <s v="EDS PLATE 1L5 PK 6"/>
    <n v="20220414"/>
    <s v="eau 1,5l"/>
  </r>
  <r>
    <s v="STL"/>
    <n v="3640826"/>
    <x v="15"/>
    <n v="20220411"/>
    <n v="4290"/>
    <n v="4290"/>
    <s v="CE"/>
    <x v="0"/>
    <n v="619"/>
    <n v="10"/>
    <s v="E.D.S. PLATE 5L00 PET"/>
    <n v="480"/>
    <n v="480"/>
    <n v="0.49299999999999999"/>
    <n v="236.64"/>
    <s v="230110"/>
    <n v="61"/>
    <s v="EDS 5L"/>
    <n v="20220414"/>
    <s v="eau 5l"/>
  </r>
  <r>
    <s v="STL"/>
    <n v="3640826"/>
    <x v="15"/>
    <n v="20220411"/>
    <n v="4290"/>
    <n v="4290"/>
    <s v="CE"/>
    <x v="0"/>
    <n v="6050"/>
    <n v="33"/>
    <s v="E.D.S. PLATE 1L50 PET"/>
    <n v="13608"/>
    <n v="13608"/>
    <n v="0.1479"/>
    <n v="2012.62"/>
    <s v="070110"/>
    <n v="31"/>
    <s v="EDS PLATE 1L5 PK 6"/>
    <n v="20220414"/>
    <s v="eau 1,5l"/>
  </r>
  <r>
    <s v="STL"/>
    <n v="3640829"/>
    <x v="16"/>
    <n v="20220411"/>
    <n v="13850"/>
    <n v="13850"/>
    <s v="CE"/>
    <x v="0"/>
    <n v="6093"/>
    <n v="465"/>
    <s v="E.M. PLATE 1L50 PET"/>
    <n v="15120"/>
    <n v="15120"/>
    <n v="0.1479"/>
    <n v="2236.25"/>
    <s v="071010"/>
    <n v="31"/>
    <s v="EDS PLATE 1L5 PK 6"/>
    <n v="20220414"/>
    <s v="eau 1,5l"/>
  </r>
  <r>
    <s v="STL"/>
    <n v="3640834"/>
    <x v="17"/>
    <n v="20220411"/>
    <n v="4696"/>
    <n v="4696"/>
    <s v="CE"/>
    <x v="0"/>
    <n v="6050"/>
    <n v="465"/>
    <s v="E.D.S. PLATE 1L50 PET"/>
    <n v="15120"/>
    <n v="15120"/>
    <n v="0.1479"/>
    <n v="2236.25"/>
    <s v="070110"/>
    <n v="31"/>
    <s v="EDS PLATE 1L5 PK 6"/>
    <n v="20220414"/>
    <s v="eau 1,5l"/>
  </r>
  <r>
    <s v="STL"/>
    <n v="3640842"/>
    <x v="18"/>
    <n v="20220411"/>
    <n v="1180"/>
    <n v="1181"/>
    <s v="CE"/>
    <x v="0"/>
    <n v="1037"/>
    <n v="154"/>
    <s v="BONBONNE CLIENT 18L9"/>
    <n v="1104"/>
    <n v="1104"/>
    <n v="0.26650000000000001"/>
    <n v="294.22000000000003"/>
    <s v="260510"/>
    <n v="65"/>
    <s v="BONBONNE 18L90"/>
    <n v="20220414"/>
    <s v="bonbonne 18,9l"/>
  </r>
  <r>
    <s v="STL"/>
    <n v="3640849"/>
    <x v="19"/>
    <n v="20220411"/>
    <n v="4696"/>
    <n v="4696"/>
    <s v="CE"/>
    <x v="0"/>
    <n v="6050"/>
    <n v="465"/>
    <s v="E.D.S. PLATE 1L50 PET"/>
    <n v="15120"/>
    <n v="15120"/>
    <n v="0.1479"/>
    <n v="2236.25"/>
    <s v="070110"/>
    <n v="31"/>
    <s v="EDS PLATE 1L5 PK 6"/>
    <n v="20220414"/>
    <s v="eau 1,5l"/>
  </r>
  <r>
    <s v="MER"/>
    <n v="3641047"/>
    <x v="20"/>
    <n v="20220411"/>
    <n v="2100"/>
    <n v="2100"/>
    <s v="CE"/>
    <x v="0"/>
    <n v="6129"/>
    <n v="516"/>
    <s v="E.D.S. PLATE 2L00 PET"/>
    <n v="11520"/>
    <n v="11520"/>
    <n v="0.19719999999999999"/>
    <n v="2271.7399999999998"/>
    <s v="130110"/>
    <n v="28"/>
    <s v="EDS 2L RONDE"/>
    <n v="20220414"/>
    <s v="eau 2l"/>
  </r>
  <r>
    <s v="MER"/>
    <n v="3641095"/>
    <x v="21"/>
    <n v="20220411"/>
    <n v="13850"/>
    <n v="13850"/>
    <s v="CE"/>
    <x v="0"/>
    <n v="6129"/>
    <n v="686"/>
    <s v="E.D.S. PLATE 2L00 PET"/>
    <n v="11520"/>
    <n v="11520"/>
    <n v="0.19719999999999999"/>
    <n v="2271.7399999999998"/>
    <s v="130110"/>
    <n v="28"/>
    <s v="EDS 2L RONDE"/>
    <n v="20220414"/>
    <s v="eau 2l"/>
  </r>
  <r>
    <s v="MER"/>
    <n v="3641099"/>
    <x v="22"/>
    <n v="20220411"/>
    <n v="3371"/>
    <n v="3372"/>
    <s v="CE"/>
    <x v="0"/>
    <n v="6221"/>
    <n v="713"/>
    <s v="E.D.S. PLATE 0L50 PET"/>
    <n v="8640"/>
    <n v="51840"/>
    <n v="0.29580000000000001"/>
    <n v="2555.71"/>
    <s v="140110"/>
    <n v="7"/>
    <s v="EDS 0L50 PK6 ET 12"/>
    <n v="20220414"/>
    <s v="eau 0,5l"/>
  </r>
  <r>
    <s v="TRI"/>
    <n v="3641316"/>
    <x v="23"/>
    <n v="20220411"/>
    <n v="4696"/>
    <n v="4696"/>
    <s v="CE"/>
    <x v="0"/>
    <n v="3395"/>
    <n v="839"/>
    <s v="E.M.G. 0L50 PET"/>
    <n v="3456"/>
    <n v="41472"/>
    <n v="0.59160000000000001"/>
    <n v="2044.57"/>
    <s v="141110"/>
    <n v="548"/>
    <s v="EMG OL50 CLO P12"/>
    <n v="20220414"/>
    <s v="eau 0,5l"/>
  </r>
  <r>
    <s v="THO"/>
    <n v="3641741"/>
    <x v="24"/>
    <n v="20220411"/>
    <n v="3371"/>
    <n v="3372"/>
    <s v="CE"/>
    <x v="0"/>
    <n v="6262"/>
    <n v="275"/>
    <s v="E.M. PLATE 33CL SPORT"/>
    <n v="5880"/>
    <n v="70560"/>
    <n v="0.39"/>
    <n v="2293.1999999999998"/>
    <s v="211013"/>
    <n v="141"/>
    <s v="EMP 33CL BOUCHON SPORT"/>
    <n v="20220414"/>
    <s v="eau 0,33l"/>
  </r>
  <r>
    <s v="MAN"/>
    <n v="3641880"/>
    <x v="25"/>
    <n v="20220412"/>
    <n v="4680"/>
    <n v="4680"/>
    <s v="AB"/>
    <x v="1"/>
    <n v="1799"/>
    <n v="39"/>
    <s v="E.D.S. ARO FRUITS ROUGES 0L50 PET"/>
    <n v="1296"/>
    <n v="7776"/>
    <n v="0.35759999999999997"/>
    <n v="463.45"/>
    <s v="140688"/>
    <n v="11"/>
    <s v="JUS ARO+THE OL50"/>
    <n v="20220414"/>
    <s v="limonade 0,5l"/>
  </r>
  <r>
    <s v="MAN"/>
    <n v="3641880"/>
    <x v="25"/>
    <n v="20220412"/>
    <n v="4680"/>
    <n v="4680"/>
    <s v="CE"/>
    <x v="0"/>
    <n v="1799"/>
    <n v="39"/>
    <s v="E.D.S. ARO FRUITS ROUGES 0L50 PET"/>
    <n v="1296"/>
    <n v="7776"/>
    <n v="0.29580000000000001"/>
    <n v="383.36"/>
    <s v="140688"/>
    <n v="11"/>
    <s v="JUS ARO+THE OL50"/>
    <n v="20220414"/>
    <s v="limonade 0,5l"/>
  </r>
  <r>
    <s v="MAN"/>
    <n v="3641880"/>
    <x v="25"/>
    <n v="20220412"/>
    <n v="4680"/>
    <n v="4680"/>
    <s v="AB"/>
    <x v="1"/>
    <n v="1800"/>
    <n v="39"/>
    <s v="E.D.S. ARO CITRON 0L50 SS SUCRE"/>
    <n v="216"/>
    <n v="1296"/>
    <n v="0.2046"/>
    <n v="44.19"/>
    <s v="140680"/>
    <n v="27"/>
    <s v="EDS ARO+THE 0L5 SANS SUCRE"/>
    <n v="20220414"/>
    <s v="eau aro 0,5l"/>
  </r>
  <r>
    <s v="MAN"/>
    <n v="3641880"/>
    <x v="25"/>
    <n v="20220412"/>
    <n v="4680"/>
    <n v="4680"/>
    <s v="CE"/>
    <x v="0"/>
    <n v="1800"/>
    <n v="39"/>
    <s v="E.D.S. ARO CITRON 0L50 SS SUCRE"/>
    <n v="216"/>
    <n v="1296"/>
    <n v="0.29580000000000001"/>
    <n v="63.89"/>
    <s v="140680"/>
    <n v="27"/>
    <s v="EDS ARO+THE 0L5 SANS SUCRE"/>
    <n v="20220414"/>
    <s v="eau aro 0,5l"/>
  </r>
  <r>
    <s v="MAN"/>
    <n v="3641880"/>
    <x v="25"/>
    <n v="20220412"/>
    <n v="4680"/>
    <n v="4680"/>
    <s v="AB"/>
    <x v="1"/>
    <n v="5812"/>
    <n v="39"/>
    <s v="BOISSON JUS FRAISE 0L50 PET"/>
    <n v="2592"/>
    <n v="15552"/>
    <n v="0.35759999999999997"/>
    <n v="926.9"/>
    <s v="140940"/>
    <n v="11"/>
    <s v="JUS ARO+THE OL50"/>
    <n v="20220414"/>
    <s v="limonade 0,5l"/>
  </r>
  <r>
    <s v="MAN"/>
    <n v="3641880"/>
    <x v="25"/>
    <n v="20220412"/>
    <n v="4680"/>
    <n v="4680"/>
    <s v="CE"/>
    <x v="0"/>
    <n v="5812"/>
    <n v="39"/>
    <s v="BOISSON JUS FRAISE 0L50 PET"/>
    <n v="2592"/>
    <n v="15552"/>
    <n v="0.29580000000000001"/>
    <n v="766.71"/>
    <s v="140940"/>
    <n v="11"/>
    <s v="JUS ARO+THE OL50"/>
    <n v="20220414"/>
    <s v="limonade 0,5l"/>
  </r>
  <r>
    <s v="MAN"/>
    <n v="3641880"/>
    <x v="25"/>
    <n v="20220412"/>
    <n v="4680"/>
    <n v="4680"/>
    <s v="AB"/>
    <x v="1"/>
    <n v="5813"/>
    <n v="39"/>
    <s v="BOISSON JUS PECHE 0L50 PET"/>
    <n v="1728"/>
    <n v="10368"/>
    <n v="0.35759999999999997"/>
    <n v="617.92999999999995"/>
    <s v="140950"/>
    <n v="11"/>
    <s v="JUS ARO+THE OL50"/>
    <n v="20220414"/>
    <s v="limonade 0,5l"/>
  </r>
  <r>
    <s v="MAN"/>
    <n v="3641880"/>
    <x v="25"/>
    <n v="20220412"/>
    <n v="4680"/>
    <n v="4680"/>
    <s v="CE"/>
    <x v="0"/>
    <n v="5813"/>
    <n v="39"/>
    <s v="BOISSON JUS PECHE 0L50 PET"/>
    <n v="1728"/>
    <n v="10368"/>
    <n v="0.29580000000000001"/>
    <n v="511.14"/>
    <s v="140950"/>
    <n v="11"/>
    <s v="JUS ARO+THE OL50"/>
    <n v="20220414"/>
    <s v="limonade 0,5l"/>
  </r>
  <r>
    <s v="MAN"/>
    <n v="3641880"/>
    <x v="25"/>
    <n v="20220412"/>
    <n v="4680"/>
    <n v="4680"/>
    <s v="AB"/>
    <x v="1"/>
    <n v="5814"/>
    <n v="39"/>
    <s v="BOISSON JUS TROPICAL 0L50 PET"/>
    <n v="1296"/>
    <n v="7776"/>
    <n v="0.35759999999999997"/>
    <n v="463.45"/>
    <s v="140960"/>
    <n v="11"/>
    <s v="JUS ARO+THE OL50"/>
    <n v="20220414"/>
    <s v="limonade 0,5l"/>
  </r>
  <r>
    <s v="MAN"/>
    <n v="3641880"/>
    <x v="25"/>
    <n v="20220412"/>
    <n v="4680"/>
    <n v="4680"/>
    <s v="CE"/>
    <x v="0"/>
    <n v="5814"/>
    <n v="39"/>
    <s v="BOISSON JUS TROPICAL 0L50 PET"/>
    <n v="1296"/>
    <n v="7776"/>
    <n v="0.29580000000000001"/>
    <n v="383.36"/>
    <s v="140960"/>
    <n v="11"/>
    <s v="JUS ARO+THE OL50"/>
    <n v="20220414"/>
    <s v="limonade 0,5l"/>
  </r>
  <r>
    <s v="MAN"/>
    <n v="3641937"/>
    <x v="26"/>
    <n v="20220412"/>
    <n v="2100"/>
    <n v="2100"/>
    <s v="AB"/>
    <x v="1"/>
    <n v="1350"/>
    <n v="123"/>
    <s v="E.D.S. ARO FR ROUGES 1L5 (SUCRALOSE)"/>
    <n v="504"/>
    <n v="504"/>
    <n v="0.17879999999999999"/>
    <n v="90.12"/>
    <s v="070686"/>
    <n v="44"/>
    <s v="JUS + ARO + THE 1L50"/>
    <n v="20220414"/>
    <s v="limonade 1,5l"/>
  </r>
  <r>
    <s v="MAN"/>
    <n v="3641937"/>
    <x v="26"/>
    <n v="20220412"/>
    <n v="2100"/>
    <n v="2100"/>
    <s v="CE"/>
    <x v="0"/>
    <n v="1350"/>
    <n v="123"/>
    <s v="E.D.S. ARO FR ROUGES 1L5 (SUCRALOSE)"/>
    <n v="504"/>
    <n v="504"/>
    <n v="0.1479"/>
    <n v="74.540000000000006"/>
    <s v="070686"/>
    <n v="44"/>
    <s v="JUS + ARO + THE 1L50"/>
    <n v="20220414"/>
    <s v="limonade 1,5l"/>
  </r>
  <r>
    <s v="MAN"/>
    <n v="3641937"/>
    <x v="26"/>
    <n v="20220412"/>
    <n v="2100"/>
    <n v="2100"/>
    <s v="AB"/>
    <x v="1"/>
    <n v="1799"/>
    <n v="39"/>
    <s v="E.D.S. ARO FRUITS ROUGES 0L50 PET"/>
    <n v="432"/>
    <n v="2592"/>
    <n v="0.35759999999999997"/>
    <n v="154.47999999999999"/>
    <s v="140688"/>
    <n v="11"/>
    <s v="JUS ARO+THE OL50"/>
    <n v="20220414"/>
    <s v="limonade 0,5l"/>
  </r>
  <r>
    <s v="MAN"/>
    <n v="3641937"/>
    <x v="26"/>
    <n v="20220412"/>
    <n v="2100"/>
    <n v="2100"/>
    <s v="CE"/>
    <x v="0"/>
    <n v="1799"/>
    <n v="39"/>
    <s v="E.D.S. ARO FRUITS ROUGES 0L50 PET"/>
    <n v="432"/>
    <n v="2592"/>
    <n v="0.29580000000000001"/>
    <n v="127.79"/>
    <s v="140688"/>
    <n v="11"/>
    <s v="JUS ARO+THE OL50"/>
    <n v="20220414"/>
    <s v="limonade 0,5l"/>
  </r>
  <r>
    <s v="MAN"/>
    <n v="3641937"/>
    <x v="26"/>
    <n v="20220412"/>
    <n v="2100"/>
    <n v="2100"/>
    <s v="AB"/>
    <x v="1"/>
    <n v="1800"/>
    <n v="39"/>
    <s v="E.D.S. ARO CITRON 0L50 SS SUCRE"/>
    <n v="216"/>
    <n v="1296"/>
    <n v="0.2046"/>
    <n v="44.19"/>
    <s v="140680"/>
    <n v="27"/>
    <s v="EDS ARO+THE 0L5 SANS SUCRE"/>
    <n v="20220414"/>
    <s v="eau aro 0,5l"/>
  </r>
  <r>
    <s v="MAN"/>
    <n v="3641937"/>
    <x v="26"/>
    <n v="20220412"/>
    <n v="2100"/>
    <n v="2100"/>
    <s v="CE"/>
    <x v="0"/>
    <n v="1800"/>
    <n v="39"/>
    <s v="E.D.S. ARO CITRON 0L50 SS SUCRE"/>
    <n v="216"/>
    <n v="1296"/>
    <n v="0.29580000000000001"/>
    <n v="63.89"/>
    <s v="140680"/>
    <n v="27"/>
    <s v="EDS ARO+THE 0L5 SANS SUCRE"/>
    <n v="20220414"/>
    <s v="eau aro 0,5l"/>
  </r>
  <r>
    <s v="MAN"/>
    <n v="3641937"/>
    <x v="26"/>
    <n v="20220412"/>
    <n v="2100"/>
    <n v="2100"/>
    <s v="AB"/>
    <x v="1"/>
    <n v="2968"/>
    <n v="28"/>
    <s v="B.A.J. EXOTIQUE 12% 2L00 SUCRE (LIDL)"/>
    <n v="432"/>
    <n v="432"/>
    <n v="0.23849999999999999"/>
    <n v="103.03"/>
    <s v="136102"/>
    <n v="56"/>
    <s v="BOISSONS 2L"/>
    <n v="20220414"/>
    <s v="limonade 2l"/>
  </r>
  <r>
    <s v="MAN"/>
    <n v="3641937"/>
    <x v="26"/>
    <n v="20220412"/>
    <n v="2100"/>
    <n v="2100"/>
    <s v="CE"/>
    <x v="0"/>
    <n v="2968"/>
    <n v="28"/>
    <s v="B.A.J. EXOTIQUE 12% 2L00 SUCRE (LIDL)"/>
    <n v="432"/>
    <n v="432"/>
    <n v="0.19719999999999999"/>
    <n v="85.19"/>
    <s v="136102"/>
    <n v="56"/>
    <s v="BOISSONS 2L"/>
    <n v="20220414"/>
    <s v="limonade 2l"/>
  </r>
  <r>
    <s v="JAN"/>
    <n v="3642026"/>
    <x v="27"/>
    <n v="20220412"/>
    <n v="11401"/>
    <n v="11401"/>
    <s v="CE"/>
    <x v="0"/>
    <n v="6050"/>
    <n v="33"/>
    <s v="E.D.S. PLATE 1L50 PET"/>
    <n v="15624"/>
    <n v="15624"/>
    <n v="0.1479"/>
    <n v="2310.79"/>
    <s v="070110"/>
    <n v="31"/>
    <s v="EDS PLATE 1L5 PK 6"/>
    <n v="20220414"/>
    <s v="eau 1,5l"/>
  </r>
  <r>
    <s v="JAN"/>
    <n v="3642029"/>
    <x v="28"/>
    <n v="20220412"/>
    <n v="2383"/>
    <n v="4695"/>
    <s v="CE"/>
    <x v="0"/>
    <n v="619"/>
    <n v="10"/>
    <s v="E.D.S. PLATE 5L00 PET"/>
    <n v="160"/>
    <n v="160"/>
    <n v="0.49299999999999999"/>
    <n v="78.88"/>
    <s v="230110"/>
    <n v="61"/>
    <s v="EDS 5L"/>
    <n v="20220414"/>
    <s v="eau 5l"/>
  </r>
  <r>
    <s v="JAN"/>
    <n v="3642029"/>
    <x v="28"/>
    <n v="20220412"/>
    <n v="2383"/>
    <n v="4695"/>
    <s v="CE"/>
    <x v="0"/>
    <n v="6010"/>
    <n v="684"/>
    <s v="E.D.S. PLATE 0L50 PET"/>
    <n v="936"/>
    <n v="22464"/>
    <n v="1.1832"/>
    <n v="1107.48"/>
    <s v="140110"/>
    <n v="8"/>
    <s v="EDS 0L50 VRAC 24"/>
    <n v="20220414"/>
    <s v="eau 0,5l"/>
  </r>
  <r>
    <s v="JAN"/>
    <n v="3642029"/>
    <x v="28"/>
    <n v="20220412"/>
    <n v="2383"/>
    <n v="4695"/>
    <s v="CE"/>
    <x v="0"/>
    <n v="6050"/>
    <n v="33"/>
    <s v="E.D.S. PLATE 1L50 PET"/>
    <n v="7056"/>
    <n v="7056"/>
    <n v="0.1479"/>
    <n v="1043.58"/>
    <s v="070110"/>
    <n v="31"/>
    <s v="EDS PLATE 1L5 PK 6"/>
    <n v="20220414"/>
    <s v="eau 1,5l"/>
  </r>
  <r>
    <s v="JAN"/>
    <n v="3642029"/>
    <x v="28"/>
    <n v="20220412"/>
    <n v="2383"/>
    <n v="4695"/>
    <s v="CE"/>
    <x v="0"/>
    <n v="6224"/>
    <n v="702"/>
    <s v="E.D.S. SPORT CAP 0L33 PET"/>
    <n v="360"/>
    <n v="2160"/>
    <n v="0.19500000000000001"/>
    <n v="70.2"/>
    <s v="210113"/>
    <n v="76"/>
    <s v="EDS 0L33 SPORTCAP"/>
    <n v="20220414"/>
    <s v="eau 0,33l"/>
  </r>
  <r>
    <s v="JAN"/>
    <n v="3642042"/>
    <x v="29"/>
    <n v="20220412"/>
    <n v="4680"/>
    <n v="4680"/>
    <s v="AB"/>
    <x v="1"/>
    <n v="49"/>
    <n v="172"/>
    <s v="LIMONADE 1L5 STD BTE CARREFOUR"/>
    <n v="1512"/>
    <n v="1512"/>
    <n v="0.17879999999999999"/>
    <n v="270.35000000000002"/>
    <s v="075000"/>
    <n v="45"/>
    <s v="SOFTS 1L50"/>
    <n v="20220414"/>
    <s v="limonade 1,5l"/>
  </r>
  <r>
    <s v="JAN"/>
    <n v="3642042"/>
    <x v="29"/>
    <n v="20220412"/>
    <n v="4680"/>
    <n v="4680"/>
    <s v="CE"/>
    <x v="0"/>
    <n v="49"/>
    <n v="172"/>
    <s v="LIMONADE 1L5 STD BTE CARREFOUR"/>
    <n v="1512"/>
    <n v="1512"/>
    <n v="0.1479"/>
    <n v="223.62"/>
    <s v="075000"/>
    <n v="45"/>
    <s v="SOFTS 1L50"/>
    <n v="20220414"/>
    <s v="limonade 1,5l"/>
  </r>
  <r>
    <s v="JAN"/>
    <n v="3642042"/>
    <x v="29"/>
    <n v="20220412"/>
    <n v="4680"/>
    <n v="4680"/>
    <s v="AB"/>
    <x v="1"/>
    <n v="518"/>
    <n v="172"/>
    <s v="SODA ORANGE 1L5 PET BTE CARREFOUR"/>
    <n v="504"/>
    <n v="504"/>
    <n v="0.17879999999999999"/>
    <n v="90.12"/>
    <s v="075210"/>
    <n v="45"/>
    <s v="SOFTS 1L50"/>
    <n v="20220414"/>
    <s v="limonade 1,5l"/>
  </r>
  <r>
    <s v="JAN"/>
    <n v="3642042"/>
    <x v="29"/>
    <n v="20220412"/>
    <n v="4680"/>
    <n v="4680"/>
    <s v="CE"/>
    <x v="0"/>
    <n v="518"/>
    <n v="172"/>
    <s v="SODA ORANGE 1L5 PET BTE CARREFOUR"/>
    <n v="504"/>
    <n v="504"/>
    <n v="0.1479"/>
    <n v="74.540000000000006"/>
    <s v="075210"/>
    <n v="45"/>
    <s v="SOFTS 1L50"/>
    <n v="20220414"/>
    <s v="limonade 1,5l"/>
  </r>
  <r>
    <s v="JAN"/>
    <n v="3642042"/>
    <x v="29"/>
    <n v="20220412"/>
    <n v="4680"/>
    <n v="4680"/>
    <s v="AB"/>
    <x v="1"/>
    <n v="587"/>
    <n v="172"/>
    <s v="GRENADINE 1L5 BTE CARREFOUR (PS)"/>
    <n v="1512"/>
    <n v="1512"/>
    <n v="0.17879999999999999"/>
    <n v="270.35000000000002"/>
    <s v="075902"/>
    <n v="45"/>
    <s v="SOFTS 1L50"/>
    <n v="20220414"/>
    <s v="limonade 1,5l"/>
  </r>
  <r>
    <s v="JAN"/>
    <n v="3642042"/>
    <x v="29"/>
    <n v="20220412"/>
    <n v="4680"/>
    <n v="4680"/>
    <s v="CE"/>
    <x v="0"/>
    <n v="587"/>
    <n v="172"/>
    <s v="GRENADINE 1L5 BTE CARREFOUR (PS)"/>
    <n v="1512"/>
    <n v="1512"/>
    <n v="0.1479"/>
    <n v="223.62"/>
    <s v="075902"/>
    <n v="45"/>
    <s v="SOFTS 1L50"/>
    <n v="20220414"/>
    <s v="limonade 1,5l"/>
  </r>
  <r>
    <s v="JAN"/>
    <n v="3642042"/>
    <x v="29"/>
    <n v="20220412"/>
    <n v="4680"/>
    <n v="4680"/>
    <s v="CE"/>
    <x v="0"/>
    <n v="619"/>
    <n v="10"/>
    <s v="E.D.S. PLATE 5L00 PET"/>
    <n v="960"/>
    <n v="960"/>
    <n v="0.49299999999999999"/>
    <n v="473.28"/>
    <s v="230110"/>
    <n v="61"/>
    <s v="EDS 5L"/>
    <n v="20220414"/>
    <s v="eau 5l"/>
  </r>
  <r>
    <s v="JAN"/>
    <n v="3642042"/>
    <x v="29"/>
    <n v="20220412"/>
    <n v="4680"/>
    <n v="4680"/>
    <s v="CE"/>
    <x v="0"/>
    <n v="6010"/>
    <n v="684"/>
    <s v="E.D.S. PLATE 0L50 PET"/>
    <n v="216"/>
    <n v="5184"/>
    <n v="1.1832"/>
    <n v="255.57"/>
    <s v="140110"/>
    <n v="8"/>
    <s v="EDS 0L50 VRAC 24"/>
    <n v="20220414"/>
    <s v="eau 0,5l"/>
  </r>
  <r>
    <s v="JAN"/>
    <n v="3642042"/>
    <x v="29"/>
    <n v="20220412"/>
    <n v="4680"/>
    <n v="4680"/>
    <s v="CE"/>
    <x v="0"/>
    <n v="6050"/>
    <n v="33"/>
    <s v="E.D.S. PLATE 1L50 PET"/>
    <n v="5040"/>
    <n v="5040"/>
    <n v="0.1479"/>
    <n v="745.42"/>
    <s v="070110"/>
    <n v="31"/>
    <s v="EDS PLATE 1L5 PK 6"/>
    <n v="20220414"/>
    <s v="eau 1,5l"/>
  </r>
  <r>
    <s v="JAN"/>
    <n v="3642042"/>
    <x v="29"/>
    <n v="20220412"/>
    <n v="4680"/>
    <n v="4680"/>
    <s v="CE"/>
    <x v="0"/>
    <n v="6100"/>
    <n v="654"/>
    <s v="E.D.S. PLATE 1L00 PET"/>
    <n v="1512"/>
    <n v="1512"/>
    <n v="9.8599999999999993E-2"/>
    <n v="149.08000000000001"/>
    <s v="290110"/>
    <n v="83"/>
    <s v="EDS 1L00 PK 6"/>
    <n v="20220414"/>
    <s v="eau 1l"/>
  </r>
  <r>
    <s v="JAN"/>
    <n v="3642042"/>
    <x v="29"/>
    <n v="20220412"/>
    <n v="4680"/>
    <n v="4680"/>
    <s v="CE"/>
    <x v="0"/>
    <n v="6224"/>
    <n v="702"/>
    <s v="E.D.S. SPORT CAP 0L33 PET"/>
    <n v="720"/>
    <n v="4320"/>
    <n v="0.19500000000000001"/>
    <n v="140.4"/>
    <s v="210113"/>
    <n v="76"/>
    <s v="EDS 0L33 SPORTCAP"/>
    <n v="20220414"/>
    <s v="eau 0,33l"/>
  </r>
  <r>
    <s v="JAN"/>
    <n v="3642052"/>
    <x v="30"/>
    <n v="20220412"/>
    <n v="13850"/>
    <n v="13850"/>
    <s v="CE"/>
    <x v="0"/>
    <n v="6040"/>
    <n v="697"/>
    <s v="E.D.S. PLATE 0L50 PET"/>
    <n v="3888"/>
    <n v="46656"/>
    <n v="0.59160000000000001"/>
    <n v="2300.14"/>
    <s v="140110"/>
    <n v="7"/>
    <s v="EDS 0L50 PK6 ET 12"/>
    <n v="20220414"/>
    <s v="eau 0,5l"/>
  </r>
  <r>
    <s v="JAN"/>
    <n v="3642061"/>
    <x v="31"/>
    <n v="20220412"/>
    <n v="11401"/>
    <n v="11401"/>
    <s v="CE"/>
    <x v="0"/>
    <n v="6040"/>
    <n v="683"/>
    <s v="E.D.S. PLATE 0L50 PET"/>
    <n v="2448"/>
    <n v="29376"/>
    <n v="0.59160000000000001"/>
    <n v="1448.24"/>
    <s v="140110"/>
    <n v="7"/>
    <s v="EDS 0L50 PK6 ET 12"/>
    <n v="20220414"/>
    <s v="eau 0,5l"/>
  </r>
  <r>
    <s v="JAN"/>
    <n v="3642061"/>
    <x v="31"/>
    <n v="20220412"/>
    <n v="11401"/>
    <n v="11401"/>
    <s v="CE"/>
    <x v="0"/>
    <n v="6129"/>
    <n v="516"/>
    <s v="E.D.S. PLATE 2L00 PET"/>
    <n v="4224"/>
    <n v="4224"/>
    <n v="0.19719999999999999"/>
    <n v="832.97"/>
    <s v="130110"/>
    <n v="28"/>
    <s v="EDS 2L RONDE"/>
    <n v="20220414"/>
    <s v="eau 2l"/>
  </r>
  <r>
    <s v="JAN"/>
    <n v="3642080"/>
    <x v="32"/>
    <n v="20220412"/>
    <n v="4680"/>
    <n v="4689"/>
    <s v="AB"/>
    <x v="1"/>
    <n v="518"/>
    <n v="172"/>
    <s v="SODA ORANGE 1L5 PET BTE CARREFOUR"/>
    <n v="504"/>
    <n v="504"/>
    <n v="0.17879999999999999"/>
    <n v="90.12"/>
    <s v="075210"/>
    <n v="45"/>
    <s v="SOFTS 1L50"/>
    <n v="20220414"/>
    <s v="limonade 1,5l"/>
  </r>
  <r>
    <s v="JAN"/>
    <n v="3642080"/>
    <x v="32"/>
    <n v="20220412"/>
    <n v="4680"/>
    <n v="4689"/>
    <s v="CE"/>
    <x v="0"/>
    <n v="518"/>
    <n v="172"/>
    <s v="SODA ORANGE 1L5 PET BTE CARREFOUR"/>
    <n v="504"/>
    <n v="504"/>
    <n v="0.1479"/>
    <n v="74.540000000000006"/>
    <s v="075210"/>
    <n v="45"/>
    <s v="SOFTS 1L50"/>
    <n v="20220414"/>
    <s v="limonade 1,5l"/>
  </r>
  <r>
    <s v="JAN"/>
    <n v="3642080"/>
    <x v="32"/>
    <n v="20220412"/>
    <n v="4680"/>
    <n v="4689"/>
    <s v="CE"/>
    <x v="0"/>
    <n v="619"/>
    <n v="10"/>
    <s v="E.D.S. PLATE 5L00 PET"/>
    <n v="960"/>
    <n v="960"/>
    <n v="0.49299999999999999"/>
    <n v="473.28"/>
    <s v="230110"/>
    <n v="61"/>
    <s v="EDS 5L"/>
    <n v="20220414"/>
    <s v="eau 5l"/>
  </r>
  <r>
    <s v="JAN"/>
    <n v="3642080"/>
    <x v="32"/>
    <n v="20220412"/>
    <n v="4680"/>
    <n v="4689"/>
    <s v="CE"/>
    <x v="0"/>
    <n v="6010"/>
    <n v="684"/>
    <s v="E.D.S. PLATE 0L50 PET"/>
    <n v="792"/>
    <n v="19008"/>
    <n v="1.1832"/>
    <n v="937.09"/>
    <s v="140110"/>
    <n v="8"/>
    <s v="EDS 0L50 VRAC 24"/>
    <n v="20220414"/>
    <s v="eau 0,5l"/>
  </r>
  <r>
    <s v="JAN"/>
    <n v="3642080"/>
    <x v="32"/>
    <n v="20220412"/>
    <n v="4680"/>
    <n v="4689"/>
    <s v="CE"/>
    <x v="0"/>
    <n v="6050"/>
    <n v="33"/>
    <s v="E.D.S. PLATE 1L50 PET"/>
    <n v="5544"/>
    <n v="5544"/>
    <n v="0.1479"/>
    <n v="819.96"/>
    <s v="070110"/>
    <n v="31"/>
    <s v="EDS PLATE 1L5 PK 6"/>
    <n v="20220414"/>
    <s v="eau 1,5l"/>
  </r>
  <r>
    <s v="JAN"/>
    <n v="3642080"/>
    <x v="32"/>
    <n v="20220412"/>
    <n v="4680"/>
    <n v="4689"/>
    <s v="CE"/>
    <x v="0"/>
    <n v="6100"/>
    <n v="654"/>
    <s v="E.D.S. PLATE 1L00 PET"/>
    <n v="756"/>
    <n v="756"/>
    <n v="9.8599999999999993E-2"/>
    <n v="74.540000000000006"/>
    <s v="290110"/>
    <n v="83"/>
    <s v="EDS 1L00 PK 6"/>
    <n v="20220414"/>
    <s v="eau 1l"/>
  </r>
  <r>
    <s v="JAN"/>
    <n v="3642080"/>
    <x v="32"/>
    <n v="20220412"/>
    <n v="4680"/>
    <n v="4689"/>
    <s v="CE"/>
    <x v="0"/>
    <n v="6109"/>
    <n v="692"/>
    <s v="E.D.S. PLATE 0L33 PET"/>
    <n v="90"/>
    <n v="2160"/>
    <n v="0.78"/>
    <n v="70.2"/>
    <s v="210110"/>
    <n v="150"/>
    <s v="EDS 0L33 BOUCHON VIS"/>
    <n v="20220414"/>
    <s v="eau 0,33l"/>
  </r>
  <r>
    <s v="JAN"/>
    <n v="3642092"/>
    <x v="33"/>
    <n v="20220412"/>
    <n v="76210"/>
    <n v="76210"/>
    <s v="CE"/>
    <x v="0"/>
    <n v="619"/>
    <n v="10"/>
    <s v="E.D.S. PLATE 5L00 PET"/>
    <n v="960"/>
    <n v="960"/>
    <n v="0.49299999999999999"/>
    <n v="473.28"/>
    <s v="230110"/>
    <n v="61"/>
    <s v="EDS 5L"/>
    <n v="20220414"/>
    <s v="eau 5l"/>
  </r>
  <r>
    <s v="JAN"/>
    <n v="3642092"/>
    <x v="33"/>
    <n v="20220412"/>
    <n v="76210"/>
    <n v="76210"/>
    <s v="CE"/>
    <x v="0"/>
    <n v="6050"/>
    <n v="33"/>
    <s v="E.D.S. PLATE 1L50 PET"/>
    <n v="12600"/>
    <n v="12600"/>
    <n v="0.1479"/>
    <n v="1863.54"/>
    <s v="070110"/>
    <n v="31"/>
    <s v="EDS PLATE 1L5 PK 6"/>
    <n v="20220414"/>
    <s v="eau 1,5l"/>
  </r>
  <r>
    <s v="JAN"/>
    <n v="3642100"/>
    <x v="34"/>
    <n v="20220412"/>
    <n v="4680"/>
    <n v="4689"/>
    <s v="CE"/>
    <x v="0"/>
    <n v="6050"/>
    <n v="33"/>
    <s v="E.D.S. PLATE 1L50 PET"/>
    <n v="15624"/>
    <n v="15624"/>
    <n v="0.1479"/>
    <n v="2310.79"/>
    <s v="070110"/>
    <n v="31"/>
    <s v="EDS PLATE 1L5 PK 6"/>
    <n v="20220414"/>
    <s v="eau 1,5l"/>
  </r>
  <r>
    <s v="STL"/>
    <n v="3642147"/>
    <x v="35"/>
    <n v="20220412"/>
    <n v="1180"/>
    <n v="1181"/>
    <s v="CE"/>
    <x v="0"/>
    <n v="1037"/>
    <n v="154"/>
    <s v="BONBONNE CLIENT 18L9"/>
    <n v="1104"/>
    <n v="1104"/>
    <n v="0.26650000000000001"/>
    <n v="294.22000000000003"/>
    <s v="260510"/>
    <n v="65"/>
    <s v="BONBONNE 18L90"/>
    <n v="20220414"/>
    <s v="bonbonne 18,9l"/>
  </r>
  <r>
    <s v="STL"/>
    <n v="3642162"/>
    <x v="36"/>
    <n v="20220412"/>
    <n v="4696"/>
    <n v="4696"/>
    <s v="CE"/>
    <x v="0"/>
    <n v="6050"/>
    <n v="465"/>
    <s v="E.D.S. PLATE 1L50 PET"/>
    <n v="15120"/>
    <n v="15120"/>
    <n v="0.1479"/>
    <n v="2236.25"/>
    <s v="070110"/>
    <n v="31"/>
    <s v="EDS PLATE 1L5 PK 6"/>
    <n v="20220414"/>
    <s v="eau 1,5l"/>
  </r>
  <r>
    <s v="MER"/>
    <n v="3642359"/>
    <x v="37"/>
    <n v="20220412"/>
    <n v="13850"/>
    <n v="13850"/>
    <s v="CE"/>
    <x v="0"/>
    <n v="6129"/>
    <n v="686"/>
    <s v="E.D.S. PLATE 2L00 PET"/>
    <n v="11520"/>
    <n v="11520"/>
    <n v="0.19719999999999999"/>
    <n v="2271.7399999999998"/>
    <s v="130110"/>
    <n v="28"/>
    <s v="EDS 2L RONDE"/>
    <n v="20220414"/>
    <s v="eau 2l"/>
  </r>
  <r>
    <s v="MER"/>
    <n v="3642387"/>
    <x v="38"/>
    <n v="20220412"/>
    <n v="3371"/>
    <n v="3372"/>
    <s v="CE"/>
    <x v="0"/>
    <n v="6221"/>
    <n v="713"/>
    <s v="E.D.S. PLATE 0L50 PET"/>
    <n v="5184"/>
    <n v="31104"/>
    <n v="0.29580000000000001"/>
    <n v="1533.43"/>
    <s v="140110"/>
    <n v="7"/>
    <s v="EDS 0L50 PK6 ET 12"/>
    <n v="20220414"/>
    <s v="eau 0,5l"/>
  </r>
  <r>
    <s v="MER"/>
    <n v="3642387"/>
    <x v="38"/>
    <n v="20220412"/>
    <n v="3371"/>
    <n v="3372"/>
    <s v="CE"/>
    <x v="0"/>
    <n v="6260"/>
    <n v="686"/>
    <s v="E.D.S. PLATE 2L00 PET"/>
    <n v="3840"/>
    <n v="3840"/>
    <n v="0.19719999999999999"/>
    <n v="757.25"/>
    <s v="130110"/>
    <n v="37"/>
    <s v="EDS 2L 1ER PRIX"/>
    <n v="20220414"/>
    <s v="eau 2l"/>
  </r>
  <r>
    <s v="MER"/>
    <n v="3642387"/>
    <x v="38"/>
    <n v="20220412"/>
    <n v="3371"/>
    <n v="3372"/>
    <s v="CE"/>
    <x v="0"/>
    <n v="6500"/>
    <n v="543"/>
    <s v="E.D.S. GAZ PETILLANTE 0L50 PET"/>
    <n v="504"/>
    <n v="3024"/>
    <n v="0.29580000000000001"/>
    <n v="149.08000000000001"/>
    <s v="140311"/>
    <n v="10"/>
    <s v="EDS GAZEIFIEE 0L50"/>
    <n v="20220414"/>
    <s v="eau 0,5l"/>
  </r>
  <r>
    <s v="THR"/>
    <n v="3642572"/>
    <x v="39"/>
    <n v="20220412"/>
    <n v="4696"/>
    <n v="4696"/>
    <s v="CE"/>
    <x v="0"/>
    <n v="3395"/>
    <n v="839"/>
    <s v="E.M.G. 0L50 PET"/>
    <n v="3456"/>
    <n v="41472"/>
    <n v="0.59160000000000001"/>
    <n v="2044.57"/>
    <s v="141110"/>
    <n v="548"/>
    <s v="EMG OL50 CLO P12"/>
    <n v="20220414"/>
    <s v="eau 0,5l"/>
  </r>
  <r>
    <s v="JAN"/>
    <n v="3643371"/>
    <x v="40"/>
    <n v="20220413"/>
    <n v="11401"/>
    <n v="11401"/>
    <s v="CE"/>
    <x v="0"/>
    <n v="6050"/>
    <n v="33"/>
    <s v="E.D.S. PLATE 1L50 PET"/>
    <n v="15624"/>
    <n v="15624"/>
    <n v="0.1479"/>
    <n v="2310.79"/>
    <s v="070110"/>
    <n v="31"/>
    <s v="EDS PLATE 1L5 PK 6"/>
    <n v="20220415"/>
    <s v="eau 1,5l"/>
  </r>
  <r>
    <s v="JAN"/>
    <n v="3643374"/>
    <x v="41"/>
    <n v="20220413"/>
    <n v="11401"/>
    <n v="11401"/>
    <s v="CE"/>
    <x v="0"/>
    <n v="6040"/>
    <n v="683"/>
    <s v="E.D.S. PLATE 0L50 PET"/>
    <n v="2592"/>
    <n v="31104"/>
    <n v="0.59160000000000001"/>
    <n v="1533.43"/>
    <s v="140110"/>
    <n v="7"/>
    <s v="EDS 0L50 PK6 ET 12"/>
    <n v="20220415"/>
    <s v="eau 0,5l"/>
  </r>
  <r>
    <s v="JAN"/>
    <n v="3643374"/>
    <x v="41"/>
    <n v="20220413"/>
    <n v="11401"/>
    <n v="11401"/>
    <s v="CE"/>
    <x v="0"/>
    <n v="6129"/>
    <n v="516"/>
    <s v="E.D.S. PLATE 2L00 PET"/>
    <n v="3840"/>
    <n v="3840"/>
    <n v="0.19719999999999999"/>
    <n v="757.25"/>
    <s v="130110"/>
    <n v="28"/>
    <s v="EDS 2L RONDE"/>
    <n v="20220415"/>
    <s v="eau 2l"/>
  </r>
  <r>
    <s v="JAN"/>
    <n v="3643378"/>
    <x v="42"/>
    <n v="20220413"/>
    <n v="3371"/>
    <n v="3372"/>
    <s v="CE"/>
    <x v="0"/>
    <n v="6050"/>
    <n v="465"/>
    <s v="E.D.S. PLATE 1L50 PET"/>
    <n v="13104"/>
    <n v="13104"/>
    <n v="0.1479"/>
    <n v="1938.08"/>
    <s v="070110"/>
    <n v="31"/>
    <s v="EDS PLATE 1L5 PK 6"/>
    <n v="20220415"/>
    <s v="eau 1,5l"/>
  </r>
  <r>
    <s v="JAN"/>
    <n v="3643378"/>
    <x v="42"/>
    <n v="20220413"/>
    <n v="3371"/>
    <n v="3372"/>
    <s v="CE"/>
    <x v="0"/>
    <n v="6501"/>
    <n v="465"/>
    <s v="E.D.S. GAZ PETIL 1L50 BTE VERTE"/>
    <n v="2520"/>
    <n v="2520"/>
    <n v="0.1479"/>
    <n v="372.71"/>
    <s v="070313"/>
    <n v="41"/>
    <s v="EDS GAZEIFIEE 1L50 CRISTALINE"/>
    <n v="20220415"/>
    <s v="eau 1,5l"/>
  </r>
  <r>
    <s v="JAN"/>
    <n v="3643404"/>
    <x v="43"/>
    <n v="20220413"/>
    <n v="13850"/>
    <n v="13850"/>
    <s v="CE"/>
    <x v="0"/>
    <n v="6040"/>
    <n v="697"/>
    <s v="E.D.S. PLATE 0L50 PET"/>
    <n v="3888"/>
    <n v="46656"/>
    <n v="0.59160000000000001"/>
    <n v="2300.14"/>
    <s v="140110"/>
    <n v="7"/>
    <s v="EDS 0L50 PK6 ET 12"/>
    <n v="20220415"/>
    <s v="eau 0,5l"/>
  </r>
  <r>
    <s v="JAN"/>
    <n v="3643420"/>
    <x v="44"/>
    <n v="20220413"/>
    <n v="4696"/>
    <n v="4696"/>
    <s v="CE"/>
    <x v="0"/>
    <n v="6039"/>
    <n v="621"/>
    <s v="E.D.S. PLATE 0L50 PET"/>
    <n v="3780"/>
    <n v="45360"/>
    <n v="0.59160000000000001"/>
    <n v="2236.25"/>
    <s v="140110"/>
    <n v="7"/>
    <s v="EDS 0L50 PK6 ET 12"/>
    <n v="20220415"/>
    <s v="eau 0,5l"/>
  </r>
  <r>
    <s v="STL"/>
    <n v="3643502"/>
    <x v="45"/>
    <n v="20220413"/>
    <n v="1180"/>
    <n v="1181"/>
    <s v="CE"/>
    <x v="0"/>
    <n v="1037"/>
    <n v="154"/>
    <s v="BONBONNE CLIENT 18L9"/>
    <n v="1104"/>
    <n v="1104"/>
    <n v="0.26650000000000001"/>
    <n v="294.22000000000003"/>
    <s v="260510"/>
    <n v="65"/>
    <s v="BONBONNE 18L90"/>
    <n v="20220415"/>
    <s v="bonbonne 18,9l"/>
  </r>
  <r>
    <s v="STL"/>
    <n v="3643512"/>
    <x v="46"/>
    <n v="20220413"/>
    <n v="1180"/>
    <n v="1181"/>
    <s v="CE"/>
    <x v="0"/>
    <n v="1037"/>
    <n v="154"/>
    <s v="BONBONNE CLIENT 18L9"/>
    <n v="432"/>
    <n v="432"/>
    <n v="0.26650000000000001"/>
    <n v="115.13"/>
    <s v="260510"/>
    <n v="65"/>
    <s v="BONBONNE 18L90"/>
    <n v="20220415"/>
    <s v="bonbonne 18,9l"/>
  </r>
  <r>
    <s v="STL"/>
    <n v="3643522"/>
    <x v="47"/>
    <n v="20220413"/>
    <n v="4696"/>
    <n v="4696"/>
    <s v="CE"/>
    <x v="0"/>
    <n v="6050"/>
    <n v="465"/>
    <s v="E.D.S. PLATE 1L50 PET"/>
    <n v="15120"/>
    <n v="15120"/>
    <n v="0.1479"/>
    <n v="2236.25"/>
    <s v="070110"/>
    <n v="31"/>
    <s v="EDS PLATE 1L5 PK 6"/>
    <n v="20220415"/>
    <s v="eau 1,5l"/>
  </r>
  <r>
    <s v="MER"/>
    <n v="3643766"/>
    <x v="48"/>
    <n v="20220413"/>
    <n v="13850"/>
    <n v="13850"/>
    <s v="CE"/>
    <x v="0"/>
    <n v="6129"/>
    <n v="686"/>
    <s v="E.D.S. PLATE 2L00 PET"/>
    <n v="11520"/>
    <n v="11520"/>
    <n v="0.19719999999999999"/>
    <n v="2271.7399999999998"/>
    <s v="130110"/>
    <n v="28"/>
    <s v="EDS 2L RONDE"/>
    <n v="20220415"/>
    <s v="eau 2l"/>
  </r>
  <r>
    <s v="MER"/>
    <n v="3643783"/>
    <x v="49"/>
    <n v="20220413"/>
    <n v="13850"/>
    <n v="13850"/>
    <s v="CE"/>
    <x v="0"/>
    <n v="6129"/>
    <n v="686"/>
    <s v="E.D.S. PLATE 2L00 PET"/>
    <n v="11520"/>
    <n v="11520"/>
    <n v="0.19719999999999999"/>
    <n v="2271.7399999999998"/>
    <s v="130110"/>
    <n v="28"/>
    <s v="EDS 2L RONDE"/>
    <n v="20220415"/>
    <s v="eau 2l"/>
  </r>
  <r>
    <s v="STY"/>
    <n v="3644353"/>
    <x v="50"/>
    <n v="20220413"/>
    <n v="11401"/>
    <n v="11401"/>
    <s v="CE"/>
    <x v="0"/>
    <n v="6516"/>
    <n v="53"/>
    <s v="EMG 1L15 PET"/>
    <n v="5880"/>
    <n v="5880"/>
    <n v="0.1134"/>
    <n v="666.79"/>
    <s v="491110"/>
    <n v="104"/>
    <s v="EM GAZEUSE 1L15 ST YORRE"/>
    <n v="20220415"/>
    <s v="eau 0,75l"/>
  </r>
  <r>
    <s v="STY"/>
    <n v="3644354"/>
    <x v="51"/>
    <n v="20220413"/>
    <n v="11401"/>
    <n v="11401"/>
    <s v="CE"/>
    <x v="0"/>
    <n v="6516"/>
    <n v="53"/>
    <s v="EMG 1L15 PET"/>
    <n v="7560"/>
    <n v="7560"/>
    <n v="0.1134"/>
    <n v="857.3"/>
    <s v="491110"/>
    <n v="104"/>
    <s v="EM GAZEUSE 1L15 ST YORRE"/>
    <n v="20220415"/>
    <s v="eau 0,75l"/>
  </r>
  <r>
    <s v="STY"/>
    <n v="3644354"/>
    <x v="51"/>
    <n v="20220413"/>
    <n v="11401"/>
    <n v="11401"/>
    <s v="CE"/>
    <x v="0"/>
    <n v="6551"/>
    <n v="53"/>
    <s v="EMG 1L15 PET"/>
    <n v="840"/>
    <n v="5040"/>
    <n v="0.6804"/>
    <n v="571.54"/>
    <s v="491110"/>
    <n v="115"/>
    <s v="EM GAZEUSE 1L15 CELESTINS"/>
    <n v="20220415"/>
    <s v="eau 0,75l"/>
  </r>
  <r>
    <s v="MAN"/>
    <n v="3644525"/>
    <x v="52"/>
    <n v="20220414"/>
    <n v="4696"/>
    <n v="4696"/>
    <s v="CE"/>
    <x v="0"/>
    <n v="619"/>
    <n v="470"/>
    <s v="E.D.S. PLATE 5L00 PET"/>
    <n v="320"/>
    <n v="320"/>
    <n v="0.49299999999999999"/>
    <n v="157.76"/>
    <s v="230110"/>
    <n v="61"/>
    <s v="EDS 5L"/>
    <n v="20220415"/>
    <s v="eau 5l"/>
  </r>
  <r>
    <s v="MAN"/>
    <n v="3644525"/>
    <x v="52"/>
    <n v="20220414"/>
    <n v="4696"/>
    <n v="4696"/>
    <s v="AB"/>
    <x v="1"/>
    <n v="3000"/>
    <n v="471"/>
    <s v="SODA ORANGE 6% JUS 1L5 BTE CARREFOUR"/>
    <n v="12600"/>
    <n v="12600"/>
    <n v="0.17879999999999999"/>
    <n v="2252.88"/>
    <s v="075215"/>
    <n v="45"/>
    <s v="SOFTS 1L50"/>
    <n v="20220415"/>
    <s v="limonade 1,5l"/>
  </r>
  <r>
    <s v="MAN"/>
    <n v="3644525"/>
    <x v="52"/>
    <n v="20220414"/>
    <n v="4696"/>
    <n v="4696"/>
    <s v="CE"/>
    <x v="0"/>
    <n v="3000"/>
    <n v="471"/>
    <s v="SODA ORANGE 6% JUS 1L5 BTE CARREFOUR"/>
    <n v="12600"/>
    <n v="12600"/>
    <n v="0.1479"/>
    <n v="1863.54"/>
    <s v="075215"/>
    <n v="45"/>
    <s v="SOFTS 1L50"/>
    <n v="20220415"/>
    <s v="limonade 1,5l"/>
  </r>
  <r>
    <s v="MAN"/>
    <n v="3644525"/>
    <x v="52"/>
    <n v="20220414"/>
    <n v="4696"/>
    <n v="4696"/>
    <s v="AB"/>
    <x v="1"/>
    <n v="5734"/>
    <n v="468"/>
    <s v="B.A.J. EXOTIQUE 12% 1L50 PET"/>
    <n v="1512"/>
    <n v="1512"/>
    <n v="0.17879999999999999"/>
    <n v="270.35000000000002"/>
    <s v="076104"/>
    <n v="44"/>
    <s v="JUS + ARO + THE 1L50"/>
    <n v="20220415"/>
    <s v="limonade 1,5l"/>
  </r>
  <r>
    <s v="MAN"/>
    <n v="3644525"/>
    <x v="52"/>
    <n v="20220414"/>
    <n v="4696"/>
    <n v="4696"/>
    <s v="CE"/>
    <x v="0"/>
    <n v="5734"/>
    <n v="468"/>
    <s v="B.A.J. EXOTIQUE 12% 1L50 PET"/>
    <n v="1512"/>
    <n v="1512"/>
    <n v="0.1479"/>
    <n v="223.62"/>
    <s v="076104"/>
    <n v="44"/>
    <s v="JUS + ARO + THE 1L50"/>
    <n v="20220415"/>
    <s v="limonade 1,5l"/>
  </r>
  <r>
    <s v="BEC"/>
    <n v="3644607"/>
    <x v="53"/>
    <n v="20220414"/>
    <n v="13850"/>
    <n v="13850"/>
    <s v="CE"/>
    <x v="0"/>
    <n v="6501"/>
    <n v="465"/>
    <s v="E.D.S. GAZ PETIL 1L50 BTE VERTE"/>
    <n v="16632"/>
    <n v="16632"/>
    <n v="0.1479"/>
    <n v="2459.87"/>
    <s v="070313"/>
    <n v="41"/>
    <s v="EDS GAZEIFIEE 1L50 CRISTALINE"/>
    <n v="20220415"/>
    <s v="eau 1,5l"/>
  </r>
  <r>
    <s v="BEC"/>
    <n v="3644617"/>
    <x v="54"/>
    <n v="20220414"/>
    <n v="3533"/>
    <n v="3816"/>
    <s v="CE"/>
    <x v="0"/>
    <n v="6050"/>
    <n v="33"/>
    <s v="E.D.S. PLATE 1L50 PET"/>
    <n v="16632"/>
    <n v="16632"/>
    <n v="0.1479"/>
    <n v="2459.87"/>
    <s v="070110"/>
    <n v="31"/>
    <s v="EDS PLATE 1L5 PK 6"/>
    <n v="20220415"/>
    <s v="eau 1,5l"/>
  </r>
  <r>
    <s v="JAN"/>
    <n v="3644706"/>
    <x v="55"/>
    <n v="20220414"/>
    <n v="11401"/>
    <n v="11401"/>
    <s v="CE"/>
    <x v="0"/>
    <n v="6050"/>
    <n v="33"/>
    <s v="E.D.S. PLATE 1L50 PET"/>
    <n v="15624"/>
    <n v="15624"/>
    <n v="0.1479"/>
    <n v="2310.79"/>
    <s v="070110"/>
    <n v="31"/>
    <s v="EDS PLATE 1L5 PK 6"/>
    <n v="20220415"/>
    <s v="eau 1,5l"/>
  </r>
  <r>
    <s v="JAN"/>
    <n v="3644724"/>
    <x v="56"/>
    <n v="20220414"/>
    <n v="3127"/>
    <n v="3127"/>
    <s v="CE"/>
    <x v="0"/>
    <n v="619"/>
    <n v="10"/>
    <s v="E.D.S. PLATE 5L00 PET"/>
    <n v="320"/>
    <n v="320"/>
    <n v="0.49299999999999999"/>
    <n v="157.76"/>
    <s v="230110"/>
    <n v="61"/>
    <s v="EDS 5L"/>
    <n v="20220415"/>
    <s v="eau 5l"/>
  </r>
  <r>
    <s v="JAN"/>
    <n v="3644724"/>
    <x v="56"/>
    <n v="20220414"/>
    <n v="3127"/>
    <n v="3127"/>
    <s v="CE"/>
    <x v="0"/>
    <n v="6010"/>
    <n v="684"/>
    <s v="E.D.S. PLATE 0L50 PET"/>
    <n v="10368"/>
    <n v="10368"/>
    <n v="4.9299999999999997E-2"/>
    <n v="511.14"/>
    <s v="140110"/>
    <n v="8"/>
    <s v="EDS 0L50 VRAC 24"/>
    <n v="20220415"/>
    <s v="eau 0,5l"/>
  </r>
  <r>
    <s v="JAN"/>
    <n v="3644724"/>
    <x v="56"/>
    <n v="20220414"/>
    <n v="3127"/>
    <n v="3127"/>
    <s v="CE"/>
    <x v="0"/>
    <n v="6050"/>
    <n v="33"/>
    <s v="E.D.S. PLATE 1L50 PET"/>
    <n v="6552"/>
    <n v="6552"/>
    <n v="0.1479"/>
    <n v="969.04"/>
    <s v="070110"/>
    <n v="31"/>
    <s v="EDS PLATE 1L5 PK 6"/>
    <n v="20220415"/>
    <s v="eau 1,5l"/>
  </r>
  <r>
    <s v="JAN"/>
    <n v="3644724"/>
    <x v="56"/>
    <n v="20220414"/>
    <n v="3127"/>
    <n v="3127"/>
    <s v="CE"/>
    <x v="0"/>
    <n v="6109"/>
    <n v="692"/>
    <s v="E.D.S. PLATE 0L33 PET"/>
    <n v="6480"/>
    <n v="6480"/>
    <n v="3.2500000000000001E-2"/>
    <n v="210.6"/>
    <s v="210110"/>
    <n v="150"/>
    <s v="EDS 0L33 BOUCHON VIS"/>
    <n v="20220415"/>
    <s v="eau 0,33l"/>
  </r>
  <r>
    <s v="JAN"/>
    <n v="3644724"/>
    <x v="56"/>
    <n v="20220414"/>
    <n v="3127"/>
    <n v="3127"/>
    <s v="CE"/>
    <x v="0"/>
    <n v="6501"/>
    <n v="33"/>
    <s v="E.D.S. GAZ PETIL 1L50 BTE VERTE"/>
    <n v="3024"/>
    <n v="3024"/>
    <n v="0.1479"/>
    <n v="447.25"/>
    <s v="070313"/>
    <n v="41"/>
    <s v="EDS GAZEIFIEE 1L50 CRISTALINE"/>
    <n v="20220415"/>
    <s v="eau 1,5l"/>
  </r>
  <r>
    <s v="JAN"/>
    <n v="3644735"/>
    <x v="57"/>
    <n v="20220414"/>
    <n v="11401"/>
    <n v="11401"/>
    <s v="CE"/>
    <x v="0"/>
    <n v="6050"/>
    <n v="33"/>
    <s v="E.D.S. PLATE 1L50 PET"/>
    <n v="15624"/>
    <n v="15624"/>
    <n v="0.1479"/>
    <n v="2310.79"/>
    <s v="070110"/>
    <n v="31"/>
    <s v="EDS PLATE 1L5 PK 6"/>
    <n v="20220415"/>
    <s v="eau 1,5l"/>
  </r>
  <r>
    <s v="JAN"/>
    <n v="3644757"/>
    <x v="58"/>
    <n v="20220414"/>
    <n v="40580"/>
    <n v="40580"/>
    <s v="CE"/>
    <x v="0"/>
    <n v="6050"/>
    <n v="33"/>
    <s v="E.D.S. PLATE 1L50 PET"/>
    <n v="15624"/>
    <n v="15624"/>
    <n v="0.1479"/>
    <n v="2310.79"/>
    <s v="070110"/>
    <n v="31"/>
    <s v="EDS PLATE 1L5 PK 6"/>
    <n v="20220415"/>
    <s v="eau 1,5l"/>
  </r>
  <r>
    <s v="JAN"/>
    <n v="3644758"/>
    <x v="59"/>
    <n v="20220414"/>
    <n v="40580"/>
    <n v="40580"/>
    <s v="CE"/>
    <x v="0"/>
    <n v="619"/>
    <n v="10"/>
    <s v="E.D.S. PLATE 5L00 PET"/>
    <n v="960"/>
    <n v="960"/>
    <n v="0.49299999999999999"/>
    <n v="473.28"/>
    <s v="230110"/>
    <n v="61"/>
    <s v="EDS 5L"/>
    <n v="20220415"/>
    <s v="eau 5l"/>
  </r>
  <r>
    <s v="JAN"/>
    <n v="3644758"/>
    <x v="59"/>
    <n v="20220414"/>
    <n v="40580"/>
    <n v="40580"/>
    <s v="CE"/>
    <x v="0"/>
    <n v="6010"/>
    <n v="684"/>
    <s v="E.D.S. PLATE 0L50 PET"/>
    <n v="1440"/>
    <n v="34560"/>
    <n v="1.1832"/>
    <n v="1703.81"/>
    <s v="140110"/>
    <n v="8"/>
    <s v="EDS 0L50 VRAC 24"/>
    <n v="20220415"/>
    <s v="eau 0,5l"/>
  </r>
  <r>
    <s v="JAN"/>
    <n v="3644758"/>
    <x v="59"/>
    <n v="20220414"/>
    <n v="40580"/>
    <n v="40580"/>
    <s v="CE"/>
    <x v="0"/>
    <n v="6096"/>
    <n v="182"/>
    <s v="E.D.S. SPORT CAP 0L75 PET"/>
    <n v="2088"/>
    <n v="2088"/>
    <n v="7.3999999999999996E-2"/>
    <n v="154.51"/>
    <s v="080113"/>
    <n v="81"/>
    <s v="EDS 0L75 SPORT CAP"/>
    <n v="20220415"/>
    <s v="eau 0,75l"/>
  </r>
  <r>
    <s v="JAN"/>
    <n v="3644780"/>
    <x v="60"/>
    <n v="20220414"/>
    <n v="76210"/>
    <n v="76210"/>
    <s v="CE"/>
    <x v="0"/>
    <n v="619"/>
    <n v="10"/>
    <s v="E.D.S. PLATE 5L00 PET"/>
    <n v="960"/>
    <n v="960"/>
    <n v="0.49299999999999999"/>
    <n v="473.28"/>
    <s v="230110"/>
    <n v="61"/>
    <s v="EDS 5L"/>
    <n v="20220415"/>
    <s v="eau 5l"/>
  </r>
  <r>
    <s v="JAN"/>
    <n v="3644780"/>
    <x v="60"/>
    <n v="20220414"/>
    <n v="76210"/>
    <n v="76210"/>
    <s v="CE"/>
    <x v="0"/>
    <n v="6050"/>
    <n v="33"/>
    <s v="E.D.S. PLATE 1L50 PET"/>
    <n v="13608"/>
    <n v="13608"/>
    <n v="0.1479"/>
    <n v="2012.62"/>
    <s v="070110"/>
    <n v="31"/>
    <s v="EDS PLATE 1L5 PK 6"/>
    <n v="20220415"/>
    <s v="eau 1,5l"/>
  </r>
  <r>
    <s v="STL"/>
    <n v="3644828"/>
    <x v="61"/>
    <n v="20220414"/>
    <n v="4290"/>
    <n v="4290"/>
    <s v="CE"/>
    <x v="0"/>
    <n v="619"/>
    <n v="10"/>
    <s v="E.D.S. PLATE 5L00 PET"/>
    <n v="800"/>
    <n v="800"/>
    <n v="0.49299999999999999"/>
    <n v="394.4"/>
    <s v="230110"/>
    <n v="61"/>
    <s v="EDS 5L"/>
    <n v="20220415"/>
    <s v="eau 5l"/>
  </r>
  <r>
    <s v="STL"/>
    <n v="3644828"/>
    <x v="61"/>
    <n v="20220414"/>
    <n v="4290"/>
    <n v="4290"/>
    <s v="CE"/>
    <x v="0"/>
    <n v="6050"/>
    <n v="33"/>
    <s v="E.D.S. PLATE 1L50 PET"/>
    <n v="12600"/>
    <n v="12600"/>
    <n v="0.1479"/>
    <n v="1863.54"/>
    <s v="070110"/>
    <n v="31"/>
    <s v="EDS PLATE 1L5 PK 6"/>
    <n v="20220415"/>
    <s v="eau 1,5l"/>
  </r>
  <r>
    <s v="STL"/>
    <n v="3644828"/>
    <x v="61"/>
    <n v="20220414"/>
    <n v="4290"/>
    <n v="4290"/>
    <s v="CE"/>
    <x v="0"/>
    <n v="6500"/>
    <n v="701"/>
    <s v="E.D.S. GAZ PETILLANTE 0L50 PET"/>
    <n v="252"/>
    <n v="1512"/>
    <n v="0.29580000000000001"/>
    <n v="74.540000000000006"/>
    <s v="140311"/>
    <n v="10"/>
    <s v="EDS GAZEIFIEE 0L50"/>
    <n v="20220415"/>
    <s v="eau 0,5l"/>
  </r>
  <r>
    <s v="STL"/>
    <n v="3644835"/>
    <x v="62"/>
    <n v="20220414"/>
    <n v="1180"/>
    <n v="1181"/>
    <s v="CE"/>
    <x v="0"/>
    <n v="1037"/>
    <n v="154"/>
    <s v="BONBONNE CLIENT 18L9"/>
    <n v="1104"/>
    <n v="1104"/>
    <n v="0.26650000000000001"/>
    <n v="294.22000000000003"/>
    <s v="260510"/>
    <n v="65"/>
    <s v="BONBONNE 18L90"/>
    <n v="20220415"/>
    <s v="bonbonne 18,9l"/>
  </r>
  <r>
    <s v="STL"/>
    <n v="3644855"/>
    <x v="63"/>
    <n v="20220414"/>
    <n v="1180"/>
    <n v="1181"/>
    <s v="CE"/>
    <x v="0"/>
    <n v="1037"/>
    <n v="154"/>
    <s v="BONBONNE CLIENT 18L9"/>
    <n v="1104"/>
    <n v="1104"/>
    <n v="0.26650000000000001"/>
    <n v="294.22000000000003"/>
    <s v="260510"/>
    <n v="65"/>
    <s v="BONBONNE 18L90"/>
    <n v="20220415"/>
    <s v="bonbonne 18,9l"/>
  </r>
  <r>
    <s v="STL"/>
    <n v="3644862"/>
    <x v="64"/>
    <n v="20220414"/>
    <n v="4696"/>
    <n v="4696"/>
    <s v="CE"/>
    <x v="0"/>
    <n v="6050"/>
    <n v="465"/>
    <s v="E.D.S. PLATE 1L50 PET"/>
    <n v="15120"/>
    <n v="15120"/>
    <n v="0.1479"/>
    <n v="2236.25"/>
    <s v="070110"/>
    <n v="31"/>
    <s v="EDS PLATE 1L5 PK 6"/>
    <n v="20220415"/>
    <s v="eau 1,5l"/>
  </r>
  <r>
    <s v="BEC"/>
    <n v="3646094"/>
    <x v="65"/>
    <n v="20220415"/>
    <n v="4680"/>
    <n v="4680"/>
    <s v="CE"/>
    <x v="0"/>
    <n v="6501"/>
    <n v="33"/>
    <s v="E.D.S. GAZ PETIL 1L50 BTE VERTE"/>
    <n v="16632"/>
    <n v="16632"/>
    <n v="0.1479"/>
    <n v="2459.87"/>
    <s v="070313"/>
    <n v="41"/>
    <s v="EDS GAZEIFIEE 1L50 CRISTALINE"/>
    <n v="20220418"/>
    <s v="eau 1,5l"/>
  </r>
  <r>
    <s v="JAN"/>
    <n v="3646171"/>
    <x v="66"/>
    <n v="20220415"/>
    <n v="11401"/>
    <n v="11401"/>
    <s v="CE"/>
    <x v="0"/>
    <n v="6050"/>
    <n v="33"/>
    <s v="E.D.S. PLATE 1L50 PET"/>
    <n v="15624"/>
    <n v="15624"/>
    <n v="0.1479"/>
    <n v="2310.79"/>
    <s v="070110"/>
    <n v="31"/>
    <s v="EDS PLATE 1L5 PK 6"/>
    <n v="20220418"/>
    <s v="eau 1,5l"/>
  </r>
  <r>
    <s v="JAN"/>
    <n v="3646177"/>
    <x v="67"/>
    <n v="20220415"/>
    <n v="11401"/>
    <n v="11401"/>
    <s v="CE"/>
    <x v="0"/>
    <n v="6040"/>
    <n v="683"/>
    <s v="E.D.S. PLATE 0L50 PET"/>
    <n v="2304"/>
    <n v="27648"/>
    <n v="0.59160000000000001"/>
    <n v="1363.05"/>
    <s v="140110"/>
    <n v="7"/>
    <s v="EDS 0L50 PK6 ET 12"/>
    <n v="20220418"/>
    <s v="eau 0,5l"/>
  </r>
  <r>
    <s v="JAN"/>
    <n v="3646177"/>
    <x v="67"/>
    <n v="20220415"/>
    <n v="11401"/>
    <n v="11401"/>
    <s v="CE"/>
    <x v="0"/>
    <n v="6129"/>
    <n v="516"/>
    <s v="E.D.S. PLATE 2L00 PET"/>
    <n v="4608"/>
    <n v="4608"/>
    <n v="0.19719999999999999"/>
    <n v="908.7"/>
    <s v="130110"/>
    <n v="28"/>
    <s v="EDS 2L RONDE"/>
    <n v="20220418"/>
    <s v="eau 2l"/>
  </r>
  <r>
    <s v="JAN"/>
    <n v="3646180"/>
    <x v="68"/>
    <n v="20220415"/>
    <n v="4680"/>
    <n v="4680"/>
    <s v="CE"/>
    <x v="0"/>
    <n v="6050"/>
    <n v="33"/>
    <s v="E.D.S. PLATE 1L50 PET"/>
    <n v="15624"/>
    <n v="15624"/>
    <n v="0.1479"/>
    <n v="2310.79"/>
    <s v="070110"/>
    <n v="31"/>
    <s v="EDS PLATE 1L5 PK 6"/>
    <n v="20220418"/>
    <s v="eau 1,5l"/>
  </r>
  <r>
    <s v="JAN"/>
    <n v="3646181"/>
    <x v="69"/>
    <n v="20220415"/>
    <n v="2112"/>
    <n v="2112"/>
    <s v="CE"/>
    <x v="0"/>
    <n v="6010"/>
    <n v="684"/>
    <s v="E.D.S. PLATE 0L50 PET"/>
    <n v="504"/>
    <n v="12096"/>
    <n v="1.1832"/>
    <n v="596.33000000000004"/>
    <s v="140110"/>
    <n v="8"/>
    <s v="EDS 0L50 VRAC 24"/>
    <n v="20220418"/>
    <s v="eau 0,5l"/>
  </r>
  <r>
    <s v="JAN"/>
    <n v="3646181"/>
    <x v="69"/>
    <n v="20220415"/>
    <n v="2112"/>
    <n v="2112"/>
    <s v="CE"/>
    <x v="0"/>
    <n v="6050"/>
    <n v="33"/>
    <s v="E.D.S. PLATE 1L50 PET"/>
    <n v="11592"/>
    <n v="11592"/>
    <n v="0.1479"/>
    <n v="1714.46"/>
    <s v="070110"/>
    <n v="31"/>
    <s v="EDS PLATE 1L5 PK 6"/>
    <n v="20220418"/>
    <s v="eau 1,5l"/>
  </r>
  <r>
    <s v="STL"/>
    <n v="3646295"/>
    <x v="70"/>
    <n v="20220415"/>
    <n v="4696"/>
    <n v="4696"/>
    <s v="CE"/>
    <x v="0"/>
    <n v="6050"/>
    <n v="465"/>
    <s v="E.D.S. PLATE 1L50 PET"/>
    <n v="15120"/>
    <n v="15120"/>
    <n v="0.1479"/>
    <n v="2236.25"/>
    <s v="070110"/>
    <n v="31"/>
    <s v="EDS PLATE 1L5 PK 6"/>
    <n v="20220418"/>
    <s v="eau 1,5l"/>
  </r>
  <r>
    <s v="STL"/>
    <n v="3646298"/>
    <x v="71"/>
    <n v="20220415"/>
    <n v="1180"/>
    <n v="1181"/>
    <s v="CE"/>
    <x v="0"/>
    <n v="1037"/>
    <n v="154"/>
    <s v="BONBONNE CLIENT 18L9"/>
    <n v="1104"/>
    <n v="1104"/>
    <n v="0.26650000000000001"/>
    <n v="294.22000000000003"/>
    <s v="260510"/>
    <n v="65"/>
    <s v="BONBONNE 18L90"/>
    <n v="20220418"/>
    <s v="bonbonne 18,9l"/>
  </r>
  <r>
    <s v="STL"/>
    <n v="3646308"/>
    <x v="72"/>
    <n v="20220415"/>
    <n v="1180"/>
    <n v="1181"/>
    <s v="CE"/>
    <x v="0"/>
    <n v="1037"/>
    <n v="154"/>
    <s v="BONBONNE CLIENT 18L9"/>
    <n v="1104"/>
    <n v="1104"/>
    <n v="0.26650000000000001"/>
    <n v="294.22000000000003"/>
    <s v="260510"/>
    <n v="65"/>
    <s v="BONBONNE 18L90"/>
    <n v="20220418"/>
    <s v="bonbonne 18,9l"/>
  </r>
  <r>
    <s v="STL"/>
    <n v="3646330"/>
    <x v="73"/>
    <n v="20220415"/>
    <n v="4696"/>
    <n v="4696"/>
    <s v="CE"/>
    <x v="0"/>
    <n v="6050"/>
    <n v="465"/>
    <s v="E.D.S. PLATE 1L50 PET"/>
    <n v="15120"/>
    <n v="15120"/>
    <n v="0.1479"/>
    <n v="2236.25"/>
    <s v="070110"/>
    <n v="31"/>
    <s v="EDS PLATE 1L5 PK 6"/>
    <n v="20220418"/>
    <s v="eau 1,5l"/>
  </r>
  <r>
    <s v="MER"/>
    <n v="3646551"/>
    <x v="74"/>
    <n v="20220415"/>
    <n v="13850"/>
    <n v="13850"/>
    <s v="CE"/>
    <x v="0"/>
    <n v="6129"/>
    <n v="686"/>
    <s v="E.D.S. PLATE 2L00 PET"/>
    <n v="11520"/>
    <n v="11520"/>
    <n v="0.19719999999999999"/>
    <n v="2271.7399999999998"/>
    <s v="130110"/>
    <n v="28"/>
    <s v="EDS 2L RONDE"/>
    <n v="20220418"/>
    <s v="eau 2l"/>
  </r>
  <r>
    <s v="CLO"/>
    <n v="3646705"/>
    <x v="75"/>
    <n v="20220415"/>
    <n v="4696"/>
    <n v="4696"/>
    <s v="CE"/>
    <x v="0"/>
    <n v="6289"/>
    <n v="367"/>
    <s v="E.M. PLATE 1L50 PET"/>
    <n v="16128"/>
    <n v="16128"/>
    <n v="0.1479"/>
    <n v="2385.33"/>
    <s v="071010"/>
    <n v="580"/>
    <s v="EAU 1L50 CLO"/>
    <n v="20220418"/>
    <s v="eau 1,5l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e v="#N/A"/>
  </r>
  <r>
    <m/>
    <m/>
    <x v="76"/>
    <m/>
    <m/>
    <m/>
    <m/>
    <x v="2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6">
  <r>
    <n v="14131"/>
    <n v="20220404"/>
    <n v="13850"/>
    <n v="13850"/>
    <s v="CE"/>
    <x v="0"/>
    <n v="6129"/>
    <n v="686"/>
    <s v="E.D.S. PLATE 2L00 PET"/>
    <n v="11520"/>
    <n v="11520"/>
    <n v="0.19719999999999999"/>
    <n v="2271.7399999999998"/>
    <s v="130110"/>
    <n v="28"/>
    <s v="EDS 2L RONDE"/>
    <n v="20220412"/>
    <x v="0"/>
  </r>
  <r>
    <n v="73386"/>
    <n v="20220404"/>
    <n v="3371"/>
    <n v="3372"/>
    <s v="CE"/>
    <x v="0"/>
    <n v="6289"/>
    <n v="367"/>
    <s v="E.M. PLATE 1L50 PET"/>
    <n v="16128"/>
    <n v="16128"/>
    <n v="0.1479"/>
    <n v="2385.33"/>
    <s v="071010"/>
    <n v="580"/>
    <s v="EAU 1L50 CLO"/>
    <n v="20220412"/>
    <x v="1"/>
  </r>
  <r>
    <n v="96594"/>
    <n v="20220405"/>
    <n v="77008"/>
    <n v="77008"/>
    <s v="CE"/>
    <x v="0"/>
    <n v="6010"/>
    <n v="684"/>
    <s v="E.D.S. PLATE 0L50 PET"/>
    <n v="864"/>
    <n v="20736"/>
    <n v="1.1832"/>
    <n v="1022.28"/>
    <s v="140110"/>
    <n v="8"/>
    <s v="EDS 0L50 VRAC 24"/>
    <n v="20220412"/>
    <x v="2"/>
  </r>
  <r>
    <n v="96594"/>
    <n v="20220405"/>
    <n v="77008"/>
    <n v="77008"/>
    <s v="CE"/>
    <x v="0"/>
    <n v="6032"/>
    <n v="682"/>
    <s v="E.D.S. PLATE 0L50 PET"/>
    <n v="3744"/>
    <n v="22464"/>
    <n v="0.29580000000000001"/>
    <n v="1107.48"/>
    <s v="140110"/>
    <n v="7"/>
    <s v="EDS 0L50 PK6 ET 12"/>
    <n v="20220412"/>
    <x v="2"/>
  </r>
  <r>
    <n v="96594"/>
    <n v="20220405"/>
    <n v="77008"/>
    <n v="77008"/>
    <s v="CE"/>
    <x v="0"/>
    <n v="6109"/>
    <n v="692"/>
    <s v="E.D.S. PLATE 0L33 PET"/>
    <n v="180"/>
    <n v="4320"/>
    <n v="0.78"/>
    <n v="140.4"/>
    <s v="210110"/>
    <n v="150"/>
    <s v="EDS 0L33 BOUCHON VIS"/>
    <n v="20220412"/>
    <x v="3"/>
  </r>
  <r>
    <n v="96594"/>
    <n v="20220405"/>
    <n v="77008"/>
    <n v="77008"/>
    <s v="CE"/>
    <x v="0"/>
    <n v="6224"/>
    <n v="702"/>
    <s v="E.D.S. SPORT CAP 0L33 PET"/>
    <n v="360"/>
    <n v="2160"/>
    <n v="0.19500000000000001"/>
    <n v="70.2"/>
    <s v="210113"/>
    <n v="76"/>
    <s v="EDS 0L33 SPORTCAP"/>
    <n v="20220412"/>
    <x v="3"/>
  </r>
  <r>
    <n v="14133"/>
    <n v="20220405"/>
    <n v="70004"/>
    <n v="70002"/>
    <s v="CE"/>
    <x v="0"/>
    <n v="6110"/>
    <n v="678"/>
    <s v="E.D.S. SPORT CAP 0L33 PET"/>
    <n v="5580"/>
    <n v="66960"/>
    <n v="0.39"/>
    <n v="2176.1999999999998"/>
    <s v="210113"/>
    <n v="76"/>
    <s v="EDS 0L33 SPORTCAP"/>
    <n v="20220412"/>
    <x v="3"/>
  </r>
  <r>
    <n v="96760"/>
    <n v="20220406"/>
    <n v="40580"/>
    <n v="40580"/>
    <s v="CE"/>
    <x v="0"/>
    <n v="619"/>
    <n v="10"/>
    <s v="E.D.S. PLATE 5L00 PET"/>
    <n v="960"/>
    <n v="960"/>
    <n v="0.49299999999999999"/>
    <n v="473.28"/>
    <s v="230110"/>
    <n v="61"/>
    <s v="EDS 5L"/>
    <n v="20220412"/>
    <x v="4"/>
  </r>
  <r>
    <n v="96760"/>
    <n v="20220406"/>
    <n v="40580"/>
    <n v="40580"/>
    <s v="CE"/>
    <x v="0"/>
    <n v="6010"/>
    <n v="684"/>
    <s v="E.D.S. PLATE 0L50 PET"/>
    <n v="720"/>
    <n v="17280"/>
    <n v="1.1832"/>
    <n v="851.9"/>
    <s v="140110"/>
    <n v="8"/>
    <s v="EDS 0L50 VRAC 24"/>
    <n v="20220412"/>
    <x v="2"/>
  </r>
  <r>
    <n v="96760"/>
    <n v="20220406"/>
    <n v="40580"/>
    <n v="40580"/>
    <s v="CE"/>
    <x v="0"/>
    <n v="6050"/>
    <n v="33"/>
    <s v="E.D.S. PLATE 1L50 PET"/>
    <n v="5040"/>
    <n v="5040"/>
    <n v="0.1479"/>
    <n v="745.42"/>
    <s v="070110"/>
    <n v="31"/>
    <s v="EDS PLATE 1L5 PK 6"/>
    <n v="20220412"/>
    <x v="1"/>
  </r>
  <r>
    <n v="96760"/>
    <n v="20220406"/>
    <n v="40580"/>
    <n v="40580"/>
    <s v="CE"/>
    <x v="0"/>
    <n v="6109"/>
    <n v="692"/>
    <s v="E.D.S. PLATE 0L33 PET"/>
    <n v="90"/>
    <n v="2160"/>
    <n v="0.78"/>
    <n v="70.2"/>
    <s v="210110"/>
    <n v="150"/>
    <s v="EDS 0L33 BOUCHON VIS"/>
    <n v="20220412"/>
    <x v="3"/>
  </r>
  <r>
    <n v="96760"/>
    <n v="20220406"/>
    <n v="40580"/>
    <n v="40580"/>
    <s v="CE"/>
    <x v="0"/>
    <n v="6501"/>
    <n v="33"/>
    <s v="E.D.S. GAZ PETIL 1L50 BTE VERTE"/>
    <n v="1008"/>
    <n v="1008"/>
    <n v="0.1479"/>
    <n v="149.08000000000001"/>
    <s v="070313"/>
    <n v="41"/>
    <s v="EDS GAZEIFIEE 1L50 CRISTALINE"/>
    <n v="20220412"/>
    <x v="1"/>
  </r>
  <r>
    <n v="24008"/>
    <n v="20220411"/>
    <n v="2100"/>
    <n v="2100"/>
    <s v="CE"/>
    <x v="0"/>
    <n v="619"/>
    <n v="10"/>
    <s v="E.D.S. PLATE 5L00 PET"/>
    <n v="5280"/>
    <n v="5280"/>
    <n v="0.49299999999999999"/>
    <n v="2603.04"/>
    <s v="230110"/>
    <n v="61"/>
    <s v="EDS 5L"/>
    <n v="20220414"/>
    <x v="4"/>
  </r>
  <r>
    <n v="86846"/>
    <n v="20220411"/>
    <n v="13850"/>
    <n v="13850"/>
    <s v="CE"/>
    <x v="0"/>
    <n v="6501"/>
    <n v="465"/>
    <s v="E.D.S. GAZ PETIL 1L50 BTE VERTE"/>
    <n v="15120"/>
    <n v="15120"/>
    <n v="0.1479"/>
    <n v="2236.25"/>
    <s v="070313"/>
    <n v="41"/>
    <s v="EDS GAZEIFIEE 1L50 CRISTALINE"/>
    <n v="20220414"/>
    <x v="1"/>
  </r>
  <r>
    <n v="97049"/>
    <n v="20220411"/>
    <n v="70004"/>
    <n v="70004"/>
    <s v="CE"/>
    <x v="0"/>
    <n v="6040"/>
    <n v="683"/>
    <s v="E.D.S. PLATE 0L50 PET"/>
    <n v="3888"/>
    <n v="46656"/>
    <n v="0.59160000000000001"/>
    <n v="2300.14"/>
    <s v="140110"/>
    <n v="7"/>
    <s v="EDS 0L50 PK6 ET 12"/>
    <n v="20220414"/>
    <x v="2"/>
  </r>
  <r>
    <n v="97083"/>
    <n v="20220411"/>
    <n v="70004"/>
    <n v="70004"/>
    <s v="CE"/>
    <x v="0"/>
    <n v="6129"/>
    <n v="516"/>
    <s v="E.D.S. PLATE 2L00 PET"/>
    <n v="11520"/>
    <n v="11520"/>
    <n v="0.19719999999999999"/>
    <n v="2271.7399999999998"/>
    <s v="130110"/>
    <n v="28"/>
    <s v="EDS 2L RONDE"/>
    <n v="20220414"/>
    <x v="0"/>
  </r>
  <r>
    <n v="97125"/>
    <n v="20220411"/>
    <n v="4710"/>
    <n v="4712"/>
    <s v="CE"/>
    <x v="0"/>
    <n v="6032"/>
    <n v="682"/>
    <s v="E.D.S. PLATE 0L50 PET"/>
    <n v="7776"/>
    <n v="46656"/>
    <n v="0.29580000000000001"/>
    <n v="2300.14"/>
    <s v="140110"/>
    <n v="7"/>
    <s v="EDS 0L50 PK6 ET 12"/>
    <n v="20220414"/>
    <x v="2"/>
  </r>
  <r>
    <n v="97131"/>
    <n v="20220411"/>
    <n v="4270"/>
    <n v="4270"/>
    <s v="CE"/>
    <x v="0"/>
    <n v="619"/>
    <n v="116"/>
    <s v="E.D.S. PLATE 5L00 PET"/>
    <n v="800"/>
    <n v="800"/>
    <n v="0.49299999999999999"/>
    <n v="394.4"/>
    <s v="230110"/>
    <n v="61"/>
    <s v="EDS 5L"/>
    <n v="20220414"/>
    <x v="4"/>
  </r>
  <r>
    <n v="97131"/>
    <n v="20220411"/>
    <n v="4270"/>
    <n v="4270"/>
    <s v="CE"/>
    <x v="0"/>
    <n v="6050"/>
    <n v="33"/>
    <s v="E.D.S. PLATE 1L50 PET"/>
    <n v="5040"/>
    <n v="5040"/>
    <n v="0.1479"/>
    <n v="745.42"/>
    <s v="070110"/>
    <n v="31"/>
    <s v="EDS PLATE 1L5 PK 6"/>
    <n v="20220414"/>
    <x v="1"/>
  </r>
  <r>
    <n v="97131"/>
    <n v="20220411"/>
    <n v="4270"/>
    <n v="4270"/>
    <s v="CE"/>
    <x v="0"/>
    <n v="6066"/>
    <n v="33"/>
    <s v="E.D.S. PLATE 1L50 PET"/>
    <n v="6048"/>
    <n v="6048"/>
    <n v="0.1479"/>
    <n v="894.5"/>
    <s v="070110"/>
    <n v="31"/>
    <s v="EDS PLATE 1L5 PK 6"/>
    <n v="20220414"/>
    <x v="1"/>
  </r>
  <r>
    <n v="97131"/>
    <n v="20220411"/>
    <n v="4270"/>
    <n v="4270"/>
    <s v="CE"/>
    <x v="0"/>
    <n v="6501"/>
    <n v="33"/>
    <s v="E.D.S. GAZ PETIL 1L50 BTE VERTE"/>
    <n v="2016"/>
    <n v="2016"/>
    <n v="0.1479"/>
    <n v="298.17"/>
    <s v="070313"/>
    <n v="41"/>
    <s v="EDS GAZEIFIEE 1L50 CRISTALINE"/>
    <n v="20220414"/>
    <x v="1"/>
  </r>
  <r>
    <n v="97135"/>
    <n v="20220411"/>
    <n v="11401"/>
    <n v="11401"/>
    <s v="CE"/>
    <x v="0"/>
    <n v="6040"/>
    <n v="683"/>
    <s v="E.D.S. PLATE 0L50 PET"/>
    <n v="3744"/>
    <n v="44928"/>
    <n v="0.59160000000000001"/>
    <n v="2214.9499999999998"/>
    <s v="140110"/>
    <n v="7"/>
    <s v="EDS 0L50 PK6 ET 12"/>
    <n v="20220414"/>
    <x v="2"/>
  </r>
  <r>
    <n v="97135"/>
    <n v="20220411"/>
    <n v="11401"/>
    <n v="11401"/>
    <s v="CE"/>
    <x v="0"/>
    <n v="6129"/>
    <n v="516"/>
    <s v="E.D.S. PLATE 2L00 PET"/>
    <n v="768"/>
    <n v="768"/>
    <n v="0.19719999999999999"/>
    <n v="151.44999999999999"/>
    <s v="130110"/>
    <n v="28"/>
    <s v="EDS 2L RONDE"/>
    <n v="20220414"/>
    <x v="0"/>
  </r>
  <r>
    <n v="97139"/>
    <n v="20220411"/>
    <n v="11401"/>
    <n v="11401"/>
    <s v="CE"/>
    <x v="0"/>
    <n v="6050"/>
    <n v="33"/>
    <s v="E.D.S. PLATE 1L50 PET"/>
    <n v="15624"/>
    <n v="15624"/>
    <n v="0.1479"/>
    <n v="2310.79"/>
    <s v="070110"/>
    <n v="31"/>
    <s v="EDS PLATE 1L5 PK 6"/>
    <n v="20220414"/>
    <x v="1"/>
  </r>
  <r>
    <n v="97153"/>
    <n v="20220411"/>
    <n v="77002"/>
    <n v="77002"/>
    <s v="CE"/>
    <x v="0"/>
    <n v="6050"/>
    <n v="33"/>
    <s v="E.D.S. PLATE 1L50 PET"/>
    <n v="15624"/>
    <n v="15624"/>
    <n v="0.1479"/>
    <n v="2310.79"/>
    <s v="070110"/>
    <n v="31"/>
    <s v="EDS PLATE 1L5 PK 6"/>
    <n v="20220414"/>
    <x v="1"/>
  </r>
  <r>
    <n v="71142"/>
    <n v="20220411"/>
    <n v="2100"/>
    <n v="2100"/>
    <s v="CE"/>
    <x v="0"/>
    <n v="6093"/>
    <n v="33"/>
    <s v="E.M. PLATE 1L50 PET"/>
    <n v="15120"/>
    <n v="15120"/>
    <n v="0.1479"/>
    <n v="2236.25"/>
    <s v="071010"/>
    <n v="31"/>
    <s v="EDS PLATE 1L5 PK 6"/>
    <n v="20220414"/>
    <x v="1"/>
  </r>
  <r>
    <n v="71167"/>
    <n v="20220411"/>
    <n v="4290"/>
    <n v="4290"/>
    <s v="CE"/>
    <x v="0"/>
    <n v="619"/>
    <n v="10"/>
    <s v="E.D.S. PLATE 5L00 PET"/>
    <n v="480"/>
    <n v="480"/>
    <n v="0.49299999999999999"/>
    <n v="236.64"/>
    <s v="230110"/>
    <n v="61"/>
    <s v="EDS 5L"/>
    <n v="20220414"/>
    <x v="4"/>
  </r>
  <r>
    <n v="71167"/>
    <n v="20220411"/>
    <n v="4290"/>
    <n v="4290"/>
    <s v="CE"/>
    <x v="0"/>
    <n v="6050"/>
    <n v="33"/>
    <s v="E.D.S. PLATE 1L50 PET"/>
    <n v="13608"/>
    <n v="13608"/>
    <n v="0.1479"/>
    <n v="2012.62"/>
    <s v="070110"/>
    <n v="31"/>
    <s v="EDS PLATE 1L5 PK 6"/>
    <n v="20220414"/>
    <x v="1"/>
  </r>
  <r>
    <n v="71172"/>
    <n v="20220411"/>
    <n v="13850"/>
    <n v="13850"/>
    <s v="CE"/>
    <x v="0"/>
    <n v="6093"/>
    <n v="465"/>
    <s v="E.M. PLATE 1L50 PET"/>
    <n v="15120"/>
    <n v="15120"/>
    <n v="0.1479"/>
    <n v="2236.25"/>
    <s v="071010"/>
    <n v="31"/>
    <s v="EDS PLATE 1L5 PK 6"/>
    <n v="20220414"/>
    <x v="1"/>
  </r>
  <r>
    <n v="71177"/>
    <n v="20220411"/>
    <n v="4696"/>
    <n v="4696"/>
    <s v="CE"/>
    <x v="0"/>
    <n v="6050"/>
    <n v="465"/>
    <s v="E.D.S. PLATE 1L50 PET"/>
    <n v="15120"/>
    <n v="15120"/>
    <n v="0.1479"/>
    <n v="2236.25"/>
    <s v="070110"/>
    <n v="31"/>
    <s v="EDS PLATE 1L5 PK 6"/>
    <n v="20220414"/>
    <x v="1"/>
  </r>
  <r>
    <n v="71185"/>
    <n v="20220411"/>
    <n v="1180"/>
    <n v="1181"/>
    <s v="CE"/>
    <x v="0"/>
    <n v="1037"/>
    <n v="154"/>
    <s v="BONBONNE CLIENT 18L9"/>
    <n v="1104"/>
    <n v="1104"/>
    <n v="0.26650000000000001"/>
    <n v="294.22000000000003"/>
    <s v="260510"/>
    <n v="65"/>
    <s v="BONBONNE 18L90"/>
    <n v="20220414"/>
    <x v="5"/>
  </r>
  <r>
    <n v="71197"/>
    <n v="20220411"/>
    <n v="4696"/>
    <n v="4696"/>
    <s v="CE"/>
    <x v="0"/>
    <n v="6050"/>
    <n v="465"/>
    <s v="E.D.S. PLATE 1L50 PET"/>
    <n v="15120"/>
    <n v="15120"/>
    <n v="0.1479"/>
    <n v="2236.25"/>
    <s v="070110"/>
    <n v="31"/>
    <s v="EDS PLATE 1L5 PK 6"/>
    <n v="20220414"/>
    <x v="1"/>
  </r>
  <r>
    <n v="14502"/>
    <n v="20220411"/>
    <n v="2100"/>
    <n v="2100"/>
    <s v="CE"/>
    <x v="0"/>
    <n v="6129"/>
    <n v="516"/>
    <s v="E.D.S. PLATE 2L00 PET"/>
    <n v="11520"/>
    <n v="11520"/>
    <n v="0.19719999999999999"/>
    <n v="2271.7399999999998"/>
    <s v="130110"/>
    <n v="28"/>
    <s v="EDS 2L RONDE"/>
    <n v="20220414"/>
    <x v="0"/>
  </r>
  <r>
    <n v="14567"/>
    <n v="20220411"/>
    <n v="13850"/>
    <n v="13850"/>
    <s v="CE"/>
    <x v="0"/>
    <n v="6129"/>
    <n v="686"/>
    <s v="E.D.S. PLATE 2L00 PET"/>
    <n v="11520"/>
    <n v="11520"/>
    <n v="0.19719999999999999"/>
    <n v="2271.7399999999998"/>
    <s v="130110"/>
    <n v="28"/>
    <s v="EDS 2L RONDE"/>
    <n v="20220414"/>
    <x v="0"/>
  </r>
  <r>
    <n v="14574"/>
    <n v="20220411"/>
    <n v="3371"/>
    <n v="3372"/>
    <s v="CE"/>
    <x v="0"/>
    <n v="6221"/>
    <n v="713"/>
    <s v="E.D.S. PLATE 0L50 PET"/>
    <n v="8640"/>
    <n v="51840"/>
    <n v="0.29580000000000001"/>
    <n v="2555.71"/>
    <s v="140110"/>
    <n v="7"/>
    <s v="EDS 0L50 PK6 ET 12"/>
    <n v="20220414"/>
    <x v="2"/>
  </r>
  <r>
    <n v="6247"/>
    <n v="20220411"/>
    <n v="4696"/>
    <n v="4696"/>
    <s v="CE"/>
    <x v="0"/>
    <n v="3395"/>
    <n v="839"/>
    <s v="E.M.G. 0L50 PET"/>
    <n v="3456"/>
    <n v="41472"/>
    <n v="0.59160000000000001"/>
    <n v="2044.57"/>
    <s v="141110"/>
    <n v="548"/>
    <s v="EMG OL50 CLO P12"/>
    <n v="20220414"/>
    <x v="2"/>
  </r>
  <r>
    <n v="92024"/>
    <n v="20220411"/>
    <n v="3371"/>
    <n v="3372"/>
    <s v="CE"/>
    <x v="0"/>
    <n v="6262"/>
    <n v="275"/>
    <s v="E.M. PLATE 33CL SPORT"/>
    <n v="5880"/>
    <n v="70560"/>
    <n v="0.39"/>
    <n v="2293.1999999999998"/>
    <s v="211013"/>
    <n v="141"/>
    <s v="EMP 33CL BOUCHON SPORT"/>
    <n v="20220414"/>
    <x v="3"/>
  </r>
  <r>
    <n v="24108"/>
    <n v="20220412"/>
    <n v="4680"/>
    <n v="4680"/>
    <s v="AB"/>
    <x v="1"/>
    <n v="1799"/>
    <n v="39"/>
    <s v="E.D.S. ARO FRUITS ROUGES 0L50 PET"/>
    <n v="1296"/>
    <n v="7776"/>
    <n v="0.35759999999999997"/>
    <n v="463.45"/>
    <s v="140688"/>
    <n v="11"/>
    <s v="JUS ARO+THE OL50"/>
    <n v="20220414"/>
    <x v="6"/>
  </r>
  <r>
    <n v="24108"/>
    <n v="20220412"/>
    <n v="4680"/>
    <n v="4680"/>
    <s v="CE"/>
    <x v="0"/>
    <n v="1799"/>
    <n v="39"/>
    <s v="E.D.S. ARO FRUITS ROUGES 0L50 PET"/>
    <n v="1296"/>
    <n v="7776"/>
    <n v="0.29580000000000001"/>
    <n v="383.36"/>
    <s v="140688"/>
    <n v="11"/>
    <s v="JUS ARO+THE OL50"/>
    <n v="20220414"/>
    <x v="6"/>
  </r>
  <r>
    <n v="24108"/>
    <n v="20220412"/>
    <n v="4680"/>
    <n v="4680"/>
    <s v="AB"/>
    <x v="1"/>
    <n v="1800"/>
    <n v="39"/>
    <s v="E.D.S. ARO CITRON 0L50 SS SUCRE"/>
    <n v="216"/>
    <n v="1296"/>
    <n v="0.2046"/>
    <n v="44.19"/>
    <s v="140680"/>
    <n v="27"/>
    <s v="EDS ARO+THE 0L5 SANS SUCRE"/>
    <n v="20220414"/>
    <x v="7"/>
  </r>
  <r>
    <n v="24108"/>
    <n v="20220412"/>
    <n v="4680"/>
    <n v="4680"/>
    <s v="CE"/>
    <x v="0"/>
    <n v="1800"/>
    <n v="39"/>
    <s v="E.D.S. ARO CITRON 0L50 SS SUCRE"/>
    <n v="216"/>
    <n v="1296"/>
    <n v="0.29580000000000001"/>
    <n v="63.89"/>
    <s v="140680"/>
    <n v="27"/>
    <s v="EDS ARO+THE 0L5 SANS SUCRE"/>
    <n v="20220414"/>
    <x v="7"/>
  </r>
  <r>
    <n v="24108"/>
    <n v="20220412"/>
    <n v="4680"/>
    <n v="4680"/>
    <s v="AB"/>
    <x v="1"/>
    <n v="5812"/>
    <n v="39"/>
    <s v="BOISSON JUS FRAISE 0L50 PET"/>
    <n v="2592"/>
    <n v="15552"/>
    <n v="0.35759999999999997"/>
    <n v="926.9"/>
    <s v="140940"/>
    <n v="11"/>
    <s v="JUS ARO+THE OL50"/>
    <n v="20220414"/>
    <x v="6"/>
  </r>
  <r>
    <n v="24108"/>
    <n v="20220412"/>
    <n v="4680"/>
    <n v="4680"/>
    <s v="CE"/>
    <x v="0"/>
    <n v="5812"/>
    <n v="39"/>
    <s v="BOISSON JUS FRAISE 0L50 PET"/>
    <n v="2592"/>
    <n v="15552"/>
    <n v="0.29580000000000001"/>
    <n v="766.71"/>
    <s v="140940"/>
    <n v="11"/>
    <s v="JUS ARO+THE OL50"/>
    <n v="20220414"/>
    <x v="6"/>
  </r>
  <r>
    <n v="24108"/>
    <n v="20220412"/>
    <n v="4680"/>
    <n v="4680"/>
    <s v="AB"/>
    <x v="1"/>
    <n v="5813"/>
    <n v="39"/>
    <s v="BOISSON JUS PECHE 0L50 PET"/>
    <n v="1728"/>
    <n v="10368"/>
    <n v="0.35759999999999997"/>
    <n v="617.92999999999995"/>
    <s v="140950"/>
    <n v="11"/>
    <s v="JUS ARO+THE OL50"/>
    <n v="20220414"/>
    <x v="6"/>
  </r>
  <r>
    <n v="24108"/>
    <n v="20220412"/>
    <n v="4680"/>
    <n v="4680"/>
    <s v="CE"/>
    <x v="0"/>
    <n v="5813"/>
    <n v="39"/>
    <s v="BOISSON JUS PECHE 0L50 PET"/>
    <n v="1728"/>
    <n v="10368"/>
    <n v="0.29580000000000001"/>
    <n v="511.14"/>
    <s v="140950"/>
    <n v="11"/>
    <s v="JUS ARO+THE OL50"/>
    <n v="20220414"/>
    <x v="6"/>
  </r>
  <r>
    <n v="24108"/>
    <n v="20220412"/>
    <n v="4680"/>
    <n v="4680"/>
    <s v="AB"/>
    <x v="1"/>
    <n v="5814"/>
    <n v="39"/>
    <s v="BOISSON JUS TROPICAL 0L50 PET"/>
    <n v="1296"/>
    <n v="7776"/>
    <n v="0.35759999999999997"/>
    <n v="463.45"/>
    <s v="140960"/>
    <n v="11"/>
    <s v="JUS ARO+THE OL50"/>
    <n v="20220414"/>
    <x v="6"/>
  </r>
  <r>
    <n v="24108"/>
    <n v="20220412"/>
    <n v="4680"/>
    <n v="4680"/>
    <s v="CE"/>
    <x v="0"/>
    <n v="5814"/>
    <n v="39"/>
    <s v="BOISSON JUS TROPICAL 0L50 PET"/>
    <n v="1296"/>
    <n v="7776"/>
    <n v="0.29580000000000001"/>
    <n v="383.36"/>
    <s v="140960"/>
    <n v="11"/>
    <s v="JUS ARO+THE OL50"/>
    <n v="20220414"/>
    <x v="6"/>
  </r>
  <r>
    <n v="24196"/>
    <n v="20220412"/>
    <n v="2100"/>
    <n v="2100"/>
    <s v="AB"/>
    <x v="1"/>
    <n v="1350"/>
    <n v="123"/>
    <s v="E.D.S. ARO FR ROUGES 1L5 (SUCRALOSE)"/>
    <n v="504"/>
    <n v="504"/>
    <n v="0.17879999999999999"/>
    <n v="90.12"/>
    <s v="070686"/>
    <n v="44"/>
    <s v="JUS + ARO + THE 1L50"/>
    <n v="20220414"/>
    <x v="8"/>
  </r>
  <r>
    <n v="24196"/>
    <n v="20220412"/>
    <n v="2100"/>
    <n v="2100"/>
    <s v="CE"/>
    <x v="0"/>
    <n v="1350"/>
    <n v="123"/>
    <s v="E.D.S. ARO FR ROUGES 1L5 (SUCRALOSE)"/>
    <n v="504"/>
    <n v="504"/>
    <n v="0.1479"/>
    <n v="74.540000000000006"/>
    <s v="070686"/>
    <n v="44"/>
    <s v="JUS + ARO + THE 1L50"/>
    <n v="20220414"/>
    <x v="8"/>
  </r>
  <r>
    <n v="24196"/>
    <n v="20220412"/>
    <n v="2100"/>
    <n v="2100"/>
    <s v="AB"/>
    <x v="1"/>
    <n v="1799"/>
    <n v="39"/>
    <s v="E.D.S. ARO FRUITS ROUGES 0L50 PET"/>
    <n v="432"/>
    <n v="2592"/>
    <n v="0.35759999999999997"/>
    <n v="154.47999999999999"/>
    <s v="140688"/>
    <n v="11"/>
    <s v="JUS ARO+THE OL50"/>
    <n v="20220414"/>
    <x v="6"/>
  </r>
  <r>
    <n v="24196"/>
    <n v="20220412"/>
    <n v="2100"/>
    <n v="2100"/>
    <s v="CE"/>
    <x v="0"/>
    <n v="1799"/>
    <n v="39"/>
    <s v="E.D.S. ARO FRUITS ROUGES 0L50 PET"/>
    <n v="432"/>
    <n v="2592"/>
    <n v="0.29580000000000001"/>
    <n v="127.79"/>
    <s v="140688"/>
    <n v="11"/>
    <s v="JUS ARO+THE OL50"/>
    <n v="20220414"/>
    <x v="6"/>
  </r>
  <r>
    <n v="24196"/>
    <n v="20220412"/>
    <n v="2100"/>
    <n v="2100"/>
    <s v="AB"/>
    <x v="1"/>
    <n v="1800"/>
    <n v="39"/>
    <s v="E.D.S. ARO CITRON 0L50 SS SUCRE"/>
    <n v="216"/>
    <n v="1296"/>
    <n v="0.2046"/>
    <n v="44.19"/>
    <s v="140680"/>
    <n v="27"/>
    <s v="EDS ARO+THE 0L5 SANS SUCRE"/>
    <n v="20220414"/>
    <x v="7"/>
  </r>
  <r>
    <n v="24196"/>
    <n v="20220412"/>
    <n v="2100"/>
    <n v="2100"/>
    <s v="CE"/>
    <x v="0"/>
    <n v="1800"/>
    <n v="39"/>
    <s v="E.D.S. ARO CITRON 0L50 SS SUCRE"/>
    <n v="216"/>
    <n v="1296"/>
    <n v="0.29580000000000001"/>
    <n v="63.89"/>
    <s v="140680"/>
    <n v="27"/>
    <s v="EDS ARO+THE 0L5 SANS SUCRE"/>
    <n v="20220414"/>
    <x v="7"/>
  </r>
  <r>
    <n v="24196"/>
    <n v="20220412"/>
    <n v="2100"/>
    <n v="2100"/>
    <s v="AB"/>
    <x v="1"/>
    <n v="2968"/>
    <n v="28"/>
    <s v="B.A.J. EXOTIQUE 12% 2L00 SUCRE (LIDL)"/>
    <n v="432"/>
    <n v="432"/>
    <n v="0.23849999999999999"/>
    <n v="103.03"/>
    <s v="136102"/>
    <n v="56"/>
    <s v="BOISSONS 2L"/>
    <n v="20220414"/>
    <x v="9"/>
  </r>
  <r>
    <n v="24196"/>
    <n v="20220412"/>
    <n v="2100"/>
    <n v="2100"/>
    <s v="CE"/>
    <x v="0"/>
    <n v="2968"/>
    <n v="28"/>
    <s v="B.A.J. EXOTIQUE 12% 2L00 SUCRE (LIDL)"/>
    <n v="432"/>
    <n v="432"/>
    <n v="0.19719999999999999"/>
    <n v="85.19"/>
    <s v="136102"/>
    <n v="56"/>
    <s v="BOISSONS 2L"/>
    <n v="20220414"/>
    <x v="9"/>
  </r>
  <r>
    <n v="97171"/>
    <n v="20220412"/>
    <n v="11401"/>
    <n v="11401"/>
    <s v="CE"/>
    <x v="0"/>
    <n v="6050"/>
    <n v="33"/>
    <s v="E.D.S. PLATE 1L50 PET"/>
    <n v="15624"/>
    <n v="15624"/>
    <n v="0.1479"/>
    <n v="2310.79"/>
    <s v="070110"/>
    <n v="31"/>
    <s v="EDS PLATE 1L5 PK 6"/>
    <n v="20220414"/>
    <x v="1"/>
  </r>
  <r>
    <n v="97175"/>
    <n v="20220412"/>
    <n v="2383"/>
    <n v="4695"/>
    <s v="CE"/>
    <x v="0"/>
    <n v="619"/>
    <n v="10"/>
    <s v="E.D.S. PLATE 5L00 PET"/>
    <n v="160"/>
    <n v="160"/>
    <n v="0.49299999999999999"/>
    <n v="78.88"/>
    <s v="230110"/>
    <n v="61"/>
    <s v="EDS 5L"/>
    <n v="20220414"/>
    <x v="4"/>
  </r>
  <r>
    <n v="97175"/>
    <n v="20220412"/>
    <n v="2383"/>
    <n v="4695"/>
    <s v="CE"/>
    <x v="0"/>
    <n v="6010"/>
    <n v="684"/>
    <s v="E.D.S. PLATE 0L50 PET"/>
    <n v="936"/>
    <n v="22464"/>
    <n v="1.1832"/>
    <n v="1107.48"/>
    <s v="140110"/>
    <n v="8"/>
    <s v="EDS 0L50 VRAC 24"/>
    <n v="20220414"/>
    <x v="2"/>
  </r>
  <r>
    <n v="97175"/>
    <n v="20220412"/>
    <n v="2383"/>
    <n v="4695"/>
    <s v="CE"/>
    <x v="0"/>
    <n v="6050"/>
    <n v="33"/>
    <s v="E.D.S. PLATE 1L50 PET"/>
    <n v="7056"/>
    <n v="7056"/>
    <n v="0.1479"/>
    <n v="1043.58"/>
    <s v="070110"/>
    <n v="31"/>
    <s v="EDS PLATE 1L5 PK 6"/>
    <n v="20220414"/>
    <x v="1"/>
  </r>
  <r>
    <n v="97175"/>
    <n v="20220412"/>
    <n v="2383"/>
    <n v="4695"/>
    <s v="CE"/>
    <x v="0"/>
    <n v="6224"/>
    <n v="702"/>
    <s v="E.D.S. SPORT CAP 0L33 PET"/>
    <n v="360"/>
    <n v="2160"/>
    <n v="0.19500000000000001"/>
    <n v="70.2"/>
    <s v="210113"/>
    <n v="76"/>
    <s v="EDS 0L33 SPORTCAP"/>
    <n v="20220414"/>
    <x v="3"/>
  </r>
  <r>
    <n v="97194"/>
    <n v="20220412"/>
    <n v="4680"/>
    <n v="4680"/>
    <s v="AB"/>
    <x v="1"/>
    <n v="49"/>
    <n v="172"/>
    <s v="LIMONADE 1L5 STD BTE CARREFOUR"/>
    <n v="1512"/>
    <n v="1512"/>
    <n v="0.17879999999999999"/>
    <n v="270.35000000000002"/>
    <s v="075000"/>
    <n v="45"/>
    <s v="SOFTS 1L50"/>
    <n v="20220414"/>
    <x v="8"/>
  </r>
  <r>
    <n v="97194"/>
    <n v="20220412"/>
    <n v="4680"/>
    <n v="4680"/>
    <s v="CE"/>
    <x v="0"/>
    <n v="49"/>
    <n v="172"/>
    <s v="LIMONADE 1L5 STD BTE CARREFOUR"/>
    <n v="1512"/>
    <n v="1512"/>
    <n v="0.1479"/>
    <n v="223.62"/>
    <s v="075000"/>
    <n v="45"/>
    <s v="SOFTS 1L50"/>
    <n v="20220414"/>
    <x v="8"/>
  </r>
  <r>
    <n v="97194"/>
    <n v="20220412"/>
    <n v="4680"/>
    <n v="4680"/>
    <s v="AB"/>
    <x v="1"/>
    <n v="518"/>
    <n v="172"/>
    <s v="SODA ORANGE 1L5 PET BTE CARREFOUR"/>
    <n v="504"/>
    <n v="504"/>
    <n v="0.17879999999999999"/>
    <n v="90.12"/>
    <s v="075210"/>
    <n v="45"/>
    <s v="SOFTS 1L50"/>
    <n v="20220414"/>
    <x v="8"/>
  </r>
  <r>
    <n v="97194"/>
    <n v="20220412"/>
    <n v="4680"/>
    <n v="4680"/>
    <s v="CE"/>
    <x v="0"/>
    <n v="518"/>
    <n v="172"/>
    <s v="SODA ORANGE 1L5 PET BTE CARREFOUR"/>
    <n v="504"/>
    <n v="504"/>
    <n v="0.1479"/>
    <n v="74.540000000000006"/>
    <s v="075210"/>
    <n v="45"/>
    <s v="SOFTS 1L50"/>
    <n v="20220414"/>
    <x v="8"/>
  </r>
  <r>
    <n v="97194"/>
    <n v="20220412"/>
    <n v="4680"/>
    <n v="4680"/>
    <s v="AB"/>
    <x v="1"/>
    <n v="587"/>
    <n v="172"/>
    <s v="GRENADINE 1L5 BTE CARREFOUR (PS)"/>
    <n v="1512"/>
    <n v="1512"/>
    <n v="0.17879999999999999"/>
    <n v="270.35000000000002"/>
    <s v="075902"/>
    <n v="45"/>
    <s v="SOFTS 1L50"/>
    <n v="20220414"/>
    <x v="8"/>
  </r>
  <r>
    <n v="97194"/>
    <n v="20220412"/>
    <n v="4680"/>
    <n v="4680"/>
    <s v="CE"/>
    <x v="0"/>
    <n v="587"/>
    <n v="172"/>
    <s v="GRENADINE 1L5 BTE CARREFOUR (PS)"/>
    <n v="1512"/>
    <n v="1512"/>
    <n v="0.1479"/>
    <n v="223.62"/>
    <s v="075902"/>
    <n v="45"/>
    <s v="SOFTS 1L50"/>
    <n v="20220414"/>
    <x v="8"/>
  </r>
  <r>
    <n v="97194"/>
    <n v="20220412"/>
    <n v="4680"/>
    <n v="4680"/>
    <s v="CE"/>
    <x v="0"/>
    <n v="619"/>
    <n v="10"/>
    <s v="E.D.S. PLATE 5L00 PET"/>
    <n v="960"/>
    <n v="960"/>
    <n v="0.49299999999999999"/>
    <n v="473.28"/>
    <s v="230110"/>
    <n v="61"/>
    <s v="EDS 5L"/>
    <n v="20220414"/>
    <x v="4"/>
  </r>
  <r>
    <n v="97194"/>
    <n v="20220412"/>
    <n v="4680"/>
    <n v="4680"/>
    <s v="CE"/>
    <x v="0"/>
    <n v="6010"/>
    <n v="684"/>
    <s v="E.D.S. PLATE 0L50 PET"/>
    <n v="216"/>
    <n v="5184"/>
    <n v="1.1832"/>
    <n v="255.57"/>
    <s v="140110"/>
    <n v="8"/>
    <s v="EDS 0L50 VRAC 24"/>
    <n v="20220414"/>
    <x v="2"/>
  </r>
  <r>
    <n v="97194"/>
    <n v="20220412"/>
    <n v="4680"/>
    <n v="4680"/>
    <s v="CE"/>
    <x v="0"/>
    <n v="6050"/>
    <n v="33"/>
    <s v="E.D.S. PLATE 1L50 PET"/>
    <n v="5040"/>
    <n v="5040"/>
    <n v="0.1479"/>
    <n v="745.42"/>
    <s v="070110"/>
    <n v="31"/>
    <s v="EDS PLATE 1L5 PK 6"/>
    <n v="20220414"/>
    <x v="1"/>
  </r>
  <r>
    <n v="97194"/>
    <n v="20220412"/>
    <n v="4680"/>
    <n v="4680"/>
    <s v="CE"/>
    <x v="0"/>
    <n v="6100"/>
    <n v="654"/>
    <s v="E.D.S. PLATE 1L00 PET"/>
    <n v="1512"/>
    <n v="1512"/>
    <n v="9.8599999999999993E-2"/>
    <n v="149.08000000000001"/>
    <s v="290110"/>
    <n v="83"/>
    <s v="EDS 1L00 PK 6"/>
    <n v="20220414"/>
    <x v="10"/>
  </r>
  <r>
    <n v="97194"/>
    <n v="20220412"/>
    <n v="4680"/>
    <n v="4680"/>
    <s v="CE"/>
    <x v="0"/>
    <n v="6224"/>
    <n v="702"/>
    <s v="E.D.S. SPORT CAP 0L33 PET"/>
    <n v="720"/>
    <n v="4320"/>
    <n v="0.19500000000000001"/>
    <n v="140.4"/>
    <s v="210113"/>
    <n v="76"/>
    <s v="EDS 0L33 SPORTCAP"/>
    <n v="20220414"/>
    <x v="3"/>
  </r>
  <r>
    <n v="97207"/>
    <n v="20220412"/>
    <n v="13850"/>
    <n v="13850"/>
    <s v="CE"/>
    <x v="0"/>
    <n v="6040"/>
    <n v="697"/>
    <s v="E.D.S. PLATE 0L50 PET"/>
    <n v="3888"/>
    <n v="46656"/>
    <n v="0.59160000000000001"/>
    <n v="2300.14"/>
    <s v="140110"/>
    <n v="7"/>
    <s v="EDS 0L50 PK6 ET 12"/>
    <n v="20220414"/>
    <x v="2"/>
  </r>
  <r>
    <n v="97217"/>
    <n v="20220412"/>
    <n v="11401"/>
    <n v="11401"/>
    <s v="CE"/>
    <x v="0"/>
    <n v="6040"/>
    <n v="683"/>
    <s v="E.D.S. PLATE 0L50 PET"/>
    <n v="2448"/>
    <n v="29376"/>
    <n v="0.59160000000000001"/>
    <n v="1448.24"/>
    <s v="140110"/>
    <n v="7"/>
    <s v="EDS 0L50 PK6 ET 12"/>
    <n v="20220414"/>
    <x v="2"/>
  </r>
  <r>
    <n v="97217"/>
    <n v="20220412"/>
    <n v="11401"/>
    <n v="11401"/>
    <s v="CE"/>
    <x v="0"/>
    <n v="6129"/>
    <n v="516"/>
    <s v="E.D.S. PLATE 2L00 PET"/>
    <n v="4224"/>
    <n v="4224"/>
    <n v="0.19719999999999999"/>
    <n v="832.97"/>
    <s v="130110"/>
    <n v="28"/>
    <s v="EDS 2L RONDE"/>
    <n v="20220414"/>
    <x v="0"/>
  </r>
  <r>
    <n v="97242"/>
    <n v="20220412"/>
    <n v="4680"/>
    <n v="4689"/>
    <s v="AB"/>
    <x v="1"/>
    <n v="518"/>
    <n v="172"/>
    <s v="SODA ORANGE 1L5 PET BTE CARREFOUR"/>
    <n v="504"/>
    <n v="504"/>
    <n v="0.17879999999999999"/>
    <n v="90.12"/>
    <s v="075210"/>
    <n v="45"/>
    <s v="SOFTS 1L50"/>
    <n v="20220414"/>
    <x v="8"/>
  </r>
  <r>
    <n v="97242"/>
    <n v="20220412"/>
    <n v="4680"/>
    <n v="4689"/>
    <s v="CE"/>
    <x v="0"/>
    <n v="518"/>
    <n v="172"/>
    <s v="SODA ORANGE 1L5 PET BTE CARREFOUR"/>
    <n v="504"/>
    <n v="504"/>
    <n v="0.1479"/>
    <n v="74.540000000000006"/>
    <s v="075210"/>
    <n v="45"/>
    <s v="SOFTS 1L50"/>
    <n v="20220414"/>
    <x v="8"/>
  </r>
  <r>
    <n v="97242"/>
    <n v="20220412"/>
    <n v="4680"/>
    <n v="4689"/>
    <s v="CE"/>
    <x v="0"/>
    <n v="619"/>
    <n v="10"/>
    <s v="E.D.S. PLATE 5L00 PET"/>
    <n v="960"/>
    <n v="960"/>
    <n v="0.49299999999999999"/>
    <n v="473.28"/>
    <s v="230110"/>
    <n v="61"/>
    <s v="EDS 5L"/>
    <n v="20220414"/>
    <x v="4"/>
  </r>
  <r>
    <n v="97242"/>
    <n v="20220412"/>
    <n v="4680"/>
    <n v="4689"/>
    <s v="CE"/>
    <x v="0"/>
    <n v="6010"/>
    <n v="684"/>
    <s v="E.D.S. PLATE 0L50 PET"/>
    <n v="792"/>
    <n v="19008"/>
    <n v="1.1832"/>
    <n v="937.09"/>
    <s v="140110"/>
    <n v="8"/>
    <s v="EDS 0L50 VRAC 24"/>
    <n v="20220414"/>
    <x v="2"/>
  </r>
  <r>
    <n v="97242"/>
    <n v="20220412"/>
    <n v="4680"/>
    <n v="4689"/>
    <s v="CE"/>
    <x v="0"/>
    <n v="6050"/>
    <n v="33"/>
    <s v="E.D.S. PLATE 1L50 PET"/>
    <n v="5544"/>
    <n v="5544"/>
    <n v="0.1479"/>
    <n v="819.96"/>
    <s v="070110"/>
    <n v="31"/>
    <s v="EDS PLATE 1L5 PK 6"/>
    <n v="20220414"/>
    <x v="1"/>
  </r>
  <r>
    <n v="97242"/>
    <n v="20220412"/>
    <n v="4680"/>
    <n v="4689"/>
    <s v="CE"/>
    <x v="0"/>
    <n v="6100"/>
    <n v="654"/>
    <s v="E.D.S. PLATE 1L00 PET"/>
    <n v="756"/>
    <n v="756"/>
    <n v="9.8599999999999993E-2"/>
    <n v="74.540000000000006"/>
    <s v="290110"/>
    <n v="83"/>
    <s v="EDS 1L00 PK 6"/>
    <n v="20220414"/>
    <x v="10"/>
  </r>
  <r>
    <n v="97242"/>
    <n v="20220412"/>
    <n v="4680"/>
    <n v="4689"/>
    <s v="CE"/>
    <x v="0"/>
    <n v="6109"/>
    <n v="692"/>
    <s v="E.D.S. PLATE 0L33 PET"/>
    <n v="90"/>
    <n v="2160"/>
    <n v="0.78"/>
    <n v="70.2"/>
    <s v="210110"/>
    <n v="150"/>
    <s v="EDS 0L33 BOUCHON VIS"/>
    <n v="20220414"/>
    <x v="3"/>
  </r>
  <r>
    <n v="97256"/>
    <n v="20220412"/>
    <n v="76210"/>
    <n v="76210"/>
    <s v="CE"/>
    <x v="0"/>
    <n v="619"/>
    <n v="10"/>
    <s v="E.D.S. PLATE 5L00 PET"/>
    <n v="960"/>
    <n v="960"/>
    <n v="0.49299999999999999"/>
    <n v="473.28"/>
    <s v="230110"/>
    <n v="61"/>
    <s v="EDS 5L"/>
    <n v="20220414"/>
    <x v="4"/>
  </r>
  <r>
    <n v="97256"/>
    <n v="20220412"/>
    <n v="76210"/>
    <n v="76210"/>
    <s v="CE"/>
    <x v="0"/>
    <n v="6050"/>
    <n v="33"/>
    <s v="E.D.S. PLATE 1L50 PET"/>
    <n v="12600"/>
    <n v="12600"/>
    <n v="0.1479"/>
    <n v="1863.54"/>
    <s v="070110"/>
    <n v="31"/>
    <s v="EDS PLATE 1L5 PK 6"/>
    <n v="20220414"/>
    <x v="1"/>
  </r>
  <r>
    <n v="97269"/>
    <n v="20220412"/>
    <n v="4680"/>
    <n v="4689"/>
    <s v="CE"/>
    <x v="0"/>
    <n v="6050"/>
    <n v="33"/>
    <s v="E.D.S. PLATE 1L50 PET"/>
    <n v="15624"/>
    <n v="15624"/>
    <n v="0.1479"/>
    <n v="2310.79"/>
    <s v="070110"/>
    <n v="31"/>
    <s v="EDS PLATE 1L5 PK 6"/>
    <n v="20220414"/>
    <x v="1"/>
  </r>
  <r>
    <n v="71230"/>
    <n v="20220412"/>
    <n v="1180"/>
    <n v="1181"/>
    <s v="CE"/>
    <x v="0"/>
    <n v="1037"/>
    <n v="154"/>
    <s v="BONBONNE CLIENT 18L9"/>
    <n v="1104"/>
    <n v="1104"/>
    <n v="0.26650000000000001"/>
    <n v="294.22000000000003"/>
    <s v="260510"/>
    <n v="65"/>
    <s v="BONBONNE 18L90"/>
    <n v="20220414"/>
    <x v="5"/>
  </r>
  <r>
    <n v="71250"/>
    <n v="20220412"/>
    <n v="4696"/>
    <n v="4696"/>
    <s v="CE"/>
    <x v="0"/>
    <n v="6050"/>
    <n v="465"/>
    <s v="E.D.S. PLATE 1L50 PET"/>
    <n v="15120"/>
    <n v="15120"/>
    <n v="0.1479"/>
    <n v="2236.25"/>
    <s v="070110"/>
    <n v="31"/>
    <s v="EDS PLATE 1L5 PK 6"/>
    <n v="20220414"/>
    <x v="1"/>
  </r>
  <r>
    <n v="14608"/>
    <n v="20220412"/>
    <n v="13850"/>
    <n v="13850"/>
    <s v="CE"/>
    <x v="0"/>
    <n v="6129"/>
    <n v="686"/>
    <s v="E.D.S. PLATE 2L00 PET"/>
    <n v="11520"/>
    <n v="11520"/>
    <n v="0.19719999999999999"/>
    <n v="2271.7399999999998"/>
    <s v="130110"/>
    <n v="28"/>
    <s v="EDS 2L RONDE"/>
    <n v="20220414"/>
    <x v="0"/>
  </r>
  <r>
    <n v="14653"/>
    <n v="20220412"/>
    <n v="3371"/>
    <n v="3372"/>
    <s v="CE"/>
    <x v="0"/>
    <n v="6221"/>
    <n v="713"/>
    <s v="E.D.S. PLATE 0L50 PET"/>
    <n v="5184"/>
    <n v="31104"/>
    <n v="0.29580000000000001"/>
    <n v="1533.43"/>
    <s v="140110"/>
    <n v="7"/>
    <s v="EDS 0L50 PK6 ET 12"/>
    <n v="20220414"/>
    <x v="2"/>
  </r>
  <r>
    <n v="14653"/>
    <n v="20220412"/>
    <n v="3371"/>
    <n v="3372"/>
    <s v="CE"/>
    <x v="0"/>
    <n v="6260"/>
    <n v="686"/>
    <s v="E.D.S. PLATE 2L00 PET"/>
    <n v="3840"/>
    <n v="3840"/>
    <n v="0.19719999999999999"/>
    <n v="757.25"/>
    <s v="130110"/>
    <n v="37"/>
    <s v="EDS 2L 1ER PRIX"/>
    <n v="20220414"/>
    <x v="0"/>
  </r>
  <r>
    <n v="14653"/>
    <n v="20220412"/>
    <n v="3371"/>
    <n v="3372"/>
    <s v="CE"/>
    <x v="0"/>
    <n v="6500"/>
    <n v="543"/>
    <s v="E.D.S. GAZ PETILLANTE 0L50 PET"/>
    <n v="504"/>
    <n v="3024"/>
    <n v="0.29580000000000001"/>
    <n v="149.08000000000001"/>
    <s v="140311"/>
    <n v="10"/>
    <s v="EDS GAZEIFIEE 0L50"/>
    <n v="20220414"/>
    <x v="2"/>
  </r>
  <r>
    <n v="48259"/>
    <n v="20220412"/>
    <n v="4696"/>
    <n v="4696"/>
    <s v="CE"/>
    <x v="0"/>
    <n v="3395"/>
    <n v="839"/>
    <s v="E.M.G. 0L50 PET"/>
    <n v="3456"/>
    <n v="41472"/>
    <n v="0.59160000000000001"/>
    <n v="2044.57"/>
    <s v="141110"/>
    <n v="548"/>
    <s v="EMG OL50 CLO P12"/>
    <n v="20220414"/>
    <x v="2"/>
  </r>
  <r>
    <n v="97262"/>
    <n v="20220413"/>
    <n v="11401"/>
    <n v="11401"/>
    <s v="CE"/>
    <x v="0"/>
    <n v="6050"/>
    <n v="33"/>
    <s v="E.D.S. PLATE 1L50 PET"/>
    <n v="15624"/>
    <n v="15624"/>
    <n v="0.1479"/>
    <n v="2310.79"/>
    <s v="070110"/>
    <n v="31"/>
    <s v="EDS PLATE 1L5 PK 6"/>
    <n v="20220415"/>
    <x v="1"/>
  </r>
  <r>
    <n v="97277"/>
    <n v="20220413"/>
    <n v="11401"/>
    <n v="11401"/>
    <s v="CE"/>
    <x v="0"/>
    <n v="6040"/>
    <n v="683"/>
    <s v="E.D.S. PLATE 0L50 PET"/>
    <n v="2592"/>
    <n v="31104"/>
    <n v="0.59160000000000001"/>
    <n v="1533.43"/>
    <s v="140110"/>
    <n v="7"/>
    <s v="EDS 0L50 PK6 ET 12"/>
    <n v="20220415"/>
    <x v="2"/>
  </r>
  <r>
    <n v="97277"/>
    <n v="20220413"/>
    <n v="11401"/>
    <n v="11401"/>
    <s v="CE"/>
    <x v="0"/>
    <n v="6129"/>
    <n v="516"/>
    <s v="E.D.S. PLATE 2L00 PET"/>
    <n v="3840"/>
    <n v="3840"/>
    <n v="0.19719999999999999"/>
    <n v="757.25"/>
    <s v="130110"/>
    <n v="28"/>
    <s v="EDS 2L RONDE"/>
    <n v="20220415"/>
    <x v="0"/>
  </r>
  <r>
    <n v="97285"/>
    <n v="20220413"/>
    <n v="3371"/>
    <n v="3372"/>
    <s v="CE"/>
    <x v="0"/>
    <n v="6050"/>
    <n v="465"/>
    <s v="E.D.S. PLATE 1L50 PET"/>
    <n v="13104"/>
    <n v="13104"/>
    <n v="0.1479"/>
    <n v="1938.08"/>
    <s v="070110"/>
    <n v="31"/>
    <s v="EDS PLATE 1L5 PK 6"/>
    <n v="20220415"/>
    <x v="1"/>
  </r>
  <r>
    <n v="97285"/>
    <n v="20220413"/>
    <n v="3371"/>
    <n v="3372"/>
    <s v="CE"/>
    <x v="0"/>
    <n v="6501"/>
    <n v="465"/>
    <s v="E.D.S. GAZ PETIL 1L50 BTE VERTE"/>
    <n v="2520"/>
    <n v="2520"/>
    <n v="0.1479"/>
    <n v="372.71"/>
    <s v="070313"/>
    <n v="41"/>
    <s v="EDS GAZEIFIEE 1L50 CRISTALINE"/>
    <n v="20220415"/>
    <x v="1"/>
  </r>
  <r>
    <n v="97319"/>
    <n v="20220413"/>
    <n v="13850"/>
    <n v="13850"/>
    <s v="CE"/>
    <x v="0"/>
    <n v="6040"/>
    <n v="697"/>
    <s v="E.D.S. PLATE 0L50 PET"/>
    <n v="3888"/>
    <n v="46656"/>
    <n v="0.59160000000000001"/>
    <n v="2300.14"/>
    <s v="140110"/>
    <n v="7"/>
    <s v="EDS 0L50 PK6 ET 12"/>
    <n v="20220415"/>
    <x v="2"/>
  </r>
  <r>
    <n v="97337"/>
    <n v="20220413"/>
    <n v="4696"/>
    <n v="4696"/>
    <s v="CE"/>
    <x v="0"/>
    <n v="6039"/>
    <n v="621"/>
    <s v="E.D.S. PLATE 0L50 PET"/>
    <n v="3780"/>
    <n v="45360"/>
    <n v="0.59160000000000001"/>
    <n v="2236.25"/>
    <s v="140110"/>
    <n v="7"/>
    <s v="EDS 0L50 PK6 ET 12"/>
    <n v="20220415"/>
    <x v="2"/>
  </r>
  <r>
    <n v="71282"/>
    <n v="20220413"/>
    <n v="1180"/>
    <n v="1181"/>
    <s v="CE"/>
    <x v="0"/>
    <n v="1037"/>
    <n v="154"/>
    <s v="BONBONNE CLIENT 18L9"/>
    <n v="1104"/>
    <n v="1104"/>
    <n v="0.26650000000000001"/>
    <n v="294.22000000000003"/>
    <s v="260510"/>
    <n v="65"/>
    <s v="BONBONNE 18L90"/>
    <n v="20220415"/>
    <x v="5"/>
  </r>
  <r>
    <n v="71293"/>
    <n v="20220413"/>
    <n v="1180"/>
    <n v="1181"/>
    <s v="CE"/>
    <x v="0"/>
    <n v="1037"/>
    <n v="154"/>
    <s v="BONBONNE CLIENT 18L9"/>
    <n v="432"/>
    <n v="432"/>
    <n v="0.26650000000000001"/>
    <n v="115.13"/>
    <s v="260510"/>
    <n v="65"/>
    <s v="BONBONNE 18L90"/>
    <n v="20220415"/>
    <x v="5"/>
  </r>
  <r>
    <n v="71304"/>
    <n v="20220413"/>
    <n v="4696"/>
    <n v="4696"/>
    <s v="CE"/>
    <x v="0"/>
    <n v="6050"/>
    <n v="465"/>
    <s v="E.D.S. PLATE 1L50 PET"/>
    <n v="15120"/>
    <n v="15120"/>
    <n v="0.1479"/>
    <n v="2236.25"/>
    <s v="070110"/>
    <n v="31"/>
    <s v="EDS PLATE 1L5 PK 6"/>
    <n v="20220415"/>
    <x v="1"/>
  </r>
  <r>
    <n v="14701"/>
    <n v="20220413"/>
    <n v="13850"/>
    <n v="13850"/>
    <s v="CE"/>
    <x v="0"/>
    <n v="6129"/>
    <n v="686"/>
    <s v="E.D.S. PLATE 2L00 PET"/>
    <n v="11520"/>
    <n v="11520"/>
    <n v="0.19719999999999999"/>
    <n v="2271.7399999999998"/>
    <s v="130110"/>
    <n v="28"/>
    <s v="EDS 2L RONDE"/>
    <n v="20220415"/>
    <x v="0"/>
  </r>
  <r>
    <n v="14725"/>
    <n v="20220413"/>
    <n v="13850"/>
    <n v="13850"/>
    <s v="CE"/>
    <x v="0"/>
    <n v="6129"/>
    <n v="686"/>
    <s v="E.D.S. PLATE 2L00 PET"/>
    <n v="11520"/>
    <n v="11520"/>
    <n v="0.19719999999999999"/>
    <n v="2271.7399999999998"/>
    <s v="130110"/>
    <n v="28"/>
    <s v="EDS 2L RONDE"/>
    <n v="20220415"/>
    <x v="0"/>
  </r>
  <r>
    <n v="67407"/>
    <n v="20220413"/>
    <n v="11401"/>
    <n v="11401"/>
    <s v="CE"/>
    <x v="0"/>
    <n v="6516"/>
    <n v="53"/>
    <s v="EMG 1L15 PET"/>
    <n v="5880"/>
    <n v="5880"/>
    <n v="0.1134"/>
    <n v="666.79"/>
    <s v="491110"/>
    <n v="104"/>
    <s v="EM GAZEUSE 1L15 ST YORRE"/>
    <n v="20220415"/>
    <x v="11"/>
  </r>
  <r>
    <n v="67408"/>
    <n v="20220413"/>
    <n v="11401"/>
    <n v="11401"/>
    <s v="CE"/>
    <x v="0"/>
    <n v="6516"/>
    <n v="53"/>
    <s v="EMG 1L15 PET"/>
    <n v="7560"/>
    <n v="7560"/>
    <n v="0.1134"/>
    <n v="857.3"/>
    <s v="491110"/>
    <n v="104"/>
    <s v="EM GAZEUSE 1L15 ST YORRE"/>
    <n v="20220415"/>
    <x v="11"/>
  </r>
  <r>
    <n v="67408"/>
    <n v="20220413"/>
    <n v="11401"/>
    <n v="11401"/>
    <s v="CE"/>
    <x v="0"/>
    <n v="6551"/>
    <n v="53"/>
    <s v="EMG 1L15 PET"/>
    <n v="840"/>
    <n v="5040"/>
    <n v="0.6804"/>
    <n v="571.54"/>
    <s v="491110"/>
    <n v="115"/>
    <s v="EM GAZEUSE 1L15 CELESTINS"/>
    <n v="20220415"/>
    <x v="11"/>
  </r>
  <r>
    <n v="24364"/>
    <n v="20220414"/>
    <n v="4696"/>
    <n v="4696"/>
    <s v="CE"/>
    <x v="0"/>
    <n v="619"/>
    <n v="470"/>
    <s v="E.D.S. PLATE 5L00 PET"/>
    <n v="320"/>
    <n v="320"/>
    <n v="0.49299999999999999"/>
    <n v="157.76"/>
    <s v="230110"/>
    <n v="61"/>
    <s v="EDS 5L"/>
    <n v="20220415"/>
    <x v="4"/>
  </r>
  <r>
    <n v="24364"/>
    <n v="20220414"/>
    <n v="4696"/>
    <n v="4696"/>
    <s v="AB"/>
    <x v="1"/>
    <n v="3000"/>
    <n v="471"/>
    <s v="SODA ORANGE 6% JUS 1L5 BTE CARREFOUR"/>
    <n v="12600"/>
    <n v="12600"/>
    <n v="0.17879999999999999"/>
    <n v="2252.88"/>
    <s v="075215"/>
    <n v="45"/>
    <s v="SOFTS 1L50"/>
    <n v="20220415"/>
    <x v="8"/>
  </r>
  <r>
    <n v="24364"/>
    <n v="20220414"/>
    <n v="4696"/>
    <n v="4696"/>
    <s v="CE"/>
    <x v="0"/>
    <n v="3000"/>
    <n v="471"/>
    <s v="SODA ORANGE 6% JUS 1L5 BTE CARREFOUR"/>
    <n v="12600"/>
    <n v="12600"/>
    <n v="0.1479"/>
    <n v="1863.54"/>
    <s v="075215"/>
    <n v="45"/>
    <s v="SOFTS 1L50"/>
    <n v="20220415"/>
    <x v="8"/>
  </r>
  <r>
    <n v="24364"/>
    <n v="20220414"/>
    <n v="4696"/>
    <n v="4696"/>
    <s v="AB"/>
    <x v="1"/>
    <n v="5734"/>
    <n v="468"/>
    <s v="B.A.J. EXOTIQUE 12% 1L50 PET"/>
    <n v="1512"/>
    <n v="1512"/>
    <n v="0.17879999999999999"/>
    <n v="270.35000000000002"/>
    <s v="076104"/>
    <n v="44"/>
    <s v="JUS + ARO + THE 1L50"/>
    <n v="20220415"/>
    <x v="8"/>
  </r>
  <r>
    <n v="24364"/>
    <n v="20220414"/>
    <n v="4696"/>
    <n v="4696"/>
    <s v="CE"/>
    <x v="0"/>
    <n v="5734"/>
    <n v="468"/>
    <s v="B.A.J. EXOTIQUE 12% 1L50 PET"/>
    <n v="1512"/>
    <n v="1512"/>
    <n v="0.1479"/>
    <n v="223.62"/>
    <s v="076104"/>
    <n v="44"/>
    <s v="JUS + ARO + THE 1L50"/>
    <n v="20220415"/>
    <x v="8"/>
  </r>
  <r>
    <n v="87005"/>
    <n v="20220414"/>
    <n v="13850"/>
    <n v="13850"/>
    <s v="CE"/>
    <x v="0"/>
    <n v="6501"/>
    <n v="465"/>
    <s v="E.D.S. GAZ PETIL 1L50 BTE VERTE"/>
    <n v="16632"/>
    <n v="16632"/>
    <n v="0.1479"/>
    <n v="2459.87"/>
    <s v="070313"/>
    <n v="41"/>
    <s v="EDS GAZEIFIEE 1L50 CRISTALINE"/>
    <n v="20220415"/>
    <x v="1"/>
  </r>
  <r>
    <n v="87027"/>
    <n v="20220414"/>
    <n v="3533"/>
    <n v="3816"/>
    <s v="CE"/>
    <x v="0"/>
    <n v="6050"/>
    <n v="33"/>
    <s v="E.D.S. PLATE 1L50 PET"/>
    <n v="16632"/>
    <n v="16632"/>
    <n v="0.1479"/>
    <n v="2459.87"/>
    <s v="070110"/>
    <n v="31"/>
    <s v="EDS PLATE 1L5 PK 6"/>
    <n v="20220415"/>
    <x v="1"/>
  </r>
  <r>
    <n v="97408"/>
    <n v="20220414"/>
    <n v="11401"/>
    <n v="11401"/>
    <s v="CE"/>
    <x v="0"/>
    <n v="6050"/>
    <n v="33"/>
    <s v="E.D.S. PLATE 1L50 PET"/>
    <n v="15624"/>
    <n v="15624"/>
    <n v="0.1479"/>
    <n v="2310.79"/>
    <s v="070110"/>
    <n v="31"/>
    <s v="EDS PLATE 1L5 PK 6"/>
    <n v="20220415"/>
    <x v="1"/>
  </r>
  <r>
    <n v="97432"/>
    <n v="20220414"/>
    <n v="3127"/>
    <n v="3127"/>
    <s v="CE"/>
    <x v="0"/>
    <n v="619"/>
    <n v="10"/>
    <s v="E.D.S. PLATE 5L00 PET"/>
    <n v="320"/>
    <n v="320"/>
    <n v="0.49299999999999999"/>
    <n v="157.76"/>
    <s v="230110"/>
    <n v="61"/>
    <s v="EDS 5L"/>
    <n v="20220415"/>
    <x v="4"/>
  </r>
  <r>
    <n v="97432"/>
    <n v="20220414"/>
    <n v="3127"/>
    <n v="3127"/>
    <s v="CE"/>
    <x v="0"/>
    <n v="6010"/>
    <n v="684"/>
    <s v="E.D.S. PLATE 0L50 PET"/>
    <n v="10368"/>
    <n v="10368"/>
    <n v="4.9299999999999997E-2"/>
    <n v="511.14"/>
    <s v="140110"/>
    <n v="8"/>
    <s v="EDS 0L50 VRAC 24"/>
    <n v="20220415"/>
    <x v="2"/>
  </r>
  <r>
    <n v="97432"/>
    <n v="20220414"/>
    <n v="3127"/>
    <n v="3127"/>
    <s v="CE"/>
    <x v="0"/>
    <n v="6050"/>
    <n v="33"/>
    <s v="E.D.S. PLATE 1L50 PET"/>
    <n v="6552"/>
    <n v="6552"/>
    <n v="0.1479"/>
    <n v="969.04"/>
    <s v="070110"/>
    <n v="31"/>
    <s v="EDS PLATE 1L5 PK 6"/>
    <n v="20220415"/>
    <x v="1"/>
  </r>
  <r>
    <n v="97432"/>
    <n v="20220414"/>
    <n v="3127"/>
    <n v="3127"/>
    <s v="CE"/>
    <x v="0"/>
    <n v="6109"/>
    <n v="692"/>
    <s v="E.D.S. PLATE 0L33 PET"/>
    <n v="6480"/>
    <n v="6480"/>
    <n v="3.2500000000000001E-2"/>
    <n v="210.6"/>
    <s v="210110"/>
    <n v="150"/>
    <s v="EDS 0L33 BOUCHON VIS"/>
    <n v="20220415"/>
    <x v="3"/>
  </r>
  <r>
    <n v="97432"/>
    <n v="20220414"/>
    <n v="3127"/>
    <n v="3127"/>
    <s v="CE"/>
    <x v="0"/>
    <n v="6501"/>
    <n v="33"/>
    <s v="E.D.S. GAZ PETIL 1L50 BTE VERTE"/>
    <n v="3024"/>
    <n v="3024"/>
    <n v="0.1479"/>
    <n v="447.25"/>
    <s v="070313"/>
    <n v="41"/>
    <s v="EDS GAZEIFIEE 1L50 CRISTALINE"/>
    <n v="20220415"/>
    <x v="1"/>
  </r>
  <r>
    <n v="97448"/>
    <n v="20220414"/>
    <n v="11401"/>
    <n v="11401"/>
    <s v="CE"/>
    <x v="0"/>
    <n v="6050"/>
    <n v="33"/>
    <s v="E.D.S. PLATE 1L50 PET"/>
    <n v="15624"/>
    <n v="15624"/>
    <n v="0.1479"/>
    <n v="2310.79"/>
    <s v="070110"/>
    <n v="31"/>
    <s v="EDS PLATE 1L5 PK 6"/>
    <n v="20220415"/>
    <x v="1"/>
  </r>
  <r>
    <n v="97475"/>
    <n v="20220414"/>
    <n v="40580"/>
    <n v="40580"/>
    <s v="CE"/>
    <x v="0"/>
    <n v="6050"/>
    <n v="33"/>
    <s v="E.D.S. PLATE 1L50 PET"/>
    <n v="15624"/>
    <n v="15624"/>
    <n v="0.1479"/>
    <n v="2310.79"/>
    <s v="070110"/>
    <n v="31"/>
    <s v="EDS PLATE 1L5 PK 6"/>
    <n v="20220415"/>
    <x v="1"/>
  </r>
  <r>
    <n v="97476"/>
    <n v="20220414"/>
    <n v="40580"/>
    <n v="40580"/>
    <s v="CE"/>
    <x v="0"/>
    <n v="619"/>
    <n v="10"/>
    <s v="E.D.S. PLATE 5L00 PET"/>
    <n v="960"/>
    <n v="960"/>
    <n v="0.49299999999999999"/>
    <n v="473.28"/>
    <s v="230110"/>
    <n v="61"/>
    <s v="EDS 5L"/>
    <n v="20220415"/>
    <x v="4"/>
  </r>
  <r>
    <n v="97476"/>
    <n v="20220414"/>
    <n v="40580"/>
    <n v="40580"/>
    <s v="CE"/>
    <x v="0"/>
    <n v="6010"/>
    <n v="684"/>
    <s v="E.D.S. PLATE 0L50 PET"/>
    <n v="1440"/>
    <n v="34560"/>
    <n v="1.1832"/>
    <n v="1703.81"/>
    <s v="140110"/>
    <n v="8"/>
    <s v="EDS 0L50 VRAC 24"/>
    <n v="20220415"/>
    <x v="2"/>
  </r>
  <r>
    <n v="97476"/>
    <n v="20220414"/>
    <n v="40580"/>
    <n v="40580"/>
    <s v="CE"/>
    <x v="0"/>
    <n v="6096"/>
    <n v="182"/>
    <s v="E.D.S. SPORT CAP 0L75 PET"/>
    <n v="2088"/>
    <n v="2088"/>
    <n v="7.3999999999999996E-2"/>
    <n v="154.51"/>
    <s v="080113"/>
    <n v="81"/>
    <s v="EDS 0L75 SPORT CAP"/>
    <n v="20220415"/>
    <x v="11"/>
  </r>
  <r>
    <n v="97512"/>
    <n v="20220414"/>
    <n v="76210"/>
    <n v="76210"/>
    <s v="CE"/>
    <x v="0"/>
    <n v="619"/>
    <n v="10"/>
    <s v="E.D.S. PLATE 5L00 PET"/>
    <n v="960"/>
    <n v="960"/>
    <n v="0.49299999999999999"/>
    <n v="473.28"/>
    <s v="230110"/>
    <n v="61"/>
    <s v="EDS 5L"/>
    <n v="20220415"/>
    <x v="4"/>
  </r>
  <r>
    <n v="97512"/>
    <n v="20220414"/>
    <n v="76210"/>
    <n v="76210"/>
    <s v="CE"/>
    <x v="0"/>
    <n v="6050"/>
    <n v="33"/>
    <s v="E.D.S. PLATE 1L50 PET"/>
    <n v="13608"/>
    <n v="13608"/>
    <n v="0.1479"/>
    <n v="2012.62"/>
    <s v="070110"/>
    <n v="31"/>
    <s v="EDS PLATE 1L5 PK 6"/>
    <n v="20220415"/>
    <x v="1"/>
  </r>
  <r>
    <n v="71335"/>
    <n v="20220414"/>
    <n v="4290"/>
    <n v="4290"/>
    <s v="CE"/>
    <x v="0"/>
    <n v="619"/>
    <n v="10"/>
    <s v="E.D.S. PLATE 5L00 PET"/>
    <n v="800"/>
    <n v="800"/>
    <n v="0.49299999999999999"/>
    <n v="394.4"/>
    <s v="230110"/>
    <n v="61"/>
    <s v="EDS 5L"/>
    <n v="20220415"/>
    <x v="4"/>
  </r>
  <r>
    <n v="71335"/>
    <n v="20220414"/>
    <n v="4290"/>
    <n v="4290"/>
    <s v="CE"/>
    <x v="0"/>
    <n v="6050"/>
    <n v="33"/>
    <s v="E.D.S. PLATE 1L50 PET"/>
    <n v="12600"/>
    <n v="12600"/>
    <n v="0.1479"/>
    <n v="1863.54"/>
    <s v="070110"/>
    <n v="31"/>
    <s v="EDS PLATE 1L5 PK 6"/>
    <n v="20220415"/>
    <x v="1"/>
  </r>
  <r>
    <n v="71335"/>
    <n v="20220414"/>
    <n v="4290"/>
    <n v="4290"/>
    <s v="CE"/>
    <x v="0"/>
    <n v="6500"/>
    <n v="701"/>
    <s v="E.D.S. GAZ PETILLANTE 0L50 PET"/>
    <n v="252"/>
    <n v="1512"/>
    <n v="0.29580000000000001"/>
    <n v="74.540000000000006"/>
    <s v="140311"/>
    <n v="10"/>
    <s v="EDS GAZEIFIEE 0L50"/>
    <n v="20220415"/>
    <x v="2"/>
  </r>
  <r>
    <n v="71342"/>
    <n v="20220414"/>
    <n v="1180"/>
    <n v="1181"/>
    <s v="CE"/>
    <x v="0"/>
    <n v="1037"/>
    <n v="154"/>
    <s v="BONBONNE CLIENT 18L9"/>
    <n v="1104"/>
    <n v="1104"/>
    <n v="0.26650000000000001"/>
    <n v="294.22000000000003"/>
    <s v="260510"/>
    <n v="65"/>
    <s v="BONBONNE 18L90"/>
    <n v="20220415"/>
    <x v="5"/>
  </r>
  <r>
    <n v="71365"/>
    <n v="20220414"/>
    <n v="1180"/>
    <n v="1181"/>
    <s v="CE"/>
    <x v="0"/>
    <n v="1037"/>
    <n v="154"/>
    <s v="BONBONNE CLIENT 18L9"/>
    <n v="1104"/>
    <n v="1104"/>
    <n v="0.26650000000000001"/>
    <n v="294.22000000000003"/>
    <s v="260510"/>
    <n v="65"/>
    <s v="BONBONNE 18L90"/>
    <n v="20220415"/>
    <x v="5"/>
  </r>
  <r>
    <n v="71377"/>
    <n v="20220414"/>
    <n v="4696"/>
    <n v="4696"/>
    <s v="CE"/>
    <x v="0"/>
    <n v="6050"/>
    <n v="465"/>
    <s v="E.D.S. PLATE 1L50 PET"/>
    <n v="15120"/>
    <n v="15120"/>
    <n v="0.1479"/>
    <n v="2236.25"/>
    <s v="070110"/>
    <n v="31"/>
    <s v="EDS PLATE 1L5 PK 6"/>
    <n v="20220415"/>
    <x v="1"/>
  </r>
  <r>
    <n v="87052"/>
    <n v="20220415"/>
    <n v="4680"/>
    <n v="4680"/>
    <s v="CE"/>
    <x v="0"/>
    <n v="6501"/>
    <n v="33"/>
    <s v="E.D.S. GAZ PETIL 1L50 BTE VERTE"/>
    <n v="16632"/>
    <n v="16632"/>
    <n v="0.1479"/>
    <n v="2459.87"/>
    <s v="070313"/>
    <n v="41"/>
    <s v="EDS GAZEIFIEE 1L50 CRISTALINE"/>
    <n v="20220418"/>
    <x v="1"/>
  </r>
  <r>
    <n v="97507"/>
    <n v="20220415"/>
    <n v="11401"/>
    <n v="11401"/>
    <s v="CE"/>
    <x v="0"/>
    <n v="6050"/>
    <n v="33"/>
    <s v="E.D.S. PLATE 1L50 PET"/>
    <n v="15624"/>
    <n v="15624"/>
    <n v="0.1479"/>
    <n v="2310.79"/>
    <s v="070110"/>
    <n v="31"/>
    <s v="EDS PLATE 1L5 PK 6"/>
    <n v="20220418"/>
    <x v="1"/>
  </r>
  <r>
    <n v="97522"/>
    <n v="20220415"/>
    <n v="11401"/>
    <n v="11401"/>
    <s v="CE"/>
    <x v="0"/>
    <n v="6040"/>
    <n v="683"/>
    <s v="E.D.S. PLATE 0L50 PET"/>
    <n v="2304"/>
    <n v="27648"/>
    <n v="0.59160000000000001"/>
    <n v="1363.05"/>
    <s v="140110"/>
    <n v="7"/>
    <s v="EDS 0L50 PK6 ET 12"/>
    <n v="20220418"/>
    <x v="2"/>
  </r>
  <r>
    <n v="97522"/>
    <n v="20220415"/>
    <n v="11401"/>
    <n v="11401"/>
    <s v="CE"/>
    <x v="0"/>
    <n v="6129"/>
    <n v="516"/>
    <s v="E.D.S. PLATE 2L00 PET"/>
    <n v="4608"/>
    <n v="4608"/>
    <n v="0.19719999999999999"/>
    <n v="908.7"/>
    <s v="130110"/>
    <n v="28"/>
    <s v="EDS 2L RONDE"/>
    <n v="20220418"/>
    <x v="0"/>
  </r>
  <r>
    <n v="97536"/>
    <n v="20220415"/>
    <n v="4680"/>
    <n v="4680"/>
    <s v="CE"/>
    <x v="0"/>
    <n v="6050"/>
    <n v="33"/>
    <s v="E.D.S. PLATE 1L50 PET"/>
    <n v="15624"/>
    <n v="15624"/>
    <n v="0.1479"/>
    <n v="2310.79"/>
    <s v="070110"/>
    <n v="31"/>
    <s v="EDS PLATE 1L5 PK 6"/>
    <n v="20220418"/>
    <x v="1"/>
  </r>
  <r>
    <n v="97537"/>
    <n v="20220415"/>
    <n v="2112"/>
    <n v="2112"/>
    <s v="CE"/>
    <x v="0"/>
    <n v="6010"/>
    <n v="684"/>
    <s v="E.D.S. PLATE 0L50 PET"/>
    <n v="504"/>
    <n v="12096"/>
    <n v="1.1832"/>
    <n v="596.33000000000004"/>
    <s v="140110"/>
    <n v="8"/>
    <s v="EDS 0L50 VRAC 24"/>
    <n v="20220418"/>
    <x v="2"/>
  </r>
  <r>
    <n v="97537"/>
    <n v="20220415"/>
    <n v="2112"/>
    <n v="2112"/>
    <s v="CE"/>
    <x v="0"/>
    <n v="6050"/>
    <n v="33"/>
    <s v="E.D.S. PLATE 1L50 PET"/>
    <n v="11592"/>
    <n v="11592"/>
    <n v="0.1479"/>
    <n v="1714.46"/>
    <s v="070110"/>
    <n v="31"/>
    <s v="EDS PLATE 1L5 PK 6"/>
    <n v="20220418"/>
    <x v="1"/>
  </r>
  <r>
    <n v="71406"/>
    <n v="20220415"/>
    <n v="4696"/>
    <n v="4696"/>
    <s v="CE"/>
    <x v="0"/>
    <n v="6050"/>
    <n v="465"/>
    <s v="E.D.S. PLATE 1L50 PET"/>
    <n v="15120"/>
    <n v="15120"/>
    <n v="0.1479"/>
    <n v="2236.25"/>
    <s v="070110"/>
    <n v="31"/>
    <s v="EDS PLATE 1L5 PK 6"/>
    <n v="20220418"/>
    <x v="1"/>
  </r>
  <r>
    <n v="71409"/>
    <n v="20220415"/>
    <n v="1180"/>
    <n v="1181"/>
    <s v="CE"/>
    <x v="0"/>
    <n v="1037"/>
    <n v="154"/>
    <s v="BONBONNE CLIENT 18L9"/>
    <n v="1104"/>
    <n v="1104"/>
    <n v="0.26650000000000001"/>
    <n v="294.22000000000003"/>
    <s v="260510"/>
    <n v="65"/>
    <s v="BONBONNE 18L90"/>
    <n v="20220418"/>
    <x v="5"/>
  </r>
  <r>
    <n v="71419"/>
    <n v="20220415"/>
    <n v="1180"/>
    <n v="1181"/>
    <s v="CE"/>
    <x v="0"/>
    <n v="1037"/>
    <n v="154"/>
    <s v="BONBONNE CLIENT 18L9"/>
    <n v="1104"/>
    <n v="1104"/>
    <n v="0.26650000000000001"/>
    <n v="294.22000000000003"/>
    <s v="260510"/>
    <n v="65"/>
    <s v="BONBONNE 18L90"/>
    <n v="20220418"/>
    <x v="5"/>
  </r>
  <r>
    <n v="71443"/>
    <n v="20220415"/>
    <n v="4696"/>
    <n v="4696"/>
    <s v="CE"/>
    <x v="0"/>
    <n v="6050"/>
    <n v="465"/>
    <s v="E.D.S. PLATE 1L50 PET"/>
    <n v="15120"/>
    <n v="15120"/>
    <n v="0.1479"/>
    <n v="2236.25"/>
    <s v="070110"/>
    <n v="31"/>
    <s v="EDS PLATE 1L5 PK 6"/>
    <n v="20220418"/>
    <x v="1"/>
  </r>
  <r>
    <n v="14908"/>
    <n v="20220415"/>
    <n v="13850"/>
    <n v="13850"/>
    <s v="CE"/>
    <x v="0"/>
    <n v="6129"/>
    <n v="686"/>
    <s v="E.D.S. PLATE 2L00 PET"/>
    <n v="11520"/>
    <n v="11520"/>
    <n v="0.19719999999999999"/>
    <n v="2271.7399999999998"/>
    <s v="130110"/>
    <n v="28"/>
    <s v="EDS 2L RONDE"/>
    <n v="20220418"/>
    <x v="0"/>
  </r>
  <r>
    <n v="73679"/>
    <n v="20220415"/>
    <n v="4696"/>
    <n v="4696"/>
    <s v="CE"/>
    <x v="0"/>
    <n v="6289"/>
    <n v="367"/>
    <s v="E.M. PLATE 1L50 PET"/>
    <n v="16128"/>
    <n v="16128"/>
    <n v="0.1479"/>
    <n v="2385.33"/>
    <s v="071010"/>
    <n v="580"/>
    <s v="EAU 1L50 CLO"/>
    <n v="20220418"/>
    <x v="1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  <r>
    <m/>
    <m/>
    <m/>
    <m/>
    <m/>
    <x v="2"/>
    <m/>
    <m/>
    <m/>
    <m/>
    <m/>
    <m/>
    <m/>
    <m/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Tableau croisé dynamique2" cacheId="50" applyNumberFormats="0" applyBorderFormats="0" applyFontFormats="0" applyPatternFormats="0" applyAlignmentFormats="0" applyWidthHeightFormats="1" dataCaption="Valeurs" updatedVersion="8" minRefreshableVersion="3" showCalcMbrs="0" useAutoFormatting="1" itemPrintTitles="1" createdVersion="3" indent="0" outline="1" outlineData="1" multipleFieldFilters="0">
  <location ref="E1:G79" firstHeaderRow="1" firstDataRow="2" firstDataCol="1"/>
  <pivotFields count="20">
    <pivotField showAll="0"/>
    <pivotField showAll="0"/>
    <pivotField axis="axisRow" showAll="0">
      <items count="415">
        <item m="1" x="161"/>
        <item m="1" x="310"/>
        <item m="1" x="234"/>
        <item m="1" x="235"/>
        <item m="1" x="243"/>
        <item m="1" x="122"/>
        <item m="1" x="280"/>
        <item m="1" x="328"/>
        <item m="1" x="266"/>
        <item m="1" x="216"/>
        <item m="1" x="162"/>
        <item m="1" x="375"/>
        <item m="1" x="231"/>
        <item m="1" x="123"/>
        <item m="1" x="78"/>
        <item m="1" x="294"/>
        <item m="1" x="225"/>
        <item m="1" x="298"/>
        <item m="1" x="163"/>
        <item m="1" x="339"/>
        <item m="1" x="316"/>
        <item m="1" x="135"/>
        <item m="1" x="288"/>
        <item m="1" x="172"/>
        <item m="1" x="184"/>
        <item m="1" x="129"/>
        <item m="1" x="191"/>
        <item m="1" x="79"/>
        <item m="1" x="350"/>
        <item m="1" x="411"/>
        <item m="1" x="154"/>
        <item m="1" x="299"/>
        <item m="1" x="149"/>
        <item m="1" x="362"/>
        <item m="1" x="317"/>
        <item m="1" x="267"/>
        <item m="1" x="289"/>
        <item m="1" x="311"/>
        <item m="1" x="323"/>
        <item m="1" x="340"/>
        <item m="1" x="107"/>
        <item m="1" x="118"/>
        <item m="1" x="318"/>
        <item m="1" x="346"/>
        <item m="1" x="407"/>
        <item m="1" x="402"/>
        <item m="1" x="255"/>
        <item m="1" x="192"/>
        <item m="1" x="80"/>
        <item m="1" x="372"/>
        <item m="1" x="355"/>
        <item m="1" x="97"/>
        <item m="1" x="124"/>
        <item m="1" x="81"/>
        <item m="1" x="271"/>
        <item m="1" x="373"/>
        <item m="1" x="307"/>
        <item m="1" x="392"/>
        <item m="1" x="98"/>
        <item m="1" x="290"/>
        <item m="1" x="217"/>
        <item m="1" x="177"/>
        <item m="1" x="363"/>
        <item m="1" x="110"/>
        <item m="1" x="99"/>
        <item m="1" x="365"/>
        <item m="1" x="86"/>
        <item m="1" x="165"/>
        <item m="1" x="405"/>
        <item m="1" x="353"/>
        <item m="1" x="381"/>
        <item m="1" x="296"/>
        <item m="1" x="247"/>
        <item m="1" x="150"/>
        <item m="1" x="382"/>
        <item m="1" x="156"/>
        <item m="1" x="139"/>
        <item m="1" x="409"/>
        <item m="1" x="259"/>
        <item m="1" x="151"/>
        <item m="1" x="399"/>
        <item m="1" x="199"/>
        <item m="1" x="249"/>
        <item m="1" x="211"/>
        <item m="1" x="335"/>
        <item m="1" x="222"/>
        <item m="1" x="196"/>
        <item m="1" x="233"/>
        <item m="1" x="278"/>
        <item m="1" x="180"/>
        <item m="1" x="90"/>
        <item m="1" x="152"/>
        <item x="76"/>
        <item m="1" x="369"/>
        <item m="1" x="223"/>
        <item m="1" x="102"/>
        <item m="1" x="391"/>
        <item m="1" x="185"/>
        <item m="1" x="389"/>
        <item m="1" x="286"/>
        <item m="1" x="146"/>
        <item m="1" x="207"/>
        <item m="1" x="178"/>
        <item m="1" x="321"/>
        <item m="1" x="230"/>
        <item m="1" x="208"/>
        <item m="1" x="331"/>
        <item m="1" x="313"/>
        <item m="1" x="379"/>
        <item m="1" x="202"/>
        <item m="1" x="388"/>
        <item m="1" x="213"/>
        <item m="1" x="127"/>
        <item m="1" x="360"/>
        <item m="1" x="371"/>
        <item m="1" x="306"/>
        <item m="1" x="167"/>
        <item m="1" x="275"/>
        <item m="1" x="77"/>
        <item m="1" x="361"/>
        <item m="1" x="224"/>
        <item m="1" x="287"/>
        <item m="1" x="183"/>
        <item m="1" x="128"/>
        <item m="1" x="210"/>
        <item m="1" x="138"/>
        <item m="1" x="160"/>
        <item m="1" x="292"/>
        <item m="1" x="351"/>
        <item m="1" x="256"/>
        <item m="1" x="356"/>
        <item m="1" x="166"/>
        <item m="1" x="141"/>
        <item m="1" x="314"/>
        <item m="1" x="194"/>
        <item m="1" x="252"/>
        <item m="1" x="187"/>
        <item m="1" x="103"/>
        <item m="1" x="322"/>
        <item m="1" x="279"/>
        <item m="1" x="236"/>
        <item m="1" x="116"/>
        <item m="1" x="251"/>
        <item m="1" x="189"/>
        <item m="1" x="265"/>
        <item m="1" x="345"/>
        <item m="1" x="158"/>
        <item m="1" x="401"/>
        <item m="1" x="197"/>
        <item m="1" x="386"/>
        <item m="1" x="338"/>
        <item m="1" x="168"/>
        <item m="1" x="262"/>
        <item m="1" x="320"/>
        <item m="1" x="368"/>
        <item m="1" x="111"/>
        <item m="1" x="330"/>
        <item m="1" x="277"/>
        <item m="1" x="333"/>
        <item m="1" x="242"/>
        <item m="1" x="153"/>
        <item m="1" x="354"/>
        <item m="1" x="105"/>
        <item m="1" x="357"/>
        <item m="1" x="245"/>
        <item m="1" x="133"/>
        <item m="1" x="164"/>
        <item m="1" x="257"/>
        <item m="1" x="113"/>
        <item m="1" x="134"/>
        <item m="1" x="270"/>
        <item m="1" x="195"/>
        <item m="1" x="303"/>
        <item m="1" x="157"/>
        <item m="1" x="276"/>
        <item m="1" x="349"/>
        <item m="1" x="209"/>
        <item m="1" x="148"/>
        <item m="1" x="117"/>
        <item m="1" x="212"/>
        <item m="1" x="374"/>
        <item m="1" x="383"/>
        <item m="1" x="394"/>
        <item m="1" x="205"/>
        <item m="1" x="169"/>
        <item m="1" x="120"/>
        <item m="1" x="246"/>
        <item m="1" x="400"/>
        <item m="1" x="341"/>
        <item m="1" x="91"/>
        <item m="1" x="376"/>
        <item m="1" x="324"/>
        <item m="1" x="268"/>
        <item m="1" x="281"/>
        <item m="1" x="295"/>
        <item m="1" x="218"/>
        <item m="1" x="377"/>
        <item m="1" x="237"/>
        <item m="1" x="253"/>
        <item m="1" x="155"/>
        <item m="1" x="300"/>
        <item m="1" x="219"/>
        <item m="1" x="319"/>
        <item m="1" x="95"/>
        <item m="1" x="326"/>
        <item m="1" x="214"/>
        <item m="1" x="315"/>
        <item m="1" x="143"/>
        <item m="1" x="100"/>
        <item m="1" x="404"/>
        <item m="1" x="179"/>
        <item m="1" x="203"/>
        <item m="1" x="258"/>
        <item m="1" x="87"/>
        <item m="1" x="304"/>
        <item m="1" x="244"/>
        <item m="1" x="92"/>
        <item m="1" x="364"/>
        <item m="1" x="215"/>
        <item m="1" x="159"/>
        <item m="1" x="308"/>
        <item m="1" x="393"/>
        <item m="1" x="130"/>
        <item m="1" x="93"/>
        <item m="1" x="301"/>
        <item m="1" x="131"/>
        <item m="1" x="329"/>
        <item m="1" x="175"/>
        <item m="1" x="410"/>
        <item m="1" x="302"/>
        <item m="1" x="263"/>
        <item m="1" x="366"/>
        <item m="1" x="136"/>
        <item m="1" x="254"/>
        <item m="1" x="403"/>
        <item m="1" x="370"/>
        <item m="1" x="220"/>
        <item m="1" x="132"/>
        <item m="1" x="334"/>
        <item m="1" x="94"/>
        <item m="1" x="108"/>
        <item m="1" x="380"/>
        <item m="1" x="293"/>
        <item m="1" x="384"/>
        <item m="1" x="239"/>
        <item m="1" x="283"/>
        <item m="1" x="273"/>
        <item m="1" x="348"/>
        <item m="1" x="200"/>
        <item m="1" x="101"/>
        <item m="1" x="282"/>
        <item m="1" x="325"/>
        <item m="1" x="206"/>
        <item m="1" x="82"/>
        <item m="1" x="85"/>
        <item m="1" x="226"/>
        <item m="1" x="109"/>
        <item m="1" x="119"/>
        <item m="1" x="261"/>
        <item m="1" x="106"/>
        <item m="1" x="181"/>
        <item m="1" x="126"/>
        <item m="1" x="264"/>
        <item m="1" x="227"/>
        <item m="1" x="358"/>
        <item m="1" x="309"/>
        <item m="1" x="221"/>
        <item m="1" x="176"/>
        <item m="1" x="272"/>
        <item m="1" x="291"/>
        <item m="1" x="238"/>
        <item m="1" x="173"/>
        <item m="1" x="387"/>
        <item m="1" x="83"/>
        <item m="1" x="378"/>
        <item m="1" x="182"/>
        <item m="1" x="274"/>
        <item m="1" x="240"/>
        <item m="1" x="186"/>
        <item m="1" x="343"/>
        <item m="1" x="89"/>
        <item m="1" x="115"/>
        <item m="1" x="352"/>
        <item m="1" x="198"/>
        <item m="1" x="114"/>
        <item m="1" x="284"/>
        <item m="1" x="84"/>
        <item m="1" x="305"/>
        <item m="1" x="395"/>
        <item m="1" x="140"/>
        <item m="1" x="260"/>
        <item m="1" x="228"/>
        <item m="1" x="396"/>
        <item m="1" x="327"/>
        <item m="1" x="336"/>
        <item m="1" x="204"/>
        <item m="1" x="232"/>
        <item m="1" x="171"/>
        <item m="1" x="137"/>
        <item m="1" x="125"/>
        <item m="1" x="367"/>
        <item m="1" x="170"/>
        <item m="1" x="385"/>
        <item m="1" x="397"/>
        <item m="1" x="241"/>
        <item m="1" x="121"/>
        <item m="1" x="201"/>
        <item m="1" x="337"/>
        <item m="1" x="406"/>
        <item m="1" x="297"/>
        <item m="1" x="188"/>
        <item m="1" x="174"/>
        <item m="1" x="412"/>
        <item m="1" x="88"/>
        <item m="1" x="104"/>
        <item m="1" x="112"/>
        <item m="1" x="250"/>
        <item m="1" x="142"/>
        <item m="1" x="147"/>
        <item m="1" x="96"/>
        <item m="1" x="285"/>
        <item m="1" x="145"/>
        <item m="1" x="190"/>
        <item m="1" x="398"/>
        <item m="1" x="342"/>
        <item m="1" x="248"/>
        <item m="1" x="193"/>
        <item m="1" x="347"/>
        <item m="1" x="408"/>
        <item m="1" x="413"/>
        <item m="1" x="312"/>
        <item m="1" x="344"/>
        <item m="1" x="332"/>
        <item m="1" x="229"/>
        <item m="1" x="359"/>
        <item m="1" x="390"/>
        <item m="1" x="269"/>
        <item m="1" x="1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showAll="0"/>
    <pivotField showAll="0"/>
    <pivotField showAll="0"/>
    <pivotField showAll="0"/>
    <pivotField axis="axisCol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showAll="0"/>
    <pivotField showAll="0" defaultSubtota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77"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 t="grand">
      <x/>
    </i>
  </rowItems>
  <colFields count="1">
    <field x="7"/>
  </colFields>
  <colItems count="2">
    <i>
      <x v="1"/>
    </i>
    <i t="grand">
      <x/>
    </i>
  </colItems>
  <dataFields count="1">
    <dataField name="Somme de HTECOT" fld="1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eau croisé dynamique1" cacheId="54" applyNumberFormats="0" applyBorderFormats="0" applyFontFormats="0" applyPatternFormats="0" applyAlignmentFormats="0" applyWidthHeightFormats="1" dataCaption="Valeurs" updatedVersion="8" minRefreshableVersion="3" showCalcMbrs="0" useAutoFormatting="1" itemPrintTitles="1" createdVersion="3" indent="0" outline="1" outlineData="1" multipleFieldFilters="0">
  <location ref="A1:B20" firstHeaderRow="1" firstDataRow="1" firstDataCol="1"/>
  <pivotFields count="18">
    <pivotField showAll="0"/>
    <pivotField showAll="0"/>
    <pivotField showAll="0"/>
    <pivotField showAll="0"/>
    <pivotField showAll="0"/>
    <pivotField axis="axisRow" showAll="0" sortType="ascending">
      <items count="4">
        <item x="1"/>
        <item x="0"/>
        <item h="1" x="2"/>
        <item t="default"/>
      </items>
    </pivotField>
    <pivotField showAll="0"/>
    <pivotField showAll="0"/>
    <pivotField showAll="0" sortType="ascending"/>
    <pivotField showAll="0"/>
    <pivotField dataField="1" showAll="0" defaultSubtotal="0"/>
    <pivotField showAll="0"/>
    <pivotField showAll="0"/>
    <pivotField showAll="0"/>
    <pivotField showAll="0"/>
    <pivotField showAll="0"/>
    <pivotField showAll="0"/>
    <pivotField axis="axisRow" showAll="0">
      <items count="17">
        <item x="5"/>
        <item x="1"/>
        <item x="0"/>
        <item x="4"/>
        <item x="7"/>
        <item x="6"/>
        <item x="8"/>
        <item x="12"/>
        <item m="1" x="13"/>
        <item x="2"/>
        <item m="1" x="14"/>
        <item x="10"/>
        <item x="3"/>
        <item x="9"/>
        <item m="1" x="15"/>
        <item x="11"/>
        <item t="default"/>
      </items>
    </pivotField>
  </pivotFields>
  <rowFields count="2">
    <field x="5"/>
    <field x="17"/>
  </rowFields>
  <rowItems count="19">
    <i>
      <x/>
    </i>
    <i r="1">
      <x v="4"/>
    </i>
    <i r="1">
      <x v="5"/>
    </i>
    <i r="1">
      <x v="6"/>
    </i>
    <i r="1">
      <x v="13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9"/>
    </i>
    <i r="1">
      <x v="11"/>
    </i>
    <i r="1">
      <x v="12"/>
    </i>
    <i r="1">
      <x v="13"/>
    </i>
    <i r="1">
      <x v="15"/>
    </i>
    <i t="grand">
      <x/>
    </i>
  </rowItems>
  <colItems count="1">
    <i/>
  </colItems>
  <dataFields count="1">
    <dataField name="Somme de FAQTFA" fld="10" baseField="0" baseItem="0" numFmtId="16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workbookViewId="0">
      <selection activeCell="C39" sqref="C39"/>
    </sheetView>
  </sheetViews>
  <sheetFormatPr baseColWidth="10" defaultRowHeight="14.5" x14ac:dyDescent="0.35"/>
  <cols>
    <col min="1" max="1" width="25.1796875" bestFit="1" customWidth="1"/>
    <col min="2" max="2" width="13" customWidth="1"/>
    <col min="3" max="3" width="11" bestFit="1" customWidth="1"/>
    <col min="4" max="4" width="11.81640625" bestFit="1" customWidth="1"/>
    <col min="5" max="5" width="11" bestFit="1" customWidth="1"/>
    <col min="6" max="6" width="10.453125" bestFit="1" customWidth="1"/>
    <col min="7" max="7" width="13.7265625" bestFit="1" customWidth="1"/>
    <col min="8" max="8" width="8.453125" customWidth="1"/>
    <col min="9" max="9" width="21.26953125" bestFit="1" customWidth="1"/>
    <col min="10" max="10" width="25.54296875" bestFit="1" customWidth="1"/>
    <col min="11" max="11" width="22.1796875" bestFit="1" customWidth="1"/>
  </cols>
  <sheetData>
    <row r="1" spans="1:10" ht="21" x14ac:dyDescent="0.5">
      <c r="A1" s="113"/>
      <c r="B1" s="113"/>
      <c r="C1" s="113"/>
      <c r="D1" s="113"/>
      <c r="E1" s="113"/>
      <c r="F1" s="113"/>
      <c r="G1" s="113"/>
      <c r="H1" s="13"/>
      <c r="I1" s="13"/>
      <c r="J1" s="13"/>
    </row>
    <row r="3" spans="1:10" ht="15" customHeight="1" x14ac:dyDescent="0.35">
      <c r="A3" s="123" t="s">
        <v>8</v>
      </c>
      <c r="B3" s="8" t="s">
        <v>0</v>
      </c>
      <c r="C3" s="1" t="s">
        <v>1</v>
      </c>
      <c r="D3" s="2" t="s">
        <v>11</v>
      </c>
      <c r="E3" s="9" t="s">
        <v>2</v>
      </c>
      <c r="F3" s="18"/>
      <c r="G3" s="5"/>
      <c r="H3" s="4"/>
    </row>
    <row r="4" spans="1:10" x14ac:dyDescent="0.35">
      <c r="A4" s="124"/>
      <c r="B4" s="23">
        <f>IFERROR(VLOOKUP("limonade 0,33l",'Quantité roxane'!$A$3:$B$82,2,FALSE),0)</f>
        <v>0</v>
      </c>
      <c r="C4" s="1">
        <v>0.33</v>
      </c>
      <c r="D4" s="24">
        <f>C4*B4</f>
        <v>0</v>
      </c>
      <c r="E4" s="22"/>
      <c r="F4" s="114" t="s">
        <v>3</v>
      </c>
      <c r="G4" s="117">
        <f>ROUND(E10*11.9233,2)</f>
        <v>6065.14</v>
      </c>
    </row>
    <row r="5" spans="1:10" x14ac:dyDescent="0.35">
      <c r="A5" s="124"/>
      <c r="B5" s="23">
        <f>IFERROR(VLOOKUP("limonade 0,5l",'Quantité roxane'!$A$3:$B$82,2,FALSE),0)</f>
        <v>44064</v>
      </c>
      <c r="C5" s="1">
        <v>0.5</v>
      </c>
      <c r="D5" s="24">
        <f t="shared" ref="D5:D9" si="0">C5*B5</f>
        <v>22032</v>
      </c>
      <c r="E5" s="22"/>
      <c r="F5" s="115"/>
      <c r="G5" s="118"/>
    </row>
    <row r="6" spans="1:10" x14ac:dyDescent="0.35">
      <c r="A6" s="124"/>
      <c r="B6" s="23">
        <f>IFERROR(VLOOKUP("limonade 1l",'Quantité roxane'!$A$3:$B$82,2,FALSE),0)</f>
        <v>0</v>
      </c>
      <c r="C6" s="1">
        <v>1</v>
      </c>
      <c r="D6" s="24">
        <f t="shared" si="0"/>
        <v>0</v>
      </c>
      <c r="E6" s="22"/>
      <c r="F6" s="116"/>
      <c r="G6" s="119"/>
    </row>
    <row r="7" spans="1:10" x14ac:dyDescent="0.35">
      <c r="A7" s="124"/>
      <c r="B7" s="23">
        <f>IFERROR(VLOOKUP("limonade 1,5l",'Quantité roxane'!$A$3:$B$82,2,FALSE),0)</f>
        <v>18648</v>
      </c>
      <c r="C7" s="1">
        <v>1.5</v>
      </c>
      <c r="D7" s="24">
        <f t="shared" si="0"/>
        <v>27972</v>
      </c>
      <c r="E7" s="22"/>
      <c r="F7" s="115" t="s">
        <v>4</v>
      </c>
      <c r="G7" s="120">
        <f>ROUND(E10*9.86,2)</f>
        <v>5015.58</v>
      </c>
    </row>
    <row r="8" spans="1:10" x14ac:dyDescent="0.35">
      <c r="A8" s="124"/>
      <c r="B8" s="23">
        <f>IFERROR(VLOOKUP("limonade 2l",'Quantité roxane'!$A$3:$B$82,2,FALSE),0)</f>
        <v>432</v>
      </c>
      <c r="C8" s="1">
        <v>2</v>
      </c>
      <c r="D8" s="24">
        <f t="shared" si="0"/>
        <v>864</v>
      </c>
      <c r="E8" s="22"/>
      <c r="F8" s="115"/>
      <c r="G8" s="121"/>
    </row>
    <row r="9" spans="1:10" ht="15" thickBot="1" x14ac:dyDescent="0.4">
      <c r="A9" s="124"/>
      <c r="B9" s="23">
        <f>IFERROR(VLOOKUP("limonade 5l",'Quantité roxane'!$A$3:$B$82,2,FALSE),0)</f>
        <v>0</v>
      </c>
      <c r="C9" s="12">
        <v>5</v>
      </c>
      <c r="D9" s="26">
        <f t="shared" si="0"/>
        <v>0</v>
      </c>
      <c r="E9" s="27"/>
      <c r="F9" s="116"/>
      <c r="G9" s="122"/>
    </row>
    <row r="10" spans="1:10" ht="15.5" thickTop="1" thickBot="1" x14ac:dyDescent="0.4">
      <c r="A10" s="125"/>
      <c r="B10" s="31">
        <f>SUM(B4:B9)</f>
        <v>63144</v>
      </c>
      <c r="C10" s="15"/>
      <c r="D10" s="32">
        <f>SUM(D4:D9)</f>
        <v>50868</v>
      </c>
      <c r="E10" s="17">
        <f>TRUNC(D10/100,2)</f>
        <v>508.68</v>
      </c>
      <c r="F10" s="85" t="s">
        <v>19</v>
      </c>
      <c r="G10" s="86">
        <f>SUM(G7,G4)</f>
        <v>11080.720000000001</v>
      </c>
      <c r="H10" s="4"/>
    </row>
    <row r="11" spans="1:10" ht="15.75" customHeight="1" thickTop="1" x14ac:dyDescent="0.35">
      <c r="A11" s="124" t="s">
        <v>13</v>
      </c>
      <c r="B11" s="10" t="s">
        <v>0</v>
      </c>
      <c r="C11" s="7" t="s">
        <v>1</v>
      </c>
      <c r="D11" s="30" t="s">
        <v>11</v>
      </c>
      <c r="E11" s="11" t="s">
        <v>2</v>
      </c>
      <c r="F11" s="34"/>
      <c r="G11" s="5"/>
      <c r="H11" s="4"/>
    </row>
    <row r="12" spans="1:10" x14ac:dyDescent="0.35">
      <c r="A12" s="124"/>
      <c r="B12" s="23">
        <f>IFERROR(VLOOKUP("eau 0,33l",'Quantité roxane'!$A$3:$B$82,2,FALSE),0)</f>
        <v>161280</v>
      </c>
      <c r="C12" s="1">
        <v>0.33</v>
      </c>
      <c r="D12" s="24">
        <f>C12*B12</f>
        <v>53222.400000000001</v>
      </c>
      <c r="E12" s="22"/>
      <c r="F12" s="127" t="s">
        <v>4</v>
      </c>
      <c r="G12" s="120">
        <f>ROUND(E21*9.86,2)</f>
        <v>146183.97</v>
      </c>
    </row>
    <row r="13" spans="1:10" x14ac:dyDescent="0.35">
      <c r="A13" s="124"/>
      <c r="B13" s="23">
        <f>IFERROR(VLOOKUP("eau 0,5l",'Quantité roxane'!$A$3:$B$82,2,FALSE),0)</f>
        <v>699624</v>
      </c>
      <c r="C13" s="1">
        <v>0.5</v>
      </c>
      <c r="D13" s="24">
        <f t="shared" ref="D13:D20" si="1">C13*B13</f>
        <v>349812</v>
      </c>
      <c r="E13" s="22"/>
      <c r="F13" s="128"/>
      <c r="G13" s="121"/>
    </row>
    <row r="14" spans="1:10" x14ac:dyDescent="0.35">
      <c r="A14" s="124"/>
      <c r="B14" s="23">
        <f>IFERROR(VLOOKUP("eau 0,75l",'Quantité roxane'!$A$3:$B$82,2,FALSE),0)</f>
        <v>20568</v>
      </c>
      <c r="C14" s="1">
        <v>0.75</v>
      </c>
      <c r="D14" s="24">
        <f>C14*B14</f>
        <v>15426</v>
      </c>
      <c r="E14" s="22"/>
      <c r="F14" s="128"/>
      <c r="G14" s="121"/>
    </row>
    <row r="15" spans="1:10" x14ac:dyDescent="0.35">
      <c r="A15" s="124"/>
      <c r="B15" s="23">
        <f>IFERROR(VLOOKUP("eau 1l",'Quantité roxane'!$A$3:$B$82,2,FALSE),0)</f>
        <v>2268</v>
      </c>
      <c r="C15" s="1">
        <v>1</v>
      </c>
      <c r="D15" s="24">
        <f t="shared" si="1"/>
        <v>2268</v>
      </c>
      <c r="E15" s="22"/>
      <c r="F15" s="128"/>
      <c r="G15" s="121"/>
      <c r="I15" s="101"/>
    </row>
    <row r="16" spans="1:10" x14ac:dyDescent="0.35">
      <c r="A16" s="124"/>
      <c r="B16" s="23">
        <f>IFERROR(VLOOKUP("eau 1,15l",'Quantité roxane'!$A$3:$B$82,2,FALSE),0)</f>
        <v>0</v>
      </c>
      <c r="C16" s="1">
        <v>1.1499999999999999</v>
      </c>
      <c r="D16" s="24">
        <f t="shared" si="1"/>
        <v>0</v>
      </c>
      <c r="E16" s="22"/>
      <c r="F16" s="128"/>
      <c r="G16" s="121"/>
      <c r="I16" s="101"/>
    </row>
    <row r="17" spans="1:12" x14ac:dyDescent="0.35">
      <c r="A17" s="124"/>
      <c r="B17" s="23">
        <f>IFERROR(VLOOKUP("eau 1,25l",'Quantité roxane'!$A$3:$B$82,2,FALSE),0)</f>
        <v>0</v>
      </c>
      <c r="C17" s="1">
        <v>1.25</v>
      </c>
      <c r="D17" s="24">
        <f t="shared" si="1"/>
        <v>0</v>
      </c>
      <c r="E17" s="22"/>
      <c r="F17" s="128"/>
      <c r="G17" s="121"/>
    </row>
    <row r="18" spans="1:12" x14ac:dyDescent="0.35">
      <c r="A18" s="124"/>
      <c r="B18" s="23">
        <f>IFERROR(VLOOKUP("eau 1,5l",'Quantité roxane'!$A$3:$B$82,2,FALSE),0)</f>
        <v>515592</v>
      </c>
      <c r="C18" s="1">
        <v>1.5</v>
      </c>
      <c r="D18" s="24">
        <f t="shared" si="1"/>
        <v>773388</v>
      </c>
      <c r="E18" s="22"/>
      <c r="F18" s="128"/>
      <c r="G18" s="121"/>
    </row>
    <row r="19" spans="1:12" x14ac:dyDescent="0.35">
      <c r="A19" s="124"/>
      <c r="B19" s="23">
        <f>IFERROR(VLOOKUP("eau 2l",'Quantité roxane'!$A$3:$B$82,2,FALSE),0)</f>
        <v>109440</v>
      </c>
      <c r="C19" s="1">
        <v>2</v>
      </c>
      <c r="D19" s="24">
        <f t="shared" si="1"/>
        <v>218880</v>
      </c>
      <c r="E19" s="22"/>
      <c r="F19" s="128"/>
      <c r="G19" s="121"/>
    </row>
    <row r="20" spans="1:12" ht="15" thickBot="1" x14ac:dyDescent="0.4">
      <c r="A20" s="124"/>
      <c r="B20" s="23">
        <f>IFERROR(VLOOKUP("eau 5l",'Quantité roxane'!$A$3:$B$82,2,FALSE),0)</f>
        <v>13920</v>
      </c>
      <c r="C20" s="12">
        <v>5</v>
      </c>
      <c r="D20" s="26">
        <f t="shared" si="1"/>
        <v>69600</v>
      </c>
      <c r="E20" s="27"/>
      <c r="F20" s="129"/>
      <c r="G20" s="122"/>
    </row>
    <row r="21" spans="1:12" ht="15.5" thickTop="1" thickBot="1" x14ac:dyDescent="0.4">
      <c r="A21" s="125"/>
      <c r="B21" s="31">
        <f>SUM(B12:B20)</f>
        <v>1522692</v>
      </c>
      <c r="C21" s="15"/>
      <c r="D21" s="32">
        <f>SUM(D12:D20)</f>
        <v>1482596.4</v>
      </c>
      <c r="E21" s="32">
        <f>TRUNC(D21/100,2)</f>
        <v>14825.96</v>
      </c>
      <c r="F21" s="35"/>
      <c r="G21" s="36"/>
      <c r="H21" s="4"/>
      <c r="K21" s="108"/>
    </row>
    <row r="22" spans="1:12" ht="15.75" customHeight="1" thickTop="1" x14ac:dyDescent="0.35">
      <c r="A22" s="124" t="s">
        <v>9</v>
      </c>
      <c r="B22" s="10" t="s">
        <v>0</v>
      </c>
      <c r="C22" s="7" t="s">
        <v>1</v>
      </c>
      <c r="D22" s="30" t="s">
        <v>11</v>
      </c>
      <c r="E22" s="11" t="s">
        <v>2</v>
      </c>
      <c r="F22" s="114" t="s">
        <v>4</v>
      </c>
      <c r="G22" s="130">
        <f>ROUND(E24*1.41,2)</f>
        <v>2174.56</v>
      </c>
    </row>
    <row r="23" spans="1:12" ht="15" thickBot="1" x14ac:dyDescent="0.4">
      <c r="A23" s="124"/>
      <c r="B23" s="29">
        <f>IFERROR(VLOOKUP("bonbonne 18,9l",'Quantité roxane'!$A$3:$B$82,2,FALSE),0)</f>
        <v>8160</v>
      </c>
      <c r="C23" s="12">
        <v>18.899999999999999</v>
      </c>
      <c r="D23" s="26">
        <f>C23*B23</f>
        <v>154224</v>
      </c>
      <c r="E23" s="27"/>
      <c r="F23" s="115"/>
      <c r="G23" s="131"/>
      <c r="I23" s="16"/>
      <c r="J23" s="16"/>
      <c r="K23" s="16"/>
      <c r="L23" s="107"/>
    </row>
    <row r="24" spans="1:12" ht="15.5" thickTop="1" thickBot="1" x14ac:dyDescent="0.4">
      <c r="A24" s="125"/>
      <c r="B24" s="31">
        <f>SUM(B23:B23)</f>
        <v>8160</v>
      </c>
      <c r="C24" s="15"/>
      <c r="D24" s="32">
        <f>SUM(D23:D23)</f>
        <v>154224</v>
      </c>
      <c r="E24" s="32">
        <f>TRUNC(D24/100,2)</f>
        <v>1542.24</v>
      </c>
      <c r="F24" s="116"/>
      <c r="G24" s="132"/>
    </row>
    <row r="25" spans="1:12" ht="15.75" customHeight="1" thickTop="1" x14ac:dyDescent="0.35">
      <c r="A25" s="124" t="s">
        <v>10</v>
      </c>
      <c r="B25" s="10" t="s">
        <v>0</v>
      </c>
      <c r="C25" s="7" t="s">
        <v>1</v>
      </c>
      <c r="D25" s="30" t="s">
        <v>11</v>
      </c>
      <c r="E25" s="11" t="s">
        <v>2</v>
      </c>
      <c r="F25" s="37"/>
      <c r="G25" s="38"/>
      <c r="H25" s="4"/>
      <c r="I25" s="3"/>
      <c r="J25" s="3"/>
      <c r="K25" s="3"/>
    </row>
    <row r="26" spans="1:12" x14ac:dyDescent="0.35">
      <c r="A26" s="124"/>
      <c r="B26" s="23">
        <f>IFERROR(VLOOKUP("eau aro 0,33l",'Quantité roxane'!$A$3:$B$82,2,FALSE),0)</f>
        <v>0</v>
      </c>
      <c r="C26" s="1">
        <v>0.33</v>
      </c>
      <c r="D26" s="24">
        <f>C26*B26</f>
        <v>0</v>
      </c>
      <c r="E26" s="22"/>
      <c r="F26" s="114" t="s">
        <v>3</v>
      </c>
      <c r="G26" s="139">
        <f>ROUND(E33*6.8133,2)</f>
        <v>88.3</v>
      </c>
      <c r="H26" s="33"/>
    </row>
    <row r="27" spans="1:12" x14ac:dyDescent="0.35">
      <c r="A27" s="124"/>
      <c r="B27" s="23">
        <f>IFERROR(VLOOKUP("eau aro 0,5l",'Quantité roxane'!$A$3:$B$82,2,FALSE),0)</f>
        <v>2592</v>
      </c>
      <c r="C27" s="1">
        <v>0.5</v>
      </c>
      <c r="D27" s="24">
        <f t="shared" ref="D27:D32" si="2">C27*B27</f>
        <v>1296</v>
      </c>
      <c r="E27" s="22"/>
      <c r="F27" s="115"/>
      <c r="G27" s="140"/>
      <c r="H27" s="33"/>
    </row>
    <row r="28" spans="1:12" x14ac:dyDescent="0.35">
      <c r="A28" s="124"/>
      <c r="B28" s="23">
        <f>IFERROR(VLOOKUP("eau aro 1l",'Quantité roxane'!$A$3:$B$82,2,FALSE),0)</f>
        <v>0</v>
      </c>
      <c r="C28" s="1">
        <v>1</v>
      </c>
      <c r="D28" s="24">
        <f t="shared" si="2"/>
        <v>0</v>
      </c>
      <c r="E28" s="22"/>
      <c r="F28" s="116"/>
      <c r="G28" s="141"/>
      <c r="H28" s="33"/>
    </row>
    <row r="29" spans="1:12" x14ac:dyDescent="0.35">
      <c r="A29" s="124"/>
      <c r="B29" s="23">
        <f>IFERROR(VLOOKUP("eau aro 1,25l",'Quantité roxane'!$A$3:$B$82,2,FALSE),0)</f>
        <v>0</v>
      </c>
      <c r="C29" s="1">
        <v>1.25</v>
      </c>
      <c r="D29" s="24">
        <f t="shared" si="2"/>
        <v>0</v>
      </c>
      <c r="E29" s="22"/>
      <c r="F29" s="39"/>
      <c r="G29" s="40"/>
      <c r="H29" s="4"/>
    </row>
    <row r="30" spans="1:12" x14ac:dyDescent="0.35">
      <c r="A30" s="124"/>
      <c r="B30" s="23">
        <f>IFERROR(VLOOKUP("eau aro 1,5l",'Quantité roxane'!$A$3:$B$82,2,FALSE),0)</f>
        <v>0</v>
      </c>
      <c r="C30" s="1">
        <v>1.5</v>
      </c>
      <c r="D30" s="24">
        <f t="shared" si="2"/>
        <v>0</v>
      </c>
      <c r="E30" s="22"/>
      <c r="F30" s="136" t="s">
        <v>4</v>
      </c>
      <c r="G30" s="133">
        <f>ROUND(E33*9.86,2)</f>
        <v>127.79</v>
      </c>
    </row>
    <row r="31" spans="1:12" x14ac:dyDescent="0.35">
      <c r="A31" s="124"/>
      <c r="B31" s="23">
        <f>IFERROR(VLOOKUP("eau aro 2l",'Quantité roxane'!$A$3:$B$82,2,FALSE),0)</f>
        <v>0</v>
      </c>
      <c r="C31" s="1">
        <v>2</v>
      </c>
      <c r="D31" s="24">
        <f t="shared" si="2"/>
        <v>0</v>
      </c>
      <c r="E31" s="22"/>
      <c r="F31" s="137"/>
      <c r="G31" s="134"/>
    </row>
    <row r="32" spans="1:12" ht="15" thickBot="1" x14ac:dyDescent="0.4">
      <c r="A32" s="124"/>
      <c r="B32" s="23">
        <f>IFERROR(VLOOKUP("eau aro 5l",'Quantité roxane'!$A$3:$B$82,2,FALSE),0)</f>
        <v>0</v>
      </c>
      <c r="C32" s="12">
        <v>5</v>
      </c>
      <c r="D32" s="26">
        <f t="shared" si="2"/>
        <v>0</v>
      </c>
      <c r="E32" s="27"/>
      <c r="F32" s="137"/>
      <c r="G32" s="134"/>
    </row>
    <row r="33" spans="1:7" ht="15" thickTop="1" x14ac:dyDescent="0.35">
      <c r="A33" s="126"/>
      <c r="B33" s="28">
        <f>SUM(B26:B32)</f>
        <v>2592</v>
      </c>
      <c r="C33" s="20"/>
      <c r="D33" s="25">
        <f>SUM(D26:D32)</f>
        <v>1296</v>
      </c>
      <c r="E33" s="41">
        <f t="shared" ref="E33" si="3">TRUNC(D33/100,2)</f>
        <v>12.96</v>
      </c>
      <c r="F33" s="138"/>
      <c r="G33" s="135"/>
    </row>
    <row r="34" spans="1:7" x14ac:dyDescent="0.35">
      <c r="B34" s="100"/>
      <c r="C34" s="21"/>
      <c r="F34" s="85" t="s">
        <v>19</v>
      </c>
      <c r="G34" s="86">
        <f>SUM(G30,G26)</f>
        <v>216.09</v>
      </c>
    </row>
    <row r="35" spans="1:7" ht="29" x14ac:dyDescent="0.35">
      <c r="A35" s="87" t="s">
        <v>53</v>
      </c>
      <c r="B35" s="19">
        <f>SUM(B10,B24,B33)+1</f>
        <v>73897</v>
      </c>
      <c r="C35" s="6"/>
      <c r="D35" s="24">
        <f>D10+D21+D24+D33</f>
        <v>1688984.4</v>
      </c>
      <c r="E35" s="24">
        <f>E10+E21+E24+E33</f>
        <v>16889.84</v>
      </c>
    </row>
    <row r="36" spans="1:7" x14ac:dyDescent="0.35">
      <c r="B36" s="5"/>
      <c r="C36" s="4"/>
    </row>
    <row r="37" spans="1:7" ht="29" x14ac:dyDescent="0.35">
      <c r="B37" s="5"/>
      <c r="C37" s="88" t="s">
        <v>56</v>
      </c>
      <c r="D37" s="89" t="s">
        <v>57</v>
      </c>
    </row>
    <row r="38" spans="1:7" x14ac:dyDescent="0.35">
      <c r="A38" s="14" t="s">
        <v>7</v>
      </c>
      <c r="B38" s="104">
        <f>G4+G26</f>
        <v>6153.4400000000005</v>
      </c>
      <c r="C38" s="103">
        <f xml:space="preserve"> SUMIF('Copie fichier roxane'!H2:H301,"Accise Belge",'Copie fichier roxane'!O2:O423)</f>
        <v>0</v>
      </c>
      <c r="D38" s="90" t="e">
        <f>(B38-C38)/C38</f>
        <v>#DIV/0!</v>
      </c>
      <c r="E38" s="101">
        <f>C38-B38</f>
        <v>-6153.4400000000005</v>
      </c>
    </row>
    <row r="39" spans="1:7" x14ac:dyDescent="0.35">
      <c r="A39" s="14" t="s">
        <v>5</v>
      </c>
      <c r="B39" s="104">
        <f>G7+G12+G22+G30</f>
        <v>153501.9</v>
      </c>
      <c r="C39" s="103">
        <f xml:space="preserve"> SUMIF('Copie fichier roxane'!H2:H301,"Cotisation Emballage",'Copie fichier roxane'!O2:O423)</f>
        <v>0</v>
      </c>
      <c r="D39" s="90" t="e">
        <f>(B39-C39)/C39</f>
        <v>#DIV/0!</v>
      </c>
      <c r="E39" s="101">
        <f t="shared" ref="E39:E40" si="4">C39-B39</f>
        <v>-153501.9</v>
      </c>
    </row>
    <row r="40" spans="1:7" x14ac:dyDescent="0.35">
      <c r="A40" s="14" t="s">
        <v>6</v>
      </c>
      <c r="B40" s="104">
        <f>SUM(B38:B39)</f>
        <v>159655.34</v>
      </c>
      <c r="C40" s="103">
        <f>SUM(C38:C39)</f>
        <v>0</v>
      </c>
      <c r="D40" s="90" t="e">
        <f>(B40-C40)/C40</f>
        <v>#DIV/0!</v>
      </c>
      <c r="E40" s="101">
        <f t="shared" si="4"/>
        <v>-159655.34</v>
      </c>
    </row>
    <row r="41" spans="1:7" x14ac:dyDescent="0.35">
      <c r="A41" s="14" t="s">
        <v>54</v>
      </c>
      <c r="B41" s="104">
        <f>12.5*D41</f>
        <v>950</v>
      </c>
      <c r="C41" t="s">
        <v>52</v>
      </c>
      <c r="D41">
        <f>(COUNT('Quantité roxane'!E3:E567)-'Quantité roxane'!I3)</f>
        <v>76</v>
      </c>
    </row>
    <row r="42" spans="1:7" x14ac:dyDescent="0.35">
      <c r="A42" s="14" t="s">
        <v>50</v>
      </c>
      <c r="B42" s="104">
        <f>SUM(B40:B41)</f>
        <v>160605.34</v>
      </c>
      <c r="C42" s="103">
        <f>C40+B41</f>
        <v>950</v>
      </c>
    </row>
    <row r="45" spans="1:7" ht="3" customHeight="1" x14ac:dyDescent="0.35"/>
    <row r="46" spans="1:7" ht="40.5" customHeight="1" x14ac:dyDescent="0.35"/>
  </sheetData>
  <mergeCells count="17">
    <mergeCell ref="A22:A24"/>
    <mergeCell ref="A25:A33"/>
    <mergeCell ref="F22:F24"/>
    <mergeCell ref="F12:F20"/>
    <mergeCell ref="G22:G24"/>
    <mergeCell ref="G30:G33"/>
    <mergeCell ref="F30:F33"/>
    <mergeCell ref="F26:F28"/>
    <mergeCell ref="G26:G28"/>
    <mergeCell ref="G12:G20"/>
    <mergeCell ref="A11:A21"/>
    <mergeCell ref="A1:G1"/>
    <mergeCell ref="F4:F6"/>
    <mergeCell ref="F7:F9"/>
    <mergeCell ref="G4:G6"/>
    <mergeCell ref="G7:G9"/>
    <mergeCell ref="A3:A10"/>
  </mergeCells>
  <conditionalFormatting sqref="D39:D40">
    <cfRule type="cellIs" dxfId="13" priority="2" operator="greaterThan">
      <formula>0.01</formula>
    </cfRule>
  </conditionalFormatting>
  <conditionalFormatting sqref="D38">
    <cfRule type="cellIs" dxfId="12" priority="1" operator="greaterThan">
      <formula>0.01</formula>
    </cfRule>
  </conditionalFormatting>
  <pageMargins left="0.19685039370078741" right="0.19685039370078741" top="0.19685039370078741" bottom="0.19685039370078741" header="0.19685039370078741" footer="0.31496062992125984"/>
  <pageSetup paperSize="9" orientation="portrait" r:id="rId1"/>
  <headerFooter>
    <oddHeader>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135"/>
  <sheetViews>
    <sheetView zoomScale="115" zoomScaleNormal="115" zoomScalePageLayoutView="115" workbookViewId="0">
      <selection activeCell="J18" sqref="J18"/>
    </sheetView>
  </sheetViews>
  <sheetFormatPr baseColWidth="10" defaultRowHeight="14.5" x14ac:dyDescent="0.35"/>
  <cols>
    <col min="1" max="1" width="7.7265625" bestFit="1" customWidth="1"/>
    <col min="2" max="2" width="9.1796875" bestFit="1" customWidth="1"/>
    <col min="3" max="3" width="6.54296875" customWidth="1"/>
    <col min="4" max="4" width="12.54296875" bestFit="1" customWidth="1"/>
    <col min="5" max="5" width="7.54296875" bestFit="1" customWidth="1"/>
    <col min="6" max="6" width="4.453125" bestFit="1" customWidth="1"/>
    <col min="7" max="7" width="5.7265625" hidden="1" customWidth="1"/>
    <col min="8" max="8" width="9.81640625" bestFit="1" customWidth="1"/>
    <col min="9" max="9" width="9.1796875" hidden="1" customWidth="1"/>
    <col min="10" max="10" width="10.54296875" bestFit="1" customWidth="1"/>
    <col min="11" max="11" width="9.81640625" hidden="1" customWidth="1"/>
    <col min="12" max="12" width="5.54296875" hidden="1" customWidth="1"/>
    <col min="13" max="13" width="10.81640625" bestFit="1" customWidth="1"/>
    <col min="14" max="14" width="12.54296875" bestFit="1" customWidth="1"/>
    <col min="15" max="15" width="10.54296875" hidden="1" customWidth="1"/>
    <col min="16" max="16" width="11.7265625" hidden="1" customWidth="1"/>
    <col min="17" max="17" width="5.54296875" hidden="1" customWidth="1"/>
    <col min="18" max="18" width="10.26953125" hidden="1" customWidth="1"/>
    <col min="19" max="19" width="12.54296875" bestFit="1" customWidth="1"/>
    <col min="20" max="20" width="11.54296875" bestFit="1" customWidth="1"/>
    <col min="21" max="21" width="11.81640625" bestFit="1" customWidth="1"/>
    <col min="22" max="22" width="9.54296875" customWidth="1"/>
    <col min="23" max="23" width="5.7265625" hidden="1" customWidth="1"/>
    <col min="24" max="24" width="10.54296875" bestFit="1" customWidth="1"/>
    <col min="25" max="25" width="8" hidden="1" customWidth="1"/>
    <col min="26" max="26" width="5" hidden="1" customWidth="1"/>
    <col min="27" max="27" width="9.54296875" customWidth="1"/>
    <col min="28" max="29" width="4.54296875" hidden="1" customWidth="1"/>
    <col min="30" max="30" width="12.54296875" bestFit="1" customWidth="1"/>
    <col min="31" max="31" width="9" bestFit="1" customWidth="1"/>
  </cols>
  <sheetData>
    <row r="1" spans="1:31" ht="30" customHeight="1" thickBot="1" x14ac:dyDescent="0.4">
      <c r="A1" s="56"/>
      <c r="B1" s="56"/>
      <c r="C1" s="56"/>
      <c r="D1" s="56"/>
      <c r="E1" s="56"/>
      <c r="F1" s="56"/>
      <c r="G1" s="154" t="s">
        <v>14</v>
      </c>
      <c r="H1" s="143"/>
      <c r="I1" s="143"/>
      <c r="J1" s="143"/>
      <c r="K1" s="143"/>
      <c r="L1" s="144"/>
      <c r="M1" s="155" t="s">
        <v>15</v>
      </c>
      <c r="N1" s="143"/>
      <c r="O1" s="143"/>
      <c r="P1" s="143"/>
      <c r="Q1" s="143"/>
      <c r="R1" s="143"/>
      <c r="S1" s="143"/>
      <c r="T1" s="143"/>
      <c r="U1" s="144"/>
      <c r="V1" s="68" t="s">
        <v>23</v>
      </c>
      <c r="W1" s="142" t="s">
        <v>16</v>
      </c>
      <c r="X1" s="143"/>
      <c r="Y1" s="143"/>
      <c r="Z1" s="143"/>
      <c r="AA1" s="143"/>
      <c r="AB1" s="143"/>
      <c r="AC1" s="144"/>
      <c r="AD1" s="80" t="s">
        <v>55</v>
      </c>
      <c r="AE1" s="80" t="s">
        <v>37</v>
      </c>
    </row>
    <row r="2" spans="1:31" ht="15" thickBot="1" x14ac:dyDescent="0.4">
      <c r="A2" s="65" t="s">
        <v>12</v>
      </c>
      <c r="B2" s="65" t="s">
        <v>18</v>
      </c>
      <c r="C2" s="65" t="s">
        <v>21</v>
      </c>
      <c r="D2" s="65" t="s">
        <v>19</v>
      </c>
      <c r="E2" s="59" t="s">
        <v>20</v>
      </c>
      <c r="F2" s="57"/>
      <c r="G2" s="10">
        <v>0.33</v>
      </c>
      <c r="H2" s="7">
        <v>0.5</v>
      </c>
      <c r="I2" s="7">
        <v>1</v>
      </c>
      <c r="J2" s="7">
        <v>1.5</v>
      </c>
      <c r="K2" s="7">
        <v>2</v>
      </c>
      <c r="L2" s="11">
        <v>5</v>
      </c>
      <c r="M2" s="54">
        <v>0.33</v>
      </c>
      <c r="N2" s="7">
        <v>0.5</v>
      </c>
      <c r="O2" s="7">
        <v>0.75</v>
      </c>
      <c r="P2" s="7">
        <v>1</v>
      </c>
      <c r="Q2" s="7">
        <v>1.1499999999999999</v>
      </c>
      <c r="R2" s="7">
        <v>1.25</v>
      </c>
      <c r="S2" s="7">
        <v>1.5</v>
      </c>
      <c r="T2" s="7">
        <v>2</v>
      </c>
      <c r="U2" s="11">
        <v>5</v>
      </c>
      <c r="V2" s="55">
        <v>18.899999999999999</v>
      </c>
      <c r="W2" s="54">
        <v>0.33</v>
      </c>
      <c r="X2" s="7">
        <v>0.5</v>
      </c>
      <c r="Y2" s="7">
        <v>1</v>
      </c>
      <c r="Z2" s="7">
        <v>1.1499999999999999</v>
      </c>
      <c r="AA2" s="7">
        <v>1.5</v>
      </c>
      <c r="AB2" s="7">
        <v>2</v>
      </c>
      <c r="AC2" s="7">
        <v>5</v>
      </c>
      <c r="AD2" s="81"/>
      <c r="AE2" s="81"/>
    </row>
    <row r="3" spans="1:31" x14ac:dyDescent="0.35">
      <c r="A3" s="43"/>
      <c r="B3" s="58"/>
      <c r="C3" s="79" t="e">
        <f>VLOOKUP(A3,'[1]Tableau Roxane'!$C$165:$D$251,2,FALSE)</f>
        <v>#N/A</v>
      </c>
      <c r="D3" s="60"/>
      <c r="E3" s="58" t="str">
        <f>IF(D3=SUM(G3:AC3),"OK","Erreur")</f>
        <v>OK</v>
      </c>
      <c r="F3" s="43">
        <v>1</v>
      </c>
      <c r="G3" s="47"/>
      <c r="H3" s="47"/>
      <c r="I3" s="47"/>
      <c r="J3" s="47"/>
      <c r="K3" s="47"/>
      <c r="L3" s="48"/>
      <c r="M3" s="64"/>
      <c r="N3" s="62"/>
      <c r="O3" s="62"/>
      <c r="P3" s="62"/>
      <c r="Q3" s="62"/>
      <c r="R3" s="70"/>
      <c r="S3" s="60"/>
      <c r="T3" s="60"/>
      <c r="U3" s="63"/>
      <c r="V3" s="51"/>
      <c r="W3" s="52"/>
      <c r="X3" s="47"/>
      <c r="Y3" s="47"/>
      <c r="Z3" s="47"/>
      <c r="AA3" s="47"/>
      <c r="AB3" s="50"/>
      <c r="AC3" s="50"/>
      <c r="AD3" s="53"/>
      <c r="AE3" s="82" t="str">
        <f>IF(D3=AD3,"OK","Erreur")</f>
        <v>OK</v>
      </c>
    </row>
    <row r="4" spans="1:31" x14ac:dyDescent="0.35">
      <c r="A4" s="42"/>
      <c r="B4" s="58"/>
      <c r="C4" s="58"/>
      <c r="D4" s="47"/>
      <c r="E4" s="58" t="str">
        <f t="shared" ref="E4:E110" si="0">IF(D4=SUM(G4:AC4),"OK","Erreur")</f>
        <v>OK</v>
      </c>
      <c r="F4" s="42">
        <v>2</v>
      </c>
      <c r="G4" s="47"/>
      <c r="H4" s="47"/>
      <c r="I4" s="47"/>
      <c r="J4" s="47"/>
      <c r="K4" s="47"/>
      <c r="L4" s="48"/>
      <c r="M4" s="64"/>
      <c r="N4" s="47"/>
      <c r="O4" s="62"/>
      <c r="P4" s="62"/>
      <c r="Q4" s="62"/>
      <c r="R4" s="62"/>
      <c r="S4" s="47"/>
      <c r="T4" s="62"/>
      <c r="U4" s="63"/>
      <c r="V4" s="51"/>
      <c r="W4" s="52"/>
      <c r="X4" s="47"/>
      <c r="Y4" s="47"/>
      <c r="Z4" s="47"/>
      <c r="AA4" s="47"/>
      <c r="AB4" s="50"/>
      <c r="AC4" s="50"/>
      <c r="AD4" s="53"/>
      <c r="AE4" s="82" t="str">
        <f t="shared" ref="AE4:AE109" si="1">IF(D4=AD4,"OK","Erreur")</f>
        <v>OK</v>
      </c>
    </row>
    <row r="5" spans="1:31" x14ac:dyDescent="0.35">
      <c r="A5" s="42"/>
      <c r="B5" s="58"/>
      <c r="C5" s="58"/>
      <c r="D5" s="60"/>
      <c r="E5" s="58" t="str">
        <f t="shared" si="0"/>
        <v>OK</v>
      </c>
      <c r="F5" s="43">
        <v>3</v>
      </c>
      <c r="G5" s="47"/>
      <c r="H5" s="47"/>
      <c r="I5" s="47"/>
      <c r="J5" s="47"/>
      <c r="K5" s="47"/>
      <c r="L5" s="48"/>
      <c r="M5" s="64"/>
      <c r="N5" s="70"/>
      <c r="O5" s="62"/>
      <c r="P5" s="62"/>
      <c r="Q5" s="62"/>
      <c r="R5" s="62"/>
      <c r="S5" s="60"/>
      <c r="T5" s="47"/>
      <c r="U5" s="63"/>
      <c r="V5" s="60"/>
      <c r="W5" s="52"/>
      <c r="X5" s="47"/>
      <c r="Y5" s="47"/>
      <c r="Z5" s="47"/>
      <c r="AA5" s="47"/>
      <c r="AB5" s="50"/>
      <c r="AC5" s="50"/>
      <c r="AD5" s="53"/>
      <c r="AE5" s="82" t="str">
        <f t="shared" si="1"/>
        <v>OK</v>
      </c>
    </row>
    <row r="6" spans="1:31" x14ac:dyDescent="0.35">
      <c r="A6" s="42"/>
      <c r="B6" s="58"/>
      <c r="C6" s="58"/>
      <c r="D6" s="47"/>
      <c r="E6" s="58" t="str">
        <f t="shared" si="0"/>
        <v>OK</v>
      </c>
      <c r="F6" s="42">
        <v>4</v>
      </c>
      <c r="G6" s="47"/>
      <c r="H6" s="47"/>
      <c r="I6" s="47"/>
      <c r="J6" s="47"/>
      <c r="K6" s="47"/>
      <c r="L6" s="48"/>
      <c r="M6" s="61"/>
      <c r="N6" s="47"/>
      <c r="O6" s="62"/>
      <c r="P6" s="62"/>
      <c r="Q6" s="62"/>
      <c r="R6" s="62"/>
      <c r="S6" s="47"/>
      <c r="T6" s="62"/>
      <c r="U6" s="63"/>
      <c r="V6" s="51"/>
      <c r="W6" s="52"/>
      <c r="X6" s="47"/>
      <c r="Y6" s="47"/>
      <c r="Z6" s="47"/>
      <c r="AA6" s="47"/>
      <c r="AB6" s="50"/>
      <c r="AC6" s="50"/>
      <c r="AD6" s="53"/>
      <c r="AE6" s="82" t="str">
        <f t="shared" si="1"/>
        <v>OK</v>
      </c>
    </row>
    <row r="7" spans="1:31" x14ac:dyDescent="0.35">
      <c r="A7" s="42"/>
      <c r="B7" s="58"/>
      <c r="C7" s="58"/>
      <c r="D7" s="60"/>
      <c r="E7" s="58" t="str">
        <f t="shared" si="0"/>
        <v>OK</v>
      </c>
      <c r="F7" s="43">
        <v>5</v>
      </c>
      <c r="G7" s="47"/>
      <c r="H7" s="47"/>
      <c r="I7" s="47"/>
      <c r="J7" s="47"/>
      <c r="K7" s="47"/>
      <c r="L7" s="48"/>
      <c r="M7" s="61"/>
      <c r="N7" s="70"/>
      <c r="O7" s="62"/>
      <c r="P7" s="62"/>
      <c r="Q7" s="62"/>
      <c r="R7" s="47"/>
      <c r="S7" s="60"/>
      <c r="T7" s="47"/>
      <c r="U7" s="63"/>
      <c r="V7" s="74"/>
      <c r="W7" s="49"/>
      <c r="X7" s="47"/>
      <c r="Y7" s="47"/>
      <c r="Z7" s="47"/>
      <c r="AA7" s="47"/>
      <c r="AB7" s="50"/>
      <c r="AC7" s="50"/>
      <c r="AD7" s="53"/>
      <c r="AE7" s="82" t="str">
        <f t="shared" si="1"/>
        <v>OK</v>
      </c>
    </row>
    <row r="8" spans="1:31" x14ac:dyDescent="0.35">
      <c r="A8" s="42"/>
      <c r="B8" s="58"/>
      <c r="C8" s="58"/>
      <c r="D8" s="47"/>
      <c r="E8" s="58" t="str">
        <f t="shared" si="0"/>
        <v>OK</v>
      </c>
      <c r="F8" s="42">
        <v>6</v>
      </c>
      <c r="G8" s="47"/>
      <c r="H8" s="47"/>
      <c r="I8" s="47"/>
      <c r="J8" s="47"/>
      <c r="K8" s="47"/>
      <c r="L8" s="48"/>
      <c r="M8" s="61"/>
      <c r="N8" s="62"/>
      <c r="O8" s="62"/>
      <c r="P8" s="62"/>
      <c r="Q8" s="62"/>
      <c r="R8" s="47"/>
      <c r="S8" s="47"/>
      <c r="T8" s="62"/>
      <c r="U8" s="62"/>
      <c r="V8" s="47"/>
      <c r="W8" s="49"/>
      <c r="X8" s="47"/>
      <c r="Y8" s="47"/>
      <c r="Z8" s="47"/>
      <c r="AA8" s="47"/>
      <c r="AB8" s="50"/>
      <c r="AC8" s="50"/>
      <c r="AD8" s="53"/>
      <c r="AE8" s="82" t="str">
        <f t="shared" si="1"/>
        <v>OK</v>
      </c>
    </row>
    <row r="9" spans="1:31" x14ac:dyDescent="0.35">
      <c r="A9" s="42"/>
      <c r="B9" s="58"/>
      <c r="C9" s="58"/>
      <c r="D9" s="60"/>
      <c r="E9" s="58" t="str">
        <f t="shared" si="0"/>
        <v>OK</v>
      </c>
      <c r="F9" s="43">
        <v>7</v>
      </c>
      <c r="G9" s="47"/>
      <c r="H9" s="47"/>
      <c r="I9" s="47"/>
      <c r="J9" s="47"/>
      <c r="K9" s="47"/>
      <c r="L9" s="48"/>
      <c r="M9" s="61"/>
      <c r="N9" s="60"/>
      <c r="O9" s="62"/>
      <c r="P9" s="62"/>
      <c r="Q9" s="62"/>
      <c r="R9" s="62"/>
      <c r="S9" s="47"/>
      <c r="T9" s="70"/>
      <c r="U9" s="63"/>
      <c r="V9" s="51"/>
      <c r="W9" s="49"/>
      <c r="X9" s="47"/>
      <c r="Y9" s="47"/>
      <c r="Z9" s="47"/>
      <c r="AA9" s="47"/>
      <c r="AB9" s="50"/>
      <c r="AC9" s="50"/>
      <c r="AD9" s="53"/>
      <c r="AE9" s="82" t="str">
        <f t="shared" si="1"/>
        <v>OK</v>
      </c>
    </row>
    <row r="10" spans="1:31" x14ac:dyDescent="0.35">
      <c r="A10" s="42"/>
      <c r="B10" s="58"/>
      <c r="C10" s="58"/>
      <c r="D10" s="47"/>
      <c r="E10" s="58" t="str">
        <f t="shared" si="0"/>
        <v>OK</v>
      </c>
      <c r="F10" s="42">
        <v>8</v>
      </c>
      <c r="G10" s="47"/>
      <c r="H10" s="47"/>
      <c r="I10" s="47"/>
      <c r="J10" s="47"/>
      <c r="K10" s="47"/>
      <c r="L10" s="48"/>
      <c r="M10" s="61"/>
      <c r="N10" s="62"/>
      <c r="O10" s="62"/>
      <c r="P10" s="62"/>
      <c r="Q10" s="62"/>
      <c r="R10" s="62"/>
      <c r="S10" s="47"/>
      <c r="T10" s="62"/>
      <c r="U10" s="63"/>
      <c r="V10" s="51"/>
      <c r="W10" s="49"/>
      <c r="X10" s="47"/>
      <c r="Y10" s="47"/>
      <c r="Z10" s="47"/>
      <c r="AA10" s="47"/>
      <c r="AB10" s="50"/>
      <c r="AC10" s="50"/>
      <c r="AD10" s="53"/>
      <c r="AE10" s="82" t="str">
        <f t="shared" si="1"/>
        <v>OK</v>
      </c>
    </row>
    <row r="11" spans="1:31" x14ac:dyDescent="0.35">
      <c r="A11" s="42"/>
      <c r="B11" s="58"/>
      <c r="C11" s="58"/>
      <c r="D11" s="60"/>
      <c r="E11" s="58" t="str">
        <f t="shared" si="0"/>
        <v>OK</v>
      </c>
      <c r="F11" s="43">
        <v>9</v>
      </c>
      <c r="G11" s="47"/>
      <c r="H11" s="47"/>
      <c r="I11" s="47"/>
      <c r="J11" s="47"/>
      <c r="K11" s="47"/>
      <c r="L11" s="48"/>
      <c r="M11" s="61"/>
      <c r="N11" s="60"/>
      <c r="O11" s="62"/>
      <c r="P11" s="62"/>
      <c r="Q11" s="62"/>
      <c r="R11" s="62"/>
      <c r="S11" s="47"/>
      <c r="T11" s="70"/>
      <c r="U11" s="63"/>
      <c r="V11" s="60"/>
      <c r="W11" s="49"/>
      <c r="X11" s="47"/>
      <c r="Y11" s="47"/>
      <c r="Z11" s="47"/>
      <c r="AA11" s="47"/>
      <c r="AB11" s="50"/>
      <c r="AC11" s="50"/>
      <c r="AD11" s="53"/>
      <c r="AE11" s="82" t="str">
        <f t="shared" si="1"/>
        <v>OK</v>
      </c>
    </row>
    <row r="12" spans="1:31" x14ac:dyDescent="0.35">
      <c r="A12" s="42"/>
      <c r="B12" s="58"/>
      <c r="C12" s="58"/>
      <c r="D12" s="47"/>
      <c r="E12" s="58" t="str">
        <f t="shared" si="0"/>
        <v>OK</v>
      </c>
      <c r="F12" s="42">
        <v>10</v>
      </c>
      <c r="G12" s="47"/>
      <c r="H12" s="47"/>
      <c r="I12" s="47"/>
      <c r="J12" s="47"/>
      <c r="K12" s="47"/>
      <c r="L12" s="48"/>
      <c r="M12" s="61"/>
      <c r="N12" s="47"/>
      <c r="O12" s="62"/>
      <c r="P12" s="62"/>
      <c r="Q12" s="62"/>
      <c r="R12" s="62"/>
      <c r="S12" s="47"/>
      <c r="T12" s="62"/>
      <c r="U12" s="48"/>
      <c r="V12" s="51"/>
      <c r="W12" s="49"/>
      <c r="X12" s="47"/>
      <c r="Y12" s="47"/>
      <c r="Z12" s="47"/>
      <c r="AA12" s="47"/>
      <c r="AB12" s="50"/>
      <c r="AC12" s="50"/>
      <c r="AD12" s="53"/>
      <c r="AE12" s="82" t="str">
        <f t="shared" si="1"/>
        <v>OK</v>
      </c>
    </row>
    <row r="13" spans="1:31" x14ac:dyDescent="0.35">
      <c r="A13" s="42"/>
      <c r="B13" s="58"/>
      <c r="C13" s="58"/>
      <c r="D13" s="60"/>
      <c r="E13" s="58" t="str">
        <f t="shared" si="0"/>
        <v>OK</v>
      </c>
      <c r="F13" s="43">
        <v>11</v>
      </c>
      <c r="G13" s="47"/>
      <c r="H13" s="47"/>
      <c r="I13" s="47"/>
      <c r="J13" s="47"/>
      <c r="K13" s="47"/>
      <c r="L13" s="48"/>
      <c r="M13" s="64"/>
      <c r="N13" s="62"/>
      <c r="O13" s="62"/>
      <c r="P13" s="62"/>
      <c r="Q13" s="62"/>
      <c r="R13" s="62"/>
      <c r="S13" s="47"/>
      <c r="T13" s="60"/>
      <c r="U13" s="48"/>
      <c r="V13" s="51"/>
      <c r="W13" s="52"/>
      <c r="X13" s="47"/>
      <c r="Y13" s="47"/>
      <c r="Z13" s="47"/>
      <c r="AA13" s="47"/>
      <c r="AB13" s="50"/>
      <c r="AC13" s="50"/>
      <c r="AD13" s="53"/>
      <c r="AE13" s="82" t="str">
        <f t="shared" si="1"/>
        <v>OK</v>
      </c>
    </row>
    <row r="14" spans="1:31" x14ac:dyDescent="0.35">
      <c r="A14" s="42"/>
      <c r="B14" s="58"/>
      <c r="C14" s="58"/>
      <c r="D14" s="47"/>
      <c r="E14" s="58" t="str">
        <f t="shared" si="0"/>
        <v>OK</v>
      </c>
      <c r="F14" s="42">
        <v>12</v>
      </c>
      <c r="G14" s="47"/>
      <c r="H14" s="47"/>
      <c r="I14" s="47"/>
      <c r="J14" s="47"/>
      <c r="K14" s="47"/>
      <c r="L14" s="48"/>
      <c r="M14" s="64"/>
      <c r="N14" s="62"/>
      <c r="O14" s="47"/>
      <c r="P14" s="62"/>
      <c r="Q14" s="62"/>
      <c r="R14" s="62"/>
      <c r="S14" s="47"/>
      <c r="T14" s="47"/>
      <c r="U14" s="63"/>
      <c r="V14" s="47"/>
      <c r="W14" s="52"/>
      <c r="X14" s="47"/>
      <c r="Y14" s="47"/>
      <c r="Z14" s="47"/>
      <c r="AA14" s="47"/>
      <c r="AB14" s="50"/>
      <c r="AC14" s="50"/>
      <c r="AD14" s="53"/>
      <c r="AE14" s="82" t="str">
        <f t="shared" si="1"/>
        <v>OK</v>
      </c>
    </row>
    <row r="15" spans="1:31" x14ac:dyDescent="0.35">
      <c r="A15" s="42"/>
      <c r="B15" s="58"/>
      <c r="C15" s="58"/>
      <c r="D15" s="60"/>
      <c r="E15" s="58" t="str">
        <f t="shared" si="0"/>
        <v>OK</v>
      </c>
      <c r="F15" s="43">
        <v>13</v>
      </c>
      <c r="G15" s="47"/>
      <c r="H15" s="47"/>
      <c r="I15" s="47"/>
      <c r="J15" s="47"/>
      <c r="K15" s="47"/>
      <c r="L15" s="48"/>
      <c r="M15" s="64"/>
      <c r="N15" s="70"/>
      <c r="O15" s="62"/>
      <c r="P15" s="62"/>
      <c r="Q15" s="62"/>
      <c r="R15" s="62"/>
      <c r="S15" s="70"/>
      <c r="T15" s="47"/>
      <c r="U15" s="48"/>
      <c r="V15" s="51"/>
      <c r="W15" s="52"/>
      <c r="X15" s="47"/>
      <c r="Y15" s="47"/>
      <c r="Z15" s="47"/>
      <c r="AA15" s="47"/>
      <c r="AB15" s="50"/>
      <c r="AC15" s="50"/>
      <c r="AD15" s="53"/>
      <c r="AE15" s="82" t="str">
        <f t="shared" si="1"/>
        <v>OK</v>
      </c>
    </row>
    <row r="16" spans="1:31" x14ac:dyDescent="0.35">
      <c r="A16" s="42"/>
      <c r="B16" s="58"/>
      <c r="C16" s="58"/>
      <c r="D16" s="47"/>
      <c r="E16" s="58" t="str">
        <f t="shared" si="0"/>
        <v>OK</v>
      </c>
      <c r="F16" s="42">
        <v>14</v>
      </c>
      <c r="G16" s="47"/>
      <c r="H16" s="47"/>
      <c r="I16" s="47"/>
      <c r="J16" s="47"/>
      <c r="K16" s="47"/>
      <c r="L16" s="48"/>
      <c r="M16" s="52"/>
      <c r="N16" s="47"/>
      <c r="O16" s="62"/>
      <c r="P16" s="62"/>
      <c r="Q16" s="62"/>
      <c r="R16" s="62"/>
      <c r="S16" s="62"/>
      <c r="T16" s="47"/>
      <c r="U16" s="48"/>
      <c r="V16" s="51"/>
      <c r="W16" s="52"/>
      <c r="X16" s="47"/>
      <c r="Y16" s="47"/>
      <c r="Z16" s="47"/>
      <c r="AA16" s="47"/>
      <c r="AB16" s="50"/>
      <c r="AC16" s="50"/>
      <c r="AD16" s="53"/>
      <c r="AE16" s="82" t="str">
        <f t="shared" si="1"/>
        <v>OK</v>
      </c>
    </row>
    <row r="17" spans="1:31" x14ac:dyDescent="0.35">
      <c r="A17" s="42"/>
      <c r="B17" s="58"/>
      <c r="C17" s="58"/>
      <c r="D17" s="60"/>
      <c r="E17" s="58" t="str">
        <f t="shared" si="0"/>
        <v>OK</v>
      </c>
      <c r="F17" s="43">
        <v>15</v>
      </c>
      <c r="G17" s="47"/>
      <c r="H17" s="47"/>
      <c r="I17" s="47"/>
      <c r="J17" s="47"/>
      <c r="K17" s="47"/>
      <c r="L17" s="48"/>
      <c r="M17" s="70"/>
      <c r="N17" s="70"/>
      <c r="O17" s="62"/>
      <c r="P17" s="62"/>
      <c r="Q17" s="62"/>
      <c r="R17" s="62"/>
      <c r="S17" s="47"/>
      <c r="T17" s="60"/>
      <c r="U17" s="70"/>
      <c r="V17" s="51"/>
      <c r="W17" s="52"/>
      <c r="X17" s="47"/>
      <c r="Y17" s="47"/>
      <c r="Z17" s="47"/>
      <c r="AA17" s="47"/>
      <c r="AB17" s="50"/>
      <c r="AC17" s="50"/>
      <c r="AD17" s="53"/>
      <c r="AE17" s="82" t="str">
        <f t="shared" si="1"/>
        <v>OK</v>
      </c>
    </row>
    <row r="18" spans="1:31" x14ac:dyDescent="0.35">
      <c r="A18" s="42"/>
      <c r="B18" s="58"/>
      <c r="C18" s="58"/>
      <c r="D18" s="47"/>
      <c r="E18" s="58" t="str">
        <f t="shared" si="0"/>
        <v>OK</v>
      </c>
      <c r="F18" s="42">
        <v>16</v>
      </c>
      <c r="G18" s="47"/>
      <c r="H18" s="47"/>
      <c r="I18" s="47"/>
      <c r="J18" s="47"/>
      <c r="K18" s="47"/>
      <c r="L18" s="48"/>
      <c r="M18" s="61"/>
      <c r="N18" s="47"/>
      <c r="O18" s="62"/>
      <c r="P18" s="62"/>
      <c r="Q18" s="62"/>
      <c r="R18" s="62"/>
      <c r="S18" s="62"/>
      <c r="T18" s="47"/>
      <c r="U18" s="63"/>
      <c r="V18" s="47"/>
      <c r="W18" s="52"/>
      <c r="X18" s="47"/>
      <c r="Y18" s="47"/>
      <c r="Z18" s="47"/>
      <c r="AA18" s="47"/>
      <c r="AB18" s="50"/>
      <c r="AC18" s="50"/>
      <c r="AD18" s="53"/>
      <c r="AE18" s="82" t="str">
        <f t="shared" si="1"/>
        <v>OK</v>
      </c>
    </row>
    <row r="19" spans="1:31" x14ac:dyDescent="0.35">
      <c r="A19" s="42"/>
      <c r="B19" s="58"/>
      <c r="C19" s="58"/>
      <c r="D19" s="60"/>
      <c r="E19" s="58" t="str">
        <f t="shared" si="0"/>
        <v>OK</v>
      </c>
      <c r="F19" s="43">
        <v>17</v>
      </c>
      <c r="G19" s="47"/>
      <c r="H19" s="47"/>
      <c r="I19" s="47"/>
      <c r="J19" s="47"/>
      <c r="K19" s="47"/>
      <c r="L19" s="48"/>
      <c r="M19" s="61"/>
      <c r="N19" s="47"/>
      <c r="O19" s="62"/>
      <c r="P19" s="62"/>
      <c r="Q19" s="62"/>
      <c r="R19" s="62"/>
      <c r="S19" s="62"/>
      <c r="T19" s="60"/>
      <c r="U19" s="70"/>
      <c r="V19" s="51"/>
      <c r="W19" s="49"/>
      <c r="X19" s="47"/>
      <c r="Y19" s="47"/>
      <c r="Z19" s="47"/>
      <c r="AA19" s="47"/>
      <c r="AB19" s="50"/>
      <c r="AC19" s="50"/>
      <c r="AD19" s="53"/>
      <c r="AE19" s="82" t="str">
        <f t="shared" si="1"/>
        <v>OK</v>
      </c>
    </row>
    <row r="20" spans="1:31" x14ac:dyDescent="0.35">
      <c r="A20" s="42"/>
      <c r="B20" s="58"/>
      <c r="C20" s="58"/>
      <c r="D20" s="47"/>
      <c r="E20" s="58" t="str">
        <f t="shared" si="0"/>
        <v>OK</v>
      </c>
      <c r="F20" s="42">
        <v>18</v>
      </c>
      <c r="G20" s="47"/>
      <c r="H20" s="47"/>
      <c r="I20" s="47"/>
      <c r="J20" s="47"/>
      <c r="K20" s="47"/>
      <c r="L20" s="48"/>
      <c r="M20" s="64"/>
      <c r="N20" s="62"/>
      <c r="O20" s="62"/>
      <c r="P20" s="62"/>
      <c r="Q20" s="62"/>
      <c r="R20" s="62"/>
      <c r="S20" s="47"/>
      <c r="T20" s="47"/>
      <c r="U20" s="63"/>
      <c r="V20" s="51"/>
      <c r="W20" s="52"/>
      <c r="X20" s="47"/>
      <c r="Y20" s="47"/>
      <c r="Z20" s="47"/>
      <c r="AA20" s="47"/>
      <c r="AB20" s="50"/>
      <c r="AC20" s="50"/>
      <c r="AD20" s="53"/>
      <c r="AE20" s="82" t="str">
        <f t="shared" si="1"/>
        <v>OK</v>
      </c>
    </row>
    <row r="21" spans="1:31" x14ac:dyDescent="0.35">
      <c r="A21" s="42"/>
      <c r="B21" s="58"/>
      <c r="C21" s="58"/>
      <c r="D21" s="60"/>
      <c r="E21" s="58" t="str">
        <f t="shared" si="0"/>
        <v>OK</v>
      </c>
      <c r="F21" s="43">
        <v>19</v>
      </c>
      <c r="G21" s="47"/>
      <c r="H21" s="47"/>
      <c r="I21" s="47"/>
      <c r="J21" s="47"/>
      <c r="K21" s="47"/>
      <c r="L21" s="48"/>
      <c r="M21" s="64"/>
      <c r="N21" s="60"/>
      <c r="O21" s="62"/>
      <c r="P21" s="62"/>
      <c r="Q21" s="62"/>
      <c r="R21" s="62"/>
      <c r="S21" s="60"/>
      <c r="T21" s="62"/>
      <c r="U21" s="63"/>
      <c r="V21" s="51"/>
      <c r="W21" s="52"/>
      <c r="X21" s="47"/>
      <c r="Y21" s="47"/>
      <c r="Z21" s="47"/>
      <c r="AA21" s="47"/>
      <c r="AB21" s="50"/>
      <c r="AC21" s="50"/>
      <c r="AD21" s="53"/>
      <c r="AE21" s="82" t="str">
        <f t="shared" si="1"/>
        <v>OK</v>
      </c>
    </row>
    <row r="22" spans="1:31" x14ac:dyDescent="0.35">
      <c r="A22" s="42"/>
      <c r="B22" s="58"/>
      <c r="C22" s="58"/>
      <c r="D22" s="47"/>
      <c r="E22" s="58" t="str">
        <f t="shared" si="0"/>
        <v>OK</v>
      </c>
      <c r="F22" s="42">
        <v>20</v>
      </c>
      <c r="G22" s="47"/>
      <c r="H22" s="47"/>
      <c r="I22" s="47"/>
      <c r="J22" s="47"/>
      <c r="K22" s="47"/>
      <c r="L22" s="48"/>
      <c r="M22" s="47"/>
      <c r="N22" s="62"/>
      <c r="O22" s="62"/>
      <c r="P22" s="62"/>
      <c r="Q22" s="62"/>
      <c r="R22" s="62"/>
      <c r="S22" s="47"/>
      <c r="T22" s="47"/>
      <c r="U22" s="63"/>
      <c r="V22" s="51"/>
      <c r="W22" s="52"/>
      <c r="X22" s="47"/>
      <c r="Y22" s="47"/>
      <c r="Z22" s="47"/>
      <c r="AA22" s="47"/>
      <c r="AB22" s="50"/>
      <c r="AC22" s="50"/>
      <c r="AD22" s="53"/>
      <c r="AE22" s="82" t="str">
        <f t="shared" si="1"/>
        <v>OK</v>
      </c>
    </row>
    <row r="23" spans="1:31" x14ac:dyDescent="0.35">
      <c r="A23" s="42"/>
      <c r="B23" s="58"/>
      <c r="C23" s="58"/>
      <c r="D23" s="60"/>
      <c r="E23" s="58" t="str">
        <f t="shared" si="0"/>
        <v>OK</v>
      </c>
      <c r="F23" s="43">
        <v>21</v>
      </c>
      <c r="G23" s="47"/>
      <c r="H23" s="47"/>
      <c r="I23" s="47"/>
      <c r="J23" s="47"/>
      <c r="K23" s="47"/>
      <c r="L23" s="48"/>
      <c r="M23" s="64"/>
      <c r="N23" s="47"/>
      <c r="O23" s="62"/>
      <c r="P23" s="62"/>
      <c r="Q23" s="62"/>
      <c r="R23" s="62"/>
      <c r="S23" s="60"/>
      <c r="T23" s="70"/>
      <c r="U23" s="63"/>
      <c r="V23" s="51"/>
      <c r="W23" s="52"/>
      <c r="X23" s="47"/>
      <c r="Y23" s="47"/>
      <c r="Z23" s="47"/>
      <c r="AA23" s="47"/>
      <c r="AB23" s="50"/>
      <c r="AC23" s="50"/>
      <c r="AD23" s="53"/>
      <c r="AE23" s="82" t="str">
        <f t="shared" si="1"/>
        <v>OK</v>
      </c>
    </row>
    <row r="24" spans="1:31" x14ac:dyDescent="0.35">
      <c r="A24" s="42"/>
      <c r="B24" s="58"/>
      <c r="C24" s="58"/>
      <c r="D24" s="47"/>
      <c r="E24" s="58" t="str">
        <f t="shared" si="0"/>
        <v>OK</v>
      </c>
      <c r="F24" s="42">
        <v>22</v>
      </c>
      <c r="G24" s="47"/>
      <c r="H24" s="47"/>
      <c r="I24" s="47"/>
      <c r="J24" s="47"/>
      <c r="K24" s="47"/>
      <c r="L24" s="48"/>
      <c r="M24" s="64"/>
      <c r="N24" s="62"/>
      <c r="O24" s="62"/>
      <c r="P24" s="62"/>
      <c r="Q24" s="62"/>
      <c r="R24" s="62"/>
      <c r="S24" s="62"/>
      <c r="T24" s="47"/>
      <c r="U24" s="63"/>
      <c r="V24" s="51"/>
      <c r="W24" s="52"/>
      <c r="X24" s="47"/>
      <c r="Y24" s="47"/>
      <c r="Z24" s="47"/>
      <c r="AA24" s="47"/>
      <c r="AB24" s="50"/>
      <c r="AC24" s="50"/>
      <c r="AD24" s="53"/>
      <c r="AE24" s="82" t="str">
        <f t="shared" si="1"/>
        <v>OK</v>
      </c>
    </row>
    <row r="25" spans="1:31" x14ac:dyDescent="0.35">
      <c r="A25" s="42"/>
      <c r="B25" s="58"/>
      <c r="C25" s="58"/>
      <c r="D25" s="60"/>
      <c r="E25" s="58" t="str">
        <f t="shared" si="0"/>
        <v>OK</v>
      </c>
      <c r="F25" s="43">
        <v>23</v>
      </c>
      <c r="G25" s="47"/>
      <c r="H25" s="47"/>
      <c r="I25" s="47"/>
      <c r="J25" s="47"/>
      <c r="K25" s="47"/>
      <c r="L25" s="48"/>
      <c r="M25" s="64"/>
      <c r="N25" s="70"/>
      <c r="O25" s="62"/>
      <c r="P25" s="62"/>
      <c r="Q25" s="62"/>
      <c r="R25" s="62"/>
      <c r="S25" s="47"/>
      <c r="T25" s="60"/>
      <c r="U25" s="63"/>
      <c r="V25" s="60"/>
      <c r="W25" s="52"/>
      <c r="X25" s="47"/>
      <c r="Y25" s="47"/>
      <c r="Z25" s="47"/>
      <c r="AA25" s="47"/>
      <c r="AB25" s="50"/>
      <c r="AC25" s="50"/>
      <c r="AD25" s="53"/>
      <c r="AE25" s="82" t="str">
        <f t="shared" si="1"/>
        <v>OK</v>
      </c>
    </row>
    <row r="26" spans="1:31" x14ac:dyDescent="0.35">
      <c r="A26" s="42"/>
      <c r="B26" s="58"/>
      <c r="C26" s="58"/>
      <c r="D26" s="47"/>
      <c r="E26" s="58" t="str">
        <f t="shared" si="0"/>
        <v>OK</v>
      </c>
      <c r="F26" s="42">
        <v>24</v>
      </c>
      <c r="G26" s="47"/>
      <c r="H26" s="47"/>
      <c r="I26" s="47"/>
      <c r="J26" s="47"/>
      <c r="K26" s="47"/>
      <c r="L26" s="48"/>
      <c r="M26" s="64"/>
      <c r="N26" s="62"/>
      <c r="O26" s="62"/>
      <c r="P26" s="62"/>
      <c r="Q26" s="62"/>
      <c r="R26" s="62"/>
      <c r="S26" s="47"/>
      <c r="T26" s="47"/>
      <c r="U26" s="63"/>
      <c r="V26" s="47"/>
      <c r="W26" s="52"/>
      <c r="X26" s="47"/>
      <c r="Y26" s="47"/>
      <c r="Z26" s="47"/>
      <c r="AA26" s="47"/>
      <c r="AB26" s="50"/>
      <c r="AC26" s="50"/>
      <c r="AD26" s="53"/>
      <c r="AE26" s="82" t="str">
        <f t="shared" si="1"/>
        <v>OK</v>
      </c>
    </row>
    <row r="27" spans="1:31" x14ac:dyDescent="0.35">
      <c r="A27" s="42"/>
      <c r="B27" s="58"/>
      <c r="C27" s="58"/>
      <c r="D27" s="60"/>
      <c r="E27" s="58" t="str">
        <f t="shared" si="0"/>
        <v>OK</v>
      </c>
      <c r="F27" s="43">
        <v>25</v>
      </c>
      <c r="G27" s="47"/>
      <c r="H27" s="47"/>
      <c r="I27" s="47"/>
      <c r="J27" s="47"/>
      <c r="K27" s="47"/>
      <c r="L27" s="48"/>
      <c r="M27" s="70"/>
      <c r="N27" s="62"/>
      <c r="O27" s="62"/>
      <c r="P27" s="62"/>
      <c r="Q27" s="62"/>
      <c r="R27" s="62"/>
      <c r="S27" s="60"/>
      <c r="T27" s="60"/>
      <c r="U27" s="63"/>
      <c r="V27" s="60"/>
      <c r="W27" s="52"/>
      <c r="X27" s="47"/>
      <c r="Y27" s="47"/>
      <c r="Z27" s="47"/>
      <c r="AA27" s="47"/>
      <c r="AB27" s="50"/>
      <c r="AC27" s="50"/>
      <c r="AD27" s="53"/>
      <c r="AE27" s="82" t="str">
        <f t="shared" si="1"/>
        <v>OK</v>
      </c>
    </row>
    <row r="28" spans="1:31" x14ac:dyDescent="0.35">
      <c r="A28" s="42"/>
      <c r="B28" s="58"/>
      <c r="C28" s="58"/>
      <c r="D28" s="47"/>
      <c r="E28" s="58" t="str">
        <f t="shared" si="0"/>
        <v>OK</v>
      </c>
      <c r="F28" s="42">
        <v>26</v>
      </c>
      <c r="G28" s="47"/>
      <c r="H28" s="47"/>
      <c r="I28" s="47"/>
      <c r="J28" s="47"/>
      <c r="K28" s="47"/>
      <c r="L28" s="48"/>
      <c r="M28" s="64"/>
      <c r="N28" s="47"/>
      <c r="O28" s="62"/>
      <c r="P28" s="62"/>
      <c r="Q28" s="62"/>
      <c r="R28" s="62"/>
      <c r="S28" s="62"/>
      <c r="T28" s="47"/>
      <c r="U28" s="62"/>
      <c r="V28" s="51"/>
      <c r="W28" s="52"/>
      <c r="X28" s="47"/>
      <c r="Y28" s="47"/>
      <c r="Z28" s="47"/>
      <c r="AA28" s="47"/>
      <c r="AB28" s="50"/>
      <c r="AC28" s="50"/>
      <c r="AD28" s="53"/>
      <c r="AE28" s="82" t="str">
        <f t="shared" si="1"/>
        <v>OK</v>
      </c>
    </row>
    <row r="29" spans="1:31" x14ac:dyDescent="0.35">
      <c r="A29" s="42"/>
      <c r="B29" s="58"/>
      <c r="C29" s="58"/>
      <c r="D29" s="60"/>
      <c r="E29" s="58" t="str">
        <f t="shared" si="0"/>
        <v>OK</v>
      </c>
      <c r="F29" s="43">
        <v>27</v>
      </c>
      <c r="G29" s="47"/>
      <c r="H29" s="47"/>
      <c r="I29" s="47"/>
      <c r="J29" s="47"/>
      <c r="K29" s="47"/>
      <c r="L29" s="48"/>
      <c r="M29" s="64"/>
      <c r="N29" s="62"/>
      <c r="O29" s="62"/>
      <c r="P29" s="62"/>
      <c r="Q29" s="62"/>
      <c r="R29" s="62"/>
      <c r="S29" s="70"/>
      <c r="T29" s="60"/>
      <c r="U29" s="63"/>
      <c r="V29" s="51"/>
      <c r="W29" s="52"/>
      <c r="X29" s="47"/>
      <c r="Y29" s="47"/>
      <c r="Z29" s="47"/>
      <c r="AA29" s="47"/>
      <c r="AB29" s="50"/>
      <c r="AC29" s="50"/>
      <c r="AD29" s="53"/>
      <c r="AE29" s="82" t="str">
        <f t="shared" si="1"/>
        <v>OK</v>
      </c>
    </row>
    <row r="30" spans="1:31" x14ac:dyDescent="0.35">
      <c r="A30" s="42"/>
      <c r="B30" s="58"/>
      <c r="C30" s="58"/>
      <c r="D30" s="47"/>
      <c r="E30" s="58" t="str">
        <f t="shared" si="0"/>
        <v>OK</v>
      </c>
      <c r="F30" s="42">
        <v>28</v>
      </c>
      <c r="G30" s="47"/>
      <c r="H30" s="47"/>
      <c r="I30" s="47"/>
      <c r="J30" s="47"/>
      <c r="K30" s="47"/>
      <c r="L30" s="48"/>
      <c r="M30" s="64"/>
      <c r="N30" s="47"/>
      <c r="O30" s="62"/>
      <c r="P30" s="62"/>
      <c r="Q30" s="62"/>
      <c r="R30" s="62"/>
      <c r="S30" s="62"/>
      <c r="T30" s="62"/>
      <c r="U30" s="63"/>
      <c r="V30" s="51"/>
      <c r="W30" s="52"/>
      <c r="X30" s="47"/>
      <c r="Y30" s="47"/>
      <c r="Z30" s="47"/>
      <c r="AA30" s="47"/>
      <c r="AB30" s="50"/>
      <c r="AC30" s="50"/>
      <c r="AD30" s="53"/>
      <c r="AE30" s="82" t="str">
        <f t="shared" si="1"/>
        <v>OK</v>
      </c>
    </row>
    <row r="31" spans="1:31" x14ac:dyDescent="0.35">
      <c r="A31" s="42"/>
      <c r="B31" s="58"/>
      <c r="C31" s="58"/>
      <c r="D31" s="60"/>
      <c r="E31" s="58" t="str">
        <f t="shared" si="0"/>
        <v>OK</v>
      </c>
      <c r="F31" s="43">
        <v>29</v>
      </c>
      <c r="G31" s="47"/>
      <c r="H31" s="47"/>
      <c r="I31" s="47"/>
      <c r="J31" s="47"/>
      <c r="K31" s="47"/>
      <c r="L31" s="48"/>
      <c r="M31" s="64"/>
      <c r="N31" s="70"/>
      <c r="O31" s="62"/>
      <c r="P31" s="62"/>
      <c r="Q31" s="62"/>
      <c r="R31" s="62"/>
      <c r="S31" s="47"/>
      <c r="T31" s="60"/>
      <c r="U31" s="63"/>
      <c r="V31" s="51"/>
      <c r="W31" s="52"/>
      <c r="X31" s="47"/>
      <c r="Y31" s="47"/>
      <c r="Z31" s="47"/>
      <c r="AA31" s="47"/>
      <c r="AB31" s="50"/>
      <c r="AC31" s="50"/>
      <c r="AD31" s="53"/>
      <c r="AE31" s="82" t="str">
        <f t="shared" si="1"/>
        <v>OK</v>
      </c>
    </row>
    <row r="32" spans="1:31" x14ac:dyDescent="0.35">
      <c r="A32" s="42"/>
      <c r="B32" s="58"/>
      <c r="C32" s="58"/>
      <c r="D32" s="47"/>
      <c r="E32" s="58" t="str">
        <f t="shared" si="0"/>
        <v>OK</v>
      </c>
      <c r="F32" s="42">
        <v>30</v>
      </c>
      <c r="G32" s="47"/>
      <c r="H32" s="47"/>
      <c r="I32" s="47"/>
      <c r="J32" s="47"/>
      <c r="K32" s="47"/>
      <c r="L32" s="48"/>
      <c r="M32" s="64"/>
      <c r="N32" s="62"/>
      <c r="O32" s="62"/>
      <c r="P32" s="62"/>
      <c r="Q32" s="62"/>
      <c r="R32" s="62"/>
      <c r="S32" s="47"/>
      <c r="T32" s="47"/>
      <c r="U32" s="63"/>
      <c r="V32" s="51"/>
      <c r="W32" s="52"/>
      <c r="X32" s="47"/>
      <c r="Y32" s="47"/>
      <c r="Z32" s="47"/>
      <c r="AA32" s="47"/>
      <c r="AB32" s="50"/>
      <c r="AC32" s="50"/>
      <c r="AD32" s="53"/>
      <c r="AE32" s="82" t="str">
        <f t="shared" si="1"/>
        <v>OK</v>
      </c>
    </row>
    <row r="33" spans="1:31" x14ac:dyDescent="0.35">
      <c r="A33" s="42"/>
      <c r="B33" s="58"/>
      <c r="C33" s="58"/>
      <c r="D33" s="60"/>
      <c r="E33" s="58" t="str">
        <f t="shared" si="0"/>
        <v>OK</v>
      </c>
      <c r="F33" s="43">
        <v>31</v>
      </c>
      <c r="G33" s="47"/>
      <c r="H33" s="47"/>
      <c r="I33" s="47"/>
      <c r="J33" s="47"/>
      <c r="K33" s="47"/>
      <c r="L33" s="48"/>
      <c r="M33" s="64"/>
      <c r="N33" s="47"/>
      <c r="O33" s="62"/>
      <c r="P33" s="62"/>
      <c r="Q33" s="62"/>
      <c r="R33" s="62"/>
      <c r="S33" s="70"/>
      <c r="T33" s="70"/>
      <c r="U33" s="70"/>
      <c r="V33" s="60"/>
      <c r="W33" s="52"/>
      <c r="X33" s="47"/>
      <c r="Y33" s="47"/>
      <c r="Z33" s="47"/>
      <c r="AA33" s="47"/>
      <c r="AB33" s="50"/>
      <c r="AC33" s="50"/>
      <c r="AD33" s="53"/>
      <c r="AE33" s="82" t="str">
        <f t="shared" si="1"/>
        <v>OK</v>
      </c>
    </row>
    <row r="34" spans="1:31" x14ac:dyDescent="0.35">
      <c r="A34" s="42"/>
      <c r="B34" s="58"/>
      <c r="C34" s="58"/>
      <c r="D34" s="47"/>
      <c r="E34" s="58" t="str">
        <f t="shared" si="0"/>
        <v>OK</v>
      </c>
      <c r="F34" s="42">
        <v>32</v>
      </c>
      <c r="G34" s="47"/>
      <c r="H34" s="47"/>
      <c r="I34" s="47"/>
      <c r="J34" s="47"/>
      <c r="K34" s="47"/>
      <c r="L34" s="48"/>
      <c r="M34" s="64"/>
      <c r="N34" s="62"/>
      <c r="O34" s="62"/>
      <c r="P34" s="62"/>
      <c r="Q34" s="62"/>
      <c r="R34" s="62"/>
      <c r="S34" s="62"/>
      <c r="T34" s="47"/>
      <c r="U34" s="48"/>
      <c r="V34" s="47"/>
      <c r="W34" s="52"/>
      <c r="X34" s="47"/>
      <c r="Y34" s="47"/>
      <c r="Z34" s="47"/>
      <c r="AA34" s="47"/>
      <c r="AB34" s="50"/>
      <c r="AC34" s="50"/>
      <c r="AD34" s="53"/>
      <c r="AE34" s="82" t="str">
        <f t="shared" si="1"/>
        <v>OK</v>
      </c>
    </row>
    <row r="35" spans="1:31" x14ac:dyDescent="0.35">
      <c r="A35" s="42"/>
      <c r="B35" s="58"/>
      <c r="C35" s="58"/>
      <c r="D35" s="47"/>
      <c r="E35" s="58" t="str">
        <f t="shared" si="0"/>
        <v>OK</v>
      </c>
      <c r="F35" s="43">
        <v>33</v>
      </c>
      <c r="G35" s="47"/>
      <c r="H35" s="47"/>
      <c r="I35" s="47"/>
      <c r="J35" s="47"/>
      <c r="K35" s="47"/>
      <c r="L35" s="48"/>
      <c r="M35" s="64"/>
      <c r="N35" s="47"/>
      <c r="O35" s="62"/>
      <c r="P35" s="62"/>
      <c r="Q35" s="62"/>
      <c r="R35" s="62"/>
      <c r="S35" s="62"/>
      <c r="T35" s="47"/>
      <c r="U35" s="63"/>
      <c r="V35" s="60"/>
      <c r="W35" s="52"/>
      <c r="X35" s="47"/>
      <c r="Y35" s="47"/>
      <c r="Z35" s="47"/>
      <c r="AA35" s="47"/>
      <c r="AB35" s="50"/>
      <c r="AC35" s="50"/>
      <c r="AD35" s="53"/>
      <c r="AE35" s="82" t="str">
        <f t="shared" si="1"/>
        <v>OK</v>
      </c>
    </row>
    <row r="36" spans="1:31" x14ac:dyDescent="0.35">
      <c r="A36" s="42"/>
      <c r="B36" s="58"/>
      <c r="C36" s="58"/>
      <c r="D36" s="47"/>
      <c r="E36" s="58" t="str">
        <f t="shared" si="0"/>
        <v>OK</v>
      </c>
      <c r="F36" s="42">
        <v>34</v>
      </c>
      <c r="G36" s="47"/>
      <c r="H36" s="47"/>
      <c r="I36" s="47"/>
      <c r="J36" s="47"/>
      <c r="K36" s="47"/>
      <c r="L36" s="48"/>
      <c r="M36" s="64"/>
      <c r="N36" s="62"/>
      <c r="O36" s="62"/>
      <c r="P36" s="62"/>
      <c r="Q36" s="62"/>
      <c r="R36" s="62"/>
      <c r="S36" s="47"/>
      <c r="T36" s="47"/>
      <c r="U36" s="63"/>
      <c r="V36" s="51"/>
      <c r="W36" s="52"/>
      <c r="X36" s="47"/>
      <c r="Y36" s="47"/>
      <c r="Z36" s="47"/>
      <c r="AA36" s="47"/>
      <c r="AB36" s="50"/>
      <c r="AC36" s="50"/>
      <c r="AD36" s="53"/>
      <c r="AE36" s="82" t="str">
        <f t="shared" si="1"/>
        <v>OK</v>
      </c>
    </row>
    <row r="37" spans="1:31" x14ac:dyDescent="0.35">
      <c r="A37" s="42"/>
      <c r="B37" s="58"/>
      <c r="C37" s="58"/>
      <c r="D37" s="60"/>
      <c r="E37" s="58" t="str">
        <f t="shared" si="0"/>
        <v>OK</v>
      </c>
      <c r="F37" s="43">
        <v>35</v>
      </c>
      <c r="G37" s="47"/>
      <c r="H37" s="47"/>
      <c r="I37" s="47"/>
      <c r="J37" s="47"/>
      <c r="K37" s="47"/>
      <c r="L37" s="48"/>
      <c r="M37" s="64"/>
      <c r="N37" s="62"/>
      <c r="O37" s="62"/>
      <c r="P37" s="62"/>
      <c r="Q37" s="62"/>
      <c r="R37" s="62"/>
      <c r="S37" s="60"/>
      <c r="T37" s="60"/>
      <c r="U37" s="63"/>
      <c r="V37" s="51"/>
      <c r="W37" s="52"/>
      <c r="X37" s="47"/>
      <c r="Y37" s="47"/>
      <c r="Z37" s="47"/>
      <c r="AA37" s="47"/>
      <c r="AB37" s="50"/>
      <c r="AC37" s="50"/>
      <c r="AD37" s="53"/>
      <c r="AE37" s="82"/>
    </row>
    <row r="38" spans="1:31" x14ac:dyDescent="0.35">
      <c r="A38" s="42"/>
      <c r="B38" s="58"/>
      <c r="C38" s="58"/>
      <c r="D38" s="60"/>
      <c r="E38" s="58" t="str">
        <f t="shared" si="0"/>
        <v>OK</v>
      </c>
      <c r="F38" s="42">
        <v>36</v>
      </c>
      <c r="G38" s="47"/>
      <c r="H38" s="47"/>
      <c r="I38" s="47"/>
      <c r="J38" s="47"/>
      <c r="K38" s="47"/>
      <c r="L38" s="48"/>
      <c r="M38" s="64"/>
      <c r="N38" s="62"/>
      <c r="O38" s="62"/>
      <c r="P38" s="62"/>
      <c r="Q38" s="62"/>
      <c r="R38" s="62"/>
      <c r="S38" s="60"/>
      <c r="T38" s="60"/>
      <c r="U38" s="63"/>
      <c r="V38" s="51"/>
      <c r="W38" s="52"/>
      <c r="X38" s="47"/>
      <c r="Y38" s="47"/>
      <c r="Z38" s="47"/>
      <c r="AA38" s="47"/>
      <c r="AB38" s="50"/>
      <c r="AC38" s="50"/>
      <c r="AD38" s="53"/>
      <c r="AE38" s="82"/>
    </row>
    <row r="39" spans="1:31" x14ac:dyDescent="0.35">
      <c r="A39" s="42"/>
      <c r="B39" s="58"/>
      <c r="C39" s="58"/>
      <c r="D39" s="60"/>
      <c r="E39" s="58" t="str">
        <f t="shared" si="0"/>
        <v>OK</v>
      </c>
      <c r="F39" s="43">
        <v>37</v>
      </c>
      <c r="G39" s="47"/>
      <c r="H39" s="47"/>
      <c r="I39" s="47"/>
      <c r="J39" s="47"/>
      <c r="K39" s="47"/>
      <c r="L39" s="48"/>
      <c r="M39" s="64"/>
      <c r="N39" s="62"/>
      <c r="O39" s="62"/>
      <c r="P39" s="62"/>
      <c r="Q39" s="62"/>
      <c r="R39" s="62"/>
      <c r="S39" s="60"/>
      <c r="T39" s="60"/>
      <c r="U39" s="63"/>
      <c r="V39" s="51"/>
      <c r="W39" s="52"/>
      <c r="X39" s="47"/>
      <c r="Y39" s="47"/>
      <c r="Z39" s="47"/>
      <c r="AA39" s="47"/>
      <c r="AB39" s="50"/>
      <c r="AC39" s="50"/>
      <c r="AD39" s="53"/>
      <c r="AE39" s="82"/>
    </row>
    <row r="40" spans="1:31" x14ac:dyDescent="0.35">
      <c r="A40" s="42"/>
      <c r="B40" s="58"/>
      <c r="C40" s="58"/>
      <c r="D40" s="60"/>
      <c r="E40" s="58" t="str">
        <f t="shared" si="0"/>
        <v>OK</v>
      </c>
      <c r="F40" s="42">
        <v>38</v>
      </c>
      <c r="G40" s="47"/>
      <c r="H40" s="47"/>
      <c r="I40" s="47"/>
      <c r="J40" s="47"/>
      <c r="K40" s="47"/>
      <c r="L40" s="48"/>
      <c r="M40" s="64"/>
      <c r="N40" s="62"/>
      <c r="O40" s="62"/>
      <c r="P40" s="62"/>
      <c r="Q40" s="62"/>
      <c r="R40" s="62"/>
      <c r="S40" s="60"/>
      <c r="T40" s="60"/>
      <c r="U40" s="63"/>
      <c r="V40" s="51"/>
      <c r="W40" s="52"/>
      <c r="X40" s="47"/>
      <c r="Y40" s="47"/>
      <c r="Z40" s="47"/>
      <c r="AA40" s="47"/>
      <c r="AB40" s="50"/>
      <c r="AC40" s="50"/>
      <c r="AD40" s="53"/>
      <c r="AE40" s="82"/>
    </row>
    <row r="41" spans="1:31" x14ac:dyDescent="0.35">
      <c r="A41" s="42"/>
      <c r="B41" s="58"/>
      <c r="C41" s="58"/>
      <c r="D41" s="60"/>
      <c r="E41" s="58" t="str">
        <f t="shared" si="0"/>
        <v>OK</v>
      </c>
      <c r="F41" s="43">
        <v>39</v>
      </c>
      <c r="G41" s="47"/>
      <c r="H41" s="47"/>
      <c r="I41" s="47"/>
      <c r="J41" s="47"/>
      <c r="K41" s="47"/>
      <c r="L41" s="48"/>
      <c r="M41" s="64"/>
      <c r="N41" s="62"/>
      <c r="O41" s="62"/>
      <c r="P41" s="62"/>
      <c r="Q41" s="62"/>
      <c r="R41" s="62"/>
      <c r="S41" s="60"/>
      <c r="T41" s="60"/>
      <c r="U41" s="63"/>
      <c r="V41" s="51"/>
      <c r="W41" s="52"/>
      <c r="X41" s="47"/>
      <c r="Y41" s="47"/>
      <c r="Z41" s="47"/>
      <c r="AA41" s="47"/>
      <c r="AB41" s="50"/>
      <c r="AC41" s="50"/>
      <c r="AD41" s="53"/>
      <c r="AE41" s="82"/>
    </row>
    <row r="42" spans="1:31" x14ac:dyDescent="0.35">
      <c r="A42" s="42"/>
      <c r="B42" s="58"/>
      <c r="C42" s="58"/>
      <c r="D42" s="60"/>
      <c r="E42" s="58" t="str">
        <f t="shared" si="0"/>
        <v>OK</v>
      </c>
      <c r="F42" s="42">
        <v>40</v>
      </c>
      <c r="G42" s="47"/>
      <c r="H42" s="47"/>
      <c r="I42" s="47"/>
      <c r="J42" s="47"/>
      <c r="K42" s="47"/>
      <c r="L42" s="48"/>
      <c r="M42" s="64"/>
      <c r="N42" s="62"/>
      <c r="O42" s="62"/>
      <c r="P42" s="62"/>
      <c r="Q42" s="62"/>
      <c r="R42" s="62"/>
      <c r="S42" s="60"/>
      <c r="T42" s="60"/>
      <c r="U42" s="63"/>
      <c r="V42" s="51"/>
      <c r="W42" s="52"/>
      <c r="X42" s="47"/>
      <c r="Y42" s="47"/>
      <c r="Z42" s="47"/>
      <c r="AA42" s="47"/>
      <c r="AB42" s="50"/>
      <c r="AC42" s="50"/>
      <c r="AD42" s="53"/>
      <c r="AE42" s="82"/>
    </row>
    <row r="43" spans="1:31" x14ac:dyDescent="0.35">
      <c r="A43" s="42"/>
      <c r="B43" s="58"/>
      <c r="C43" s="58"/>
      <c r="D43" s="60"/>
      <c r="E43" s="58" t="str">
        <f t="shared" si="0"/>
        <v>OK</v>
      </c>
      <c r="F43" s="43">
        <v>41</v>
      </c>
      <c r="G43" s="47"/>
      <c r="H43" s="47"/>
      <c r="I43" s="47"/>
      <c r="J43" s="47"/>
      <c r="K43" s="47"/>
      <c r="L43" s="48"/>
      <c r="M43" s="64"/>
      <c r="N43" s="62"/>
      <c r="O43" s="62"/>
      <c r="P43" s="62"/>
      <c r="Q43" s="62"/>
      <c r="R43" s="62"/>
      <c r="S43" s="60"/>
      <c r="T43" s="60"/>
      <c r="U43" s="63"/>
      <c r="V43" s="51"/>
      <c r="W43" s="52"/>
      <c r="X43" s="47"/>
      <c r="Y43" s="47"/>
      <c r="Z43" s="47"/>
      <c r="AA43" s="47"/>
      <c r="AB43" s="50"/>
      <c r="AC43" s="50"/>
      <c r="AD43" s="53"/>
      <c r="AE43" s="82"/>
    </row>
    <row r="44" spans="1:31" x14ac:dyDescent="0.35">
      <c r="A44" s="42"/>
      <c r="B44" s="58"/>
      <c r="C44" s="58"/>
      <c r="D44" s="60"/>
      <c r="E44" s="58" t="str">
        <f t="shared" si="0"/>
        <v>OK</v>
      </c>
      <c r="F44" s="42">
        <v>42</v>
      </c>
      <c r="G44" s="47"/>
      <c r="H44" s="47"/>
      <c r="I44" s="47"/>
      <c r="J44" s="47"/>
      <c r="K44" s="47"/>
      <c r="L44" s="48"/>
      <c r="M44" s="64"/>
      <c r="N44" s="62"/>
      <c r="O44" s="62"/>
      <c r="P44" s="62"/>
      <c r="Q44" s="62"/>
      <c r="R44" s="62"/>
      <c r="S44" s="60"/>
      <c r="T44" s="60"/>
      <c r="U44" s="63"/>
      <c r="V44" s="51"/>
      <c r="W44" s="52"/>
      <c r="X44" s="47"/>
      <c r="Y44" s="47"/>
      <c r="Z44" s="47"/>
      <c r="AA44" s="47"/>
      <c r="AB44" s="50"/>
      <c r="AC44" s="50"/>
      <c r="AD44" s="53"/>
      <c r="AE44" s="82"/>
    </row>
    <row r="45" spans="1:31" x14ac:dyDescent="0.35">
      <c r="A45" s="42"/>
      <c r="B45" s="58"/>
      <c r="C45" s="58"/>
      <c r="D45" s="60"/>
      <c r="E45" s="58" t="str">
        <f t="shared" si="0"/>
        <v>OK</v>
      </c>
      <c r="F45" s="43">
        <v>43</v>
      </c>
      <c r="G45" s="47"/>
      <c r="H45" s="47"/>
      <c r="I45" s="47"/>
      <c r="J45" s="47"/>
      <c r="K45" s="47"/>
      <c r="L45" s="48"/>
      <c r="M45" s="64"/>
      <c r="N45" s="62"/>
      <c r="O45" s="62"/>
      <c r="P45" s="62"/>
      <c r="Q45" s="62"/>
      <c r="R45" s="62"/>
      <c r="S45" s="60"/>
      <c r="T45" s="60"/>
      <c r="U45" s="63"/>
      <c r="V45" s="51"/>
      <c r="W45" s="52"/>
      <c r="X45" s="47"/>
      <c r="Y45" s="47"/>
      <c r="Z45" s="47"/>
      <c r="AA45" s="47"/>
      <c r="AB45" s="50"/>
      <c r="AC45" s="50"/>
      <c r="AD45" s="53"/>
      <c r="AE45" s="82"/>
    </row>
    <row r="46" spans="1:31" x14ac:dyDescent="0.35">
      <c r="A46" s="42"/>
      <c r="B46" s="58"/>
      <c r="C46" s="58"/>
      <c r="D46" s="60"/>
      <c r="E46" s="58" t="str">
        <f t="shared" si="0"/>
        <v>OK</v>
      </c>
      <c r="F46" s="42">
        <v>44</v>
      </c>
      <c r="G46" s="47"/>
      <c r="H46" s="47"/>
      <c r="I46" s="47"/>
      <c r="J46" s="47"/>
      <c r="K46" s="47"/>
      <c r="L46" s="48"/>
      <c r="M46" s="64"/>
      <c r="N46" s="62"/>
      <c r="O46" s="62"/>
      <c r="P46" s="62"/>
      <c r="Q46" s="62"/>
      <c r="R46" s="62"/>
      <c r="S46" s="60"/>
      <c r="T46" s="60"/>
      <c r="U46" s="63"/>
      <c r="V46" s="51"/>
      <c r="W46" s="52"/>
      <c r="X46" s="47"/>
      <c r="Y46" s="47"/>
      <c r="Z46" s="47"/>
      <c r="AA46" s="47"/>
      <c r="AB46" s="50"/>
      <c r="AC46" s="50"/>
      <c r="AD46" s="53"/>
      <c r="AE46" s="82"/>
    </row>
    <row r="47" spans="1:31" x14ac:dyDescent="0.35">
      <c r="A47" s="42"/>
      <c r="B47" s="58"/>
      <c r="C47" s="58"/>
      <c r="D47" s="60"/>
      <c r="E47" s="58" t="str">
        <f t="shared" si="0"/>
        <v>OK</v>
      </c>
      <c r="F47" s="43">
        <v>45</v>
      </c>
      <c r="G47" s="47"/>
      <c r="H47" s="47"/>
      <c r="I47" s="47"/>
      <c r="J47" s="47"/>
      <c r="K47" s="47"/>
      <c r="L47" s="48"/>
      <c r="M47" s="64"/>
      <c r="N47" s="62"/>
      <c r="O47" s="62"/>
      <c r="P47" s="62"/>
      <c r="Q47" s="62"/>
      <c r="R47" s="62"/>
      <c r="S47" s="60"/>
      <c r="T47" s="60"/>
      <c r="U47" s="63"/>
      <c r="V47" s="51"/>
      <c r="W47" s="52"/>
      <c r="X47" s="47"/>
      <c r="Y47" s="47"/>
      <c r="Z47" s="47"/>
      <c r="AA47" s="47"/>
      <c r="AB47" s="50"/>
      <c r="AC47" s="50"/>
      <c r="AD47" s="53"/>
      <c r="AE47" s="82"/>
    </row>
    <row r="48" spans="1:31" x14ac:dyDescent="0.35">
      <c r="A48" s="42"/>
      <c r="B48" s="58"/>
      <c r="C48" s="58"/>
      <c r="D48" s="60"/>
      <c r="E48" s="58" t="str">
        <f t="shared" si="0"/>
        <v>OK</v>
      </c>
      <c r="F48" s="42">
        <v>46</v>
      </c>
      <c r="G48" s="47"/>
      <c r="H48" s="47"/>
      <c r="I48" s="47"/>
      <c r="J48" s="47"/>
      <c r="K48" s="47"/>
      <c r="L48" s="48"/>
      <c r="M48" s="64"/>
      <c r="N48" s="62"/>
      <c r="O48" s="62"/>
      <c r="P48" s="62"/>
      <c r="Q48" s="62"/>
      <c r="R48" s="62"/>
      <c r="S48" s="60"/>
      <c r="T48" s="60"/>
      <c r="U48" s="63"/>
      <c r="V48" s="51"/>
      <c r="W48" s="52"/>
      <c r="X48" s="47"/>
      <c r="Y48" s="47"/>
      <c r="Z48" s="47"/>
      <c r="AA48" s="47"/>
      <c r="AB48" s="50"/>
      <c r="AC48" s="50"/>
      <c r="AD48" s="53"/>
      <c r="AE48" s="82"/>
    </row>
    <row r="49" spans="1:31" x14ac:dyDescent="0.35">
      <c r="A49" s="42"/>
      <c r="B49" s="58"/>
      <c r="C49" s="58"/>
      <c r="D49" s="60"/>
      <c r="E49" s="58" t="str">
        <f t="shared" si="0"/>
        <v>OK</v>
      </c>
      <c r="F49" s="43">
        <v>47</v>
      </c>
      <c r="G49" s="47"/>
      <c r="H49" s="47"/>
      <c r="I49" s="47"/>
      <c r="J49" s="47"/>
      <c r="K49" s="47"/>
      <c r="L49" s="48"/>
      <c r="M49" s="64"/>
      <c r="N49" s="62"/>
      <c r="O49" s="62"/>
      <c r="P49" s="62"/>
      <c r="Q49" s="62"/>
      <c r="R49" s="62"/>
      <c r="S49" s="60"/>
      <c r="T49" s="60"/>
      <c r="U49" s="63"/>
      <c r="V49" s="51"/>
      <c r="W49" s="52"/>
      <c r="X49" s="47"/>
      <c r="Y49" s="47"/>
      <c r="Z49" s="47"/>
      <c r="AA49" s="47"/>
      <c r="AB49" s="50"/>
      <c r="AC49" s="50"/>
      <c r="AD49" s="53"/>
      <c r="AE49" s="82"/>
    </row>
    <row r="50" spans="1:31" x14ac:dyDescent="0.35">
      <c r="A50" s="42"/>
      <c r="B50" s="58"/>
      <c r="C50" s="58"/>
      <c r="D50" s="60"/>
      <c r="E50" s="58" t="str">
        <f t="shared" si="0"/>
        <v>OK</v>
      </c>
      <c r="F50" s="42">
        <v>48</v>
      </c>
      <c r="G50" s="47"/>
      <c r="H50" s="47"/>
      <c r="I50" s="47"/>
      <c r="J50" s="47"/>
      <c r="K50" s="47"/>
      <c r="L50" s="48"/>
      <c r="M50" s="64"/>
      <c r="N50" s="62"/>
      <c r="O50" s="62"/>
      <c r="P50" s="62"/>
      <c r="Q50" s="62"/>
      <c r="R50" s="62"/>
      <c r="S50" s="60"/>
      <c r="T50" s="60"/>
      <c r="U50" s="63"/>
      <c r="V50" s="51"/>
      <c r="W50" s="52"/>
      <c r="X50" s="47"/>
      <c r="Y50" s="47"/>
      <c r="Z50" s="47"/>
      <c r="AA50" s="47"/>
      <c r="AB50" s="50"/>
      <c r="AC50" s="50"/>
      <c r="AD50" s="53"/>
      <c r="AE50" s="82"/>
    </row>
    <row r="51" spans="1:31" x14ac:dyDescent="0.35">
      <c r="A51" s="42"/>
      <c r="B51" s="58"/>
      <c r="C51" s="58"/>
      <c r="D51" s="60"/>
      <c r="E51" s="58" t="str">
        <f t="shared" si="0"/>
        <v>OK</v>
      </c>
      <c r="F51" s="43">
        <v>49</v>
      </c>
      <c r="G51" s="47"/>
      <c r="H51" s="47"/>
      <c r="I51" s="47"/>
      <c r="J51" s="47"/>
      <c r="K51" s="47"/>
      <c r="L51" s="48"/>
      <c r="M51" s="64"/>
      <c r="N51" s="62"/>
      <c r="O51" s="62"/>
      <c r="P51" s="62"/>
      <c r="Q51" s="62"/>
      <c r="R51" s="62"/>
      <c r="S51" s="60"/>
      <c r="T51" s="60"/>
      <c r="U51" s="63"/>
      <c r="V51" s="51"/>
      <c r="W51" s="52"/>
      <c r="X51" s="47"/>
      <c r="Y51" s="47"/>
      <c r="Z51" s="47"/>
      <c r="AA51" s="47"/>
      <c r="AB51" s="50"/>
      <c r="AC51" s="50"/>
      <c r="AD51" s="53"/>
      <c r="AE51" s="82"/>
    </row>
    <row r="52" spans="1:31" x14ac:dyDescent="0.35">
      <c r="A52" s="42"/>
      <c r="B52" s="58"/>
      <c r="C52" s="58"/>
      <c r="D52" s="60"/>
      <c r="E52" s="58" t="str">
        <f t="shared" si="0"/>
        <v>OK</v>
      </c>
      <c r="F52" s="42">
        <v>50</v>
      </c>
      <c r="G52" s="47"/>
      <c r="H52" s="47"/>
      <c r="I52" s="47"/>
      <c r="J52" s="47"/>
      <c r="K52" s="47"/>
      <c r="L52" s="48"/>
      <c r="M52" s="64"/>
      <c r="N52" s="62"/>
      <c r="O52" s="62"/>
      <c r="P52" s="62"/>
      <c r="Q52" s="62"/>
      <c r="R52" s="62"/>
      <c r="S52" s="60"/>
      <c r="T52" s="60"/>
      <c r="U52" s="63"/>
      <c r="V52" s="51"/>
      <c r="W52" s="52"/>
      <c r="X52" s="47"/>
      <c r="Y52" s="47"/>
      <c r="Z52" s="47"/>
      <c r="AA52" s="47"/>
      <c r="AB52" s="50"/>
      <c r="AC52" s="50"/>
      <c r="AD52" s="53"/>
      <c r="AE52" s="82"/>
    </row>
    <row r="53" spans="1:31" x14ac:dyDescent="0.35">
      <c r="A53" s="42"/>
      <c r="B53" s="58"/>
      <c r="C53" s="58"/>
      <c r="D53" s="60"/>
      <c r="E53" s="58" t="str">
        <f t="shared" si="0"/>
        <v>OK</v>
      </c>
      <c r="F53" s="43">
        <v>51</v>
      </c>
      <c r="G53" s="47"/>
      <c r="H53" s="47"/>
      <c r="I53" s="47"/>
      <c r="J53" s="47"/>
      <c r="K53" s="47"/>
      <c r="L53" s="48"/>
      <c r="M53" s="64"/>
      <c r="N53" s="62"/>
      <c r="O53" s="62"/>
      <c r="P53" s="62"/>
      <c r="Q53" s="62"/>
      <c r="R53" s="62"/>
      <c r="S53" s="60"/>
      <c r="T53" s="60"/>
      <c r="U53" s="63"/>
      <c r="V53" s="51"/>
      <c r="W53" s="52"/>
      <c r="X53" s="47"/>
      <c r="Y53" s="47"/>
      <c r="Z53" s="47"/>
      <c r="AA53" s="47"/>
      <c r="AB53" s="50"/>
      <c r="AC53" s="50"/>
      <c r="AD53" s="53"/>
      <c r="AE53" s="82"/>
    </row>
    <row r="54" spans="1:31" x14ac:dyDescent="0.35">
      <c r="A54" s="42"/>
      <c r="B54" s="58"/>
      <c r="C54" s="58"/>
      <c r="D54" s="60"/>
      <c r="E54" s="58" t="str">
        <f t="shared" si="0"/>
        <v>OK</v>
      </c>
      <c r="F54" s="42">
        <v>52</v>
      </c>
      <c r="G54" s="47"/>
      <c r="H54" s="47"/>
      <c r="I54" s="47"/>
      <c r="J54" s="47"/>
      <c r="K54" s="47"/>
      <c r="L54" s="48"/>
      <c r="M54" s="64"/>
      <c r="N54" s="62"/>
      <c r="O54" s="62"/>
      <c r="P54" s="62"/>
      <c r="Q54" s="62"/>
      <c r="R54" s="62"/>
      <c r="S54" s="60"/>
      <c r="T54" s="60"/>
      <c r="U54" s="63"/>
      <c r="V54" s="51"/>
      <c r="W54" s="52"/>
      <c r="X54" s="47"/>
      <c r="Y54" s="47"/>
      <c r="Z54" s="47"/>
      <c r="AA54" s="47"/>
      <c r="AB54" s="50"/>
      <c r="AC54" s="50"/>
      <c r="AD54" s="53"/>
      <c r="AE54" s="82"/>
    </row>
    <row r="55" spans="1:31" x14ac:dyDescent="0.35">
      <c r="A55" s="42"/>
      <c r="B55" s="58"/>
      <c r="C55" s="58"/>
      <c r="D55" s="60"/>
      <c r="E55" s="58" t="str">
        <f t="shared" si="0"/>
        <v>OK</v>
      </c>
      <c r="F55" s="43">
        <v>53</v>
      </c>
      <c r="G55" s="47"/>
      <c r="H55" s="47"/>
      <c r="I55" s="47"/>
      <c r="J55" s="47"/>
      <c r="K55" s="47"/>
      <c r="L55" s="48"/>
      <c r="M55" s="64"/>
      <c r="N55" s="62"/>
      <c r="O55" s="62"/>
      <c r="P55" s="62"/>
      <c r="Q55" s="62"/>
      <c r="R55" s="62"/>
      <c r="S55" s="60"/>
      <c r="T55" s="60"/>
      <c r="U55" s="63"/>
      <c r="V55" s="51"/>
      <c r="W55" s="52"/>
      <c r="X55" s="47"/>
      <c r="Y55" s="47"/>
      <c r="Z55" s="47"/>
      <c r="AA55" s="47"/>
      <c r="AB55" s="50"/>
      <c r="AC55" s="50"/>
      <c r="AD55" s="53"/>
      <c r="AE55" s="82"/>
    </row>
    <row r="56" spans="1:31" x14ac:dyDescent="0.35">
      <c r="A56" s="42"/>
      <c r="B56" s="58"/>
      <c r="C56" s="58"/>
      <c r="D56" s="60"/>
      <c r="E56" s="58" t="str">
        <f t="shared" si="0"/>
        <v>OK</v>
      </c>
      <c r="F56" s="42">
        <v>54</v>
      </c>
      <c r="G56" s="47"/>
      <c r="H56" s="47"/>
      <c r="I56" s="47"/>
      <c r="J56" s="47"/>
      <c r="K56" s="47"/>
      <c r="L56" s="48"/>
      <c r="M56" s="64"/>
      <c r="N56" s="62"/>
      <c r="O56" s="62"/>
      <c r="P56" s="62"/>
      <c r="Q56" s="62"/>
      <c r="R56" s="62"/>
      <c r="S56" s="60"/>
      <c r="T56" s="60"/>
      <c r="U56" s="63"/>
      <c r="V56" s="51"/>
      <c r="W56" s="52"/>
      <c r="X56" s="47"/>
      <c r="Y56" s="47"/>
      <c r="Z56" s="47"/>
      <c r="AA56" s="47"/>
      <c r="AB56" s="50"/>
      <c r="AC56" s="50"/>
      <c r="AD56" s="53"/>
      <c r="AE56" s="82"/>
    </row>
    <row r="57" spans="1:31" x14ac:dyDescent="0.35">
      <c r="A57" s="42"/>
      <c r="B57" s="58"/>
      <c r="C57" s="58"/>
      <c r="D57" s="60"/>
      <c r="E57" s="58" t="str">
        <f t="shared" si="0"/>
        <v>OK</v>
      </c>
      <c r="F57" s="43">
        <v>55</v>
      </c>
      <c r="G57" s="47"/>
      <c r="H57" s="47"/>
      <c r="I57" s="47"/>
      <c r="J57" s="47"/>
      <c r="K57" s="47"/>
      <c r="L57" s="48"/>
      <c r="M57" s="64"/>
      <c r="N57" s="62"/>
      <c r="O57" s="62"/>
      <c r="P57" s="62"/>
      <c r="Q57" s="62"/>
      <c r="R57" s="62"/>
      <c r="S57" s="60"/>
      <c r="T57" s="60"/>
      <c r="U57" s="63"/>
      <c r="V57" s="51"/>
      <c r="W57" s="52"/>
      <c r="X57" s="47"/>
      <c r="Y57" s="47"/>
      <c r="Z57" s="47"/>
      <c r="AA57" s="47"/>
      <c r="AB57" s="50"/>
      <c r="AC57" s="50"/>
      <c r="AD57" s="53"/>
      <c r="AE57" s="82"/>
    </row>
    <row r="58" spans="1:31" x14ac:dyDescent="0.35">
      <c r="A58" s="42"/>
      <c r="B58" s="58"/>
      <c r="C58" s="58"/>
      <c r="D58" s="60"/>
      <c r="E58" s="58" t="str">
        <f t="shared" si="0"/>
        <v>OK</v>
      </c>
      <c r="F58" s="42">
        <v>56</v>
      </c>
      <c r="G58" s="47"/>
      <c r="H58" s="47"/>
      <c r="I58" s="47"/>
      <c r="J58" s="47"/>
      <c r="K58" s="47"/>
      <c r="L58" s="48"/>
      <c r="M58" s="64"/>
      <c r="N58" s="62"/>
      <c r="O58" s="62"/>
      <c r="P58" s="62"/>
      <c r="Q58" s="62"/>
      <c r="R58" s="62"/>
      <c r="S58" s="60"/>
      <c r="T58" s="60"/>
      <c r="U58" s="63"/>
      <c r="V58" s="51"/>
      <c r="W58" s="52"/>
      <c r="X58" s="47"/>
      <c r="Y58" s="47"/>
      <c r="Z58" s="47"/>
      <c r="AA58" s="47"/>
      <c r="AB58" s="50"/>
      <c r="AC58" s="50"/>
      <c r="AD58" s="53"/>
      <c r="AE58" s="82"/>
    </row>
    <row r="59" spans="1:31" x14ac:dyDescent="0.35">
      <c r="A59" s="42"/>
      <c r="B59" s="58"/>
      <c r="C59" s="58"/>
      <c r="D59" s="60"/>
      <c r="E59" s="58" t="str">
        <f t="shared" si="0"/>
        <v>OK</v>
      </c>
      <c r="F59" s="43">
        <v>57</v>
      </c>
      <c r="G59" s="47"/>
      <c r="H59" s="47"/>
      <c r="I59" s="47"/>
      <c r="J59" s="47"/>
      <c r="K59" s="47"/>
      <c r="L59" s="48"/>
      <c r="M59" s="64"/>
      <c r="N59" s="62"/>
      <c r="O59" s="62"/>
      <c r="P59" s="62"/>
      <c r="Q59" s="62"/>
      <c r="R59" s="62"/>
      <c r="S59" s="60"/>
      <c r="T59" s="60"/>
      <c r="U59" s="63"/>
      <c r="V59" s="51"/>
      <c r="W59" s="52"/>
      <c r="X59" s="47"/>
      <c r="Y59" s="47"/>
      <c r="Z59" s="47"/>
      <c r="AA59" s="47"/>
      <c r="AB59" s="50"/>
      <c r="AC59" s="50"/>
      <c r="AD59" s="53"/>
      <c r="AE59" s="82"/>
    </row>
    <row r="60" spans="1:31" x14ac:dyDescent="0.35">
      <c r="A60" s="42"/>
      <c r="B60" s="58"/>
      <c r="C60" s="58"/>
      <c r="D60" s="60"/>
      <c r="E60" s="58" t="str">
        <f t="shared" si="0"/>
        <v>OK</v>
      </c>
      <c r="F60" s="42">
        <v>58</v>
      </c>
      <c r="G60" s="47"/>
      <c r="H60" s="47"/>
      <c r="I60" s="47"/>
      <c r="J60" s="47"/>
      <c r="K60" s="47"/>
      <c r="L60" s="48"/>
      <c r="M60" s="64"/>
      <c r="N60" s="62"/>
      <c r="O60" s="62"/>
      <c r="P60" s="62"/>
      <c r="Q60" s="62"/>
      <c r="R60" s="62"/>
      <c r="S60" s="60"/>
      <c r="T60" s="60"/>
      <c r="U60" s="63"/>
      <c r="V60" s="51"/>
      <c r="W60" s="52"/>
      <c r="X60" s="47"/>
      <c r="Y60" s="47"/>
      <c r="Z60" s="47"/>
      <c r="AA60" s="47"/>
      <c r="AB60" s="50"/>
      <c r="AC60" s="50"/>
      <c r="AD60" s="53"/>
      <c r="AE60" s="82"/>
    </row>
    <row r="61" spans="1:31" x14ac:dyDescent="0.35">
      <c r="A61" s="42"/>
      <c r="B61" s="58"/>
      <c r="C61" s="58"/>
      <c r="D61" s="60"/>
      <c r="E61" s="58" t="str">
        <f t="shared" si="0"/>
        <v>OK</v>
      </c>
      <c r="F61" s="43">
        <v>59</v>
      </c>
      <c r="G61" s="47"/>
      <c r="H61" s="47"/>
      <c r="I61" s="47"/>
      <c r="J61" s="47"/>
      <c r="K61" s="47"/>
      <c r="L61" s="48"/>
      <c r="M61" s="64"/>
      <c r="N61" s="62"/>
      <c r="O61" s="62"/>
      <c r="P61" s="62"/>
      <c r="Q61" s="62"/>
      <c r="R61" s="62"/>
      <c r="S61" s="60"/>
      <c r="T61" s="60"/>
      <c r="U61" s="63"/>
      <c r="V61" s="51"/>
      <c r="W61" s="52"/>
      <c r="X61" s="47"/>
      <c r="Y61" s="47"/>
      <c r="Z61" s="47"/>
      <c r="AA61" s="47"/>
      <c r="AB61" s="50"/>
      <c r="AC61" s="50"/>
      <c r="AD61" s="53"/>
      <c r="AE61" s="82"/>
    </row>
    <row r="62" spans="1:31" x14ac:dyDescent="0.35">
      <c r="A62" s="42"/>
      <c r="B62" s="58"/>
      <c r="C62" s="58"/>
      <c r="D62" s="60"/>
      <c r="E62" s="58" t="str">
        <f t="shared" si="0"/>
        <v>OK</v>
      </c>
      <c r="F62" s="42">
        <v>60</v>
      </c>
      <c r="G62" s="47"/>
      <c r="H62" s="47"/>
      <c r="I62" s="47"/>
      <c r="J62" s="47"/>
      <c r="K62" s="47"/>
      <c r="L62" s="48"/>
      <c r="M62" s="64"/>
      <c r="N62" s="62"/>
      <c r="O62" s="62"/>
      <c r="P62" s="62"/>
      <c r="Q62" s="62"/>
      <c r="R62" s="62"/>
      <c r="S62" s="60"/>
      <c r="T62" s="60"/>
      <c r="U62" s="63"/>
      <c r="V62" s="51"/>
      <c r="W62" s="52"/>
      <c r="X62" s="47"/>
      <c r="Y62" s="47"/>
      <c r="Z62" s="47"/>
      <c r="AA62" s="47"/>
      <c r="AB62" s="50"/>
      <c r="AC62" s="50"/>
      <c r="AD62" s="53"/>
      <c r="AE62" s="82"/>
    </row>
    <row r="63" spans="1:31" x14ac:dyDescent="0.35">
      <c r="A63" s="42"/>
      <c r="B63" s="58"/>
      <c r="C63" s="58"/>
      <c r="D63" s="60"/>
      <c r="E63" s="58" t="str">
        <f t="shared" si="0"/>
        <v>OK</v>
      </c>
      <c r="F63" s="43">
        <v>61</v>
      </c>
      <c r="G63" s="47"/>
      <c r="H63" s="47"/>
      <c r="I63" s="47"/>
      <c r="J63" s="47"/>
      <c r="K63" s="47"/>
      <c r="L63" s="48"/>
      <c r="M63" s="64"/>
      <c r="N63" s="62"/>
      <c r="O63" s="62"/>
      <c r="P63" s="62"/>
      <c r="Q63" s="62"/>
      <c r="R63" s="62"/>
      <c r="S63" s="60"/>
      <c r="T63" s="60"/>
      <c r="U63" s="63"/>
      <c r="V63" s="51"/>
      <c r="W63" s="52"/>
      <c r="X63" s="47"/>
      <c r="Y63" s="47"/>
      <c r="Z63" s="47"/>
      <c r="AA63" s="47"/>
      <c r="AB63" s="50"/>
      <c r="AC63" s="50"/>
      <c r="AD63" s="53"/>
      <c r="AE63" s="82"/>
    </row>
    <row r="64" spans="1:31" x14ac:dyDescent="0.35">
      <c r="A64" s="42"/>
      <c r="B64" s="58"/>
      <c r="C64" s="58"/>
      <c r="D64" s="60"/>
      <c r="E64" s="58" t="str">
        <f t="shared" si="0"/>
        <v>OK</v>
      </c>
      <c r="F64" s="42">
        <v>62</v>
      </c>
      <c r="G64" s="47"/>
      <c r="H64" s="47"/>
      <c r="I64" s="47"/>
      <c r="J64" s="47"/>
      <c r="K64" s="47"/>
      <c r="L64" s="48"/>
      <c r="M64" s="64"/>
      <c r="N64" s="62"/>
      <c r="O64" s="62"/>
      <c r="P64" s="62"/>
      <c r="Q64" s="62"/>
      <c r="R64" s="62"/>
      <c r="S64" s="60"/>
      <c r="T64" s="60"/>
      <c r="U64" s="63"/>
      <c r="V64" s="51"/>
      <c r="W64" s="52"/>
      <c r="X64" s="47"/>
      <c r="Y64" s="47"/>
      <c r="Z64" s="47"/>
      <c r="AA64" s="47"/>
      <c r="AB64" s="50"/>
      <c r="AC64" s="50"/>
      <c r="AD64" s="53"/>
      <c r="AE64" s="82"/>
    </row>
    <row r="65" spans="1:31" x14ac:dyDescent="0.35">
      <c r="A65" s="42"/>
      <c r="B65" s="58"/>
      <c r="C65" s="58"/>
      <c r="D65" s="60"/>
      <c r="E65" s="58" t="str">
        <f t="shared" si="0"/>
        <v>OK</v>
      </c>
      <c r="F65" s="43">
        <v>63</v>
      </c>
      <c r="G65" s="47"/>
      <c r="H65" s="47"/>
      <c r="I65" s="47"/>
      <c r="J65" s="47"/>
      <c r="K65" s="47"/>
      <c r="L65" s="48"/>
      <c r="M65" s="64"/>
      <c r="N65" s="62"/>
      <c r="O65" s="62"/>
      <c r="P65" s="62"/>
      <c r="Q65" s="62"/>
      <c r="R65" s="62"/>
      <c r="S65" s="60"/>
      <c r="T65" s="60"/>
      <c r="U65" s="63"/>
      <c r="V65" s="51"/>
      <c r="W65" s="52"/>
      <c r="X65" s="47"/>
      <c r="Y65" s="47"/>
      <c r="Z65" s="47"/>
      <c r="AA65" s="47"/>
      <c r="AB65" s="50"/>
      <c r="AC65" s="50"/>
      <c r="AD65" s="53"/>
      <c r="AE65" s="82"/>
    </row>
    <row r="66" spans="1:31" x14ac:dyDescent="0.35">
      <c r="A66" s="42"/>
      <c r="B66" s="58"/>
      <c r="C66" s="58"/>
      <c r="D66" s="60"/>
      <c r="E66" s="58" t="str">
        <f t="shared" si="0"/>
        <v>OK</v>
      </c>
      <c r="F66" s="42">
        <v>64</v>
      </c>
      <c r="G66" s="47"/>
      <c r="H66" s="47"/>
      <c r="I66" s="47"/>
      <c r="J66" s="47"/>
      <c r="K66" s="47"/>
      <c r="L66" s="48"/>
      <c r="M66" s="64"/>
      <c r="N66" s="62"/>
      <c r="O66" s="62"/>
      <c r="P66" s="62"/>
      <c r="Q66" s="62"/>
      <c r="R66" s="62"/>
      <c r="S66" s="60"/>
      <c r="T66" s="60"/>
      <c r="U66" s="63"/>
      <c r="V66" s="51"/>
      <c r="W66" s="52"/>
      <c r="X66" s="47"/>
      <c r="Y66" s="47"/>
      <c r="Z66" s="47"/>
      <c r="AA66" s="47"/>
      <c r="AB66" s="50"/>
      <c r="AC66" s="50"/>
      <c r="AD66" s="53"/>
      <c r="AE66" s="82"/>
    </row>
    <row r="67" spans="1:31" x14ac:dyDescent="0.35">
      <c r="A67" s="42"/>
      <c r="B67" s="58"/>
      <c r="C67" s="58"/>
      <c r="D67" s="60"/>
      <c r="E67" s="58" t="str">
        <f t="shared" si="0"/>
        <v>OK</v>
      </c>
      <c r="F67" s="43">
        <v>65</v>
      </c>
      <c r="G67" s="47"/>
      <c r="H67" s="47"/>
      <c r="I67" s="47"/>
      <c r="J67" s="47"/>
      <c r="K67" s="47"/>
      <c r="L67" s="48"/>
      <c r="M67" s="64"/>
      <c r="N67" s="62"/>
      <c r="O67" s="62"/>
      <c r="P67" s="62"/>
      <c r="Q67" s="62"/>
      <c r="R67" s="62"/>
      <c r="S67" s="60"/>
      <c r="T67" s="60"/>
      <c r="U67" s="63"/>
      <c r="V67" s="51"/>
      <c r="W67" s="52"/>
      <c r="X67" s="47"/>
      <c r="Y67" s="47"/>
      <c r="Z67" s="47"/>
      <c r="AA67" s="47"/>
      <c r="AB67" s="50"/>
      <c r="AC67" s="50"/>
      <c r="AD67" s="53"/>
      <c r="AE67" s="82"/>
    </row>
    <row r="68" spans="1:31" x14ac:dyDescent="0.35">
      <c r="A68" s="42"/>
      <c r="B68" s="58"/>
      <c r="C68" s="58"/>
      <c r="D68" s="60"/>
      <c r="E68" s="58" t="str">
        <f t="shared" si="0"/>
        <v>OK</v>
      </c>
      <c r="F68" s="42">
        <v>66</v>
      </c>
      <c r="G68" s="47"/>
      <c r="H68" s="47"/>
      <c r="I68" s="47"/>
      <c r="J68" s="47"/>
      <c r="K68" s="47"/>
      <c r="L68" s="48"/>
      <c r="M68" s="64"/>
      <c r="N68" s="62"/>
      <c r="O68" s="62"/>
      <c r="P68" s="62"/>
      <c r="Q68" s="62"/>
      <c r="R68" s="62"/>
      <c r="S68" s="60"/>
      <c r="T68" s="60"/>
      <c r="U68" s="63"/>
      <c r="V68" s="51"/>
      <c r="W68" s="52"/>
      <c r="X68" s="47"/>
      <c r="Y68" s="47"/>
      <c r="Z68" s="47"/>
      <c r="AA68" s="47"/>
      <c r="AB68" s="50"/>
      <c r="AC68" s="50"/>
      <c r="AD68" s="53"/>
      <c r="AE68" s="82"/>
    </row>
    <row r="69" spans="1:31" x14ac:dyDescent="0.35">
      <c r="A69" s="42"/>
      <c r="B69" s="58"/>
      <c r="C69" s="58"/>
      <c r="D69" s="60"/>
      <c r="E69" s="58" t="str">
        <f t="shared" si="0"/>
        <v>OK</v>
      </c>
      <c r="F69" s="43">
        <v>67</v>
      </c>
      <c r="G69" s="47"/>
      <c r="H69" s="47"/>
      <c r="I69" s="47"/>
      <c r="J69" s="47"/>
      <c r="K69" s="47"/>
      <c r="L69" s="48"/>
      <c r="M69" s="64"/>
      <c r="N69" s="62"/>
      <c r="O69" s="62"/>
      <c r="P69" s="62"/>
      <c r="Q69" s="62"/>
      <c r="R69" s="62"/>
      <c r="S69" s="60"/>
      <c r="T69" s="60"/>
      <c r="U69" s="63"/>
      <c r="V69" s="51"/>
      <c r="W69" s="52"/>
      <c r="X69" s="47"/>
      <c r="Y69" s="47"/>
      <c r="Z69" s="47"/>
      <c r="AA69" s="47"/>
      <c r="AB69" s="50"/>
      <c r="AC69" s="50"/>
      <c r="AD69" s="53"/>
      <c r="AE69" s="82"/>
    </row>
    <row r="70" spans="1:31" x14ac:dyDescent="0.35">
      <c r="A70" s="42"/>
      <c r="B70" s="58"/>
      <c r="C70" s="58"/>
      <c r="D70" s="60"/>
      <c r="E70" s="58" t="str">
        <f t="shared" si="0"/>
        <v>OK</v>
      </c>
      <c r="F70" s="42">
        <v>68</v>
      </c>
      <c r="G70" s="47"/>
      <c r="H70" s="47"/>
      <c r="I70" s="47"/>
      <c r="J70" s="47"/>
      <c r="K70" s="47"/>
      <c r="L70" s="48"/>
      <c r="M70" s="64"/>
      <c r="N70" s="62"/>
      <c r="O70" s="62"/>
      <c r="P70" s="62"/>
      <c r="Q70" s="62"/>
      <c r="R70" s="62"/>
      <c r="S70" s="60"/>
      <c r="T70" s="60"/>
      <c r="U70" s="63"/>
      <c r="V70" s="51"/>
      <c r="W70" s="52"/>
      <c r="X70" s="47"/>
      <c r="Y70" s="47"/>
      <c r="Z70" s="47"/>
      <c r="AA70" s="47"/>
      <c r="AB70" s="50"/>
      <c r="AC70" s="50"/>
      <c r="AD70" s="53"/>
      <c r="AE70" s="82"/>
    </row>
    <row r="71" spans="1:31" x14ac:dyDescent="0.35">
      <c r="A71" s="42"/>
      <c r="B71" s="58"/>
      <c r="C71" s="58"/>
      <c r="D71" s="60"/>
      <c r="E71" s="58" t="str">
        <f t="shared" si="0"/>
        <v>OK</v>
      </c>
      <c r="F71" s="43">
        <v>69</v>
      </c>
      <c r="G71" s="47"/>
      <c r="H71" s="47"/>
      <c r="I71" s="47"/>
      <c r="J71" s="47"/>
      <c r="K71" s="47"/>
      <c r="L71" s="48"/>
      <c r="M71" s="64"/>
      <c r="N71" s="62"/>
      <c r="O71" s="62"/>
      <c r="P71" s="62"/>
      <c r="Q71" s="62"/>
      <c r="R71" s="62"/>
      <c r="S71" s="60"/>
      <c r="T71" s="60"/>
      <c r="U71" s="63"/>
      <c r="V71" s="51"/>
      <c r="W71" s="52"/>
      <c r="X71" s="47"/>
      <c r="Y71" s="47"/>
      <c r="Z71" s="47"/>
      <c r="AA71" s="47"/>
      <c r="AB71" s="50"/>
      <c r="AC71" s="50"/>
      <c r="AD71" s="53"/>
      <c r="AE71" s="82"/>
    </row>
    <row r="72" spans="1:31" x14ac:dyDescent="0.35">
      <c r="A72" s="42"/>
      <c r="B72" s="58"/>
      <c r="C72" s="58"/>
      <c r="D72" s="60"/>
      <c r="E72" s="58" t="str">
        <f t="shared" si="0"/>
        <v>OK</v>
      </c>
      <c r="F72" s="42">
        <v>70</v>
      </c>
      <c r="G72" s="47"/>
      <c r="H72" s="47"/>
      <c r="I72" s="47"/>
      <c r="J72" s="47"/>
      <c r="K72" s="47"/>
      <c r="L72" s="48"/>
      <c r="M72" s="64"/>
      <c r="N72" s="62"/>
      <c r="O72" s="62"/>
      <c r="P72" s="62"/>
      <c r="Q72" s="62"/>
      <c r="R72" s="62"/>
      <c r="S72" s="60"/>
      <c r="T72" s="60"/>
      <c r="U72" s="63"/>
      <c r="V72" s="51"/>
      <c r="W72" s="52"/>
      <c r="X72" s="47"/>
      <c r="Y72" s="47"/>
      <c r="Z72" s="47"/>
      <c r="AA72" s="47"/>
      <c r="AB72" s="50"/>
      <c r="AC72" s="50"/>
      <c r="AD72" s="53"/>
      <c r="AE72" s="82"/>
    </row>
    <row r="73" spans="1:31" x14ac:dyDescent="0.35">
      <c r="A73" s="42"/>
      <c r="B73" s="58"/>
      <c r="C73" s="58"/>
      <c r="D73" s="60"/>
      <c r="E73" s="58" t="str">
        <f t="shared" si="0"/>
        <v>OK</v>
      </c>
      <c r="F73" s="43">
        <v>71</v>
      </c>
      <c r="G73" s="47"/>
      <c r="H73" s="47"/>
      <c r="I73" s="47"/>
      <c r="J73" s="47"/>
      <c r="K73" s="47"/>
      <c r="L73" s="48"/>
      <c r="M73" s="64"/>
      <c r="N73" s="62"/>
      <c r="O73" s="62"/>
      <c r="P73" s="62"/>
      <c r="Q73" s="62"/>
      <c r="R73" s="62"/>
      <c r="S73" s="60"/>
      <c r="T73" s="60"/>
      <c r="U73" s="63"/>
      <c r="V73" s="51"/>
      <c r="W73" s="52"/>
      <c r="X73" s="47"/>
      <c r="Y73" s="47"/>
      <c r="Z73" s="47"/>
      <c r="AA73" s="47"/>
      <c r="AB73" s="50"/>
      <c r="AC73" s="50"/>
      <c r="AD73" s="53"/>
      <c r="AE73" s="82"/>
    </row>
    <row r="74" spans="1:31" x14ac:dyDescent="0.35">
      <c r="A74" s="42"/>
      <c r="B74" s="58"/>
      <c r="C74" s="58"/>
      <c r="D74" s="60"/>
      <c r="E74" s="58" t="str">
        <f t="shared" si="0"/>
        <v>OK</v>
      </c>
      <c r="F74" s="42">
        <v>72</v>
      </c>
      <c r="G74" s="47"/>
      <c r="H74" s="47"/>
      <c r="I74" s="47"/>
      <c r="J74" s="47"/>
      <c r="K74" s="47"/>
      <c r="L74" s="48"/>
      <c r="M74" s="64"/>
      <c r="N74" s="62"/>
      <c r="O74" s="62"/>
      <c r="P74" s="62"/>
      <c r="Q74" s="62"/>
      <c r="R74" s="62"/>
      <c r="S74" s="60"/>
      <c r="T74" s="60"/>
      <c r="U74" s="63"/>
      <c r="V74" s="51"/>
      <c r="W74" s="52"/>
      <c r="X74" s="47"/>
      <c r="Y74" s="47"/>
      <c r="Z74" s="47"/>
      <c r="AA74" s="47"/>
      <c r="AB74" s="50"/>
      <c r="AC74" s="50"/>
      <c r="AD74" s="53"/>
      <c r="AE74" s="82"/>
    </row>
    <row r="75" spans="1:31" x14ac:dyDescent="0.35">
      <c r="A75" s="42"/>
      <c r="B75" s="58"/>
      <c r="C75" s="58"/>
      <c r="D75" s="60"/>
      <c r="E75" s="58" t="str">
        <f t="shared" si="0"/>
        <v>OK</v>
      </c>
      <c r="F75" s="43">
        <v>73</v>
      </c>
      <c r="G75" s="47"/>
      <c r="H75" s="47"/>
      <c r="I75" s="47"/>
      <c r="J75" s="47"/>
      <c r="K75" s="47"/>
      <c r="L75" s="48"/>
      <c r="M75" s="64"/>
      <c r="N75" s="62"/>
      <c r="O75" s="62"/>
      <c r="P75" s="62"/>
      <c r="Q75" s="62"/>
      <c r="R75" s="62"/>
      <c r="S75" s="60"/>
      <c r="T75" s="60"/>
      <c r="U75" s="63"/>
      <c r="V75" s="51"/>
      <c r="W75" s="52"/>
      <c r="X75" s="47"/>
      <c r="Y75" s="47"/>
      <c r="Z75" s="47"/>
      <c r="AA75" s="47"/>
      <c r="AB75" s="50"/>
      <c r="AC75" s="50"/>
      <c r="AD75" s="53"/>
      <c r="AE75" s="82"/>
    </row>
    <row r="76" spans="1:31" x14ac:dyDescent="0.35">
      <c r="A76" s="42"/>
      <c r="B76" s="58"/>
      <c r="C76" s="58"/>
      <c r="D76" s="60"/>
      <c r="E76" s="58" t="str">
        <f t="shared" si="0"/>
        <v>OK</v>
      </c>
      <c r="F76" s="42">
        <v>74</v>
      </c>
      <c r="G76" s="47"/>
      <c r="H76" s="47"/>
      <c r="I76" s="47"/>
      <c r="J76" s="47"/>
      <c r="K76" s="47"/>
      <c r="L76" s="48"/>
      <c r="M76" s="64"/>
      <c r="N76" s="62"/>
      <c r="O76" s="62"/>
      <c r="P76" s="62"/>
      <c r="Q76" s="62"/>
      <c r="R76" s="62"/>
      <c r="S76" s="60"/>
      <c r="T76" s="60"/>
      <c r="U76" s="63"/>
      <c r="V76" s="51"/>
      <c r="W76" s="52"/>
      <c r="X76" s="47"/>
      <c r="Y76" s="47"/>
      <c r="Z76" s="47"/>
      <c r="AA76" s="47"/>
      <c r="AB76" s="50"/>
      <c r="AC76" s="50"/>
      <c r="AD76" s="53"/>
      <c r="AE76" s="82"/>
    </row>
    <row r="77" spans="1:31" x14ac:dyDescent="0.35">
      <c r="A77" s="42"/>
      <c r="B77" s="58"/>
      <c r="C77" s="58"/>
      <c r="D77" s="60"/>
      <c r="E77" s="58" t="str">
        <f t="shared" si="0"/>
        <v>OK</v>
      </c>
      <c r="F77" s="43">
        <v>75</v>
      </c>
      <c r="G77" s="47"/>
      <c r="H77" s="47"/>
      <c r="I77" s="47"/>
      <c r="J77" s="47"/>
      <c r="K77" s="47"/>
      <c r="L77" s="48"/>
      <c r="M77" s="64"/>
      <c r="N77" s="62"/>
      <c r="O77" s="62"/>
      <c r="P77" s="62"/>
      <c r="Q77" s="62"/>
      <c r="R77" s="62"/>
      <c r="S77" s="60"/>
      <c r="T77" s="60"/>
      <c r="U77" s="63"/>
      <c r="V77" s="51"/>
      <c r="W77" s="52"/>
      <c r="X77" s="47"/>
      <c r="Y77" s="47"/>
      <c r="Z77" s="47"/>
      <c r="AA77" s="47"/>
      <c r="AB77" s="50"/>
      <c r="AC77" s="50"/>
      <c r="AD77" s="53"/>
      <c r="AE77" s="82"/>
    </row>
    <row r="78" spans="1:31" x14ac:dyDescent="0.35">
      <c r="A78" s="42"/>
      <c r="B78" s="58"/>
      <c r="C78" s="58"/>
      <c r="D78" s="60"/>
      <c r="E78" s="58" t="str">
        <f t="shared" si="0"/>
        <v>OK</v>
      </c>
      <c r="F78" s="42">
        <v>76</v>
      </c>
      <c r="G78" s="47"/>
      <c r="H78" s="47"/>
      <c r="I78" s="47"/>
      <c r="J78" s="47"/>
      <c r="K78" s="47"/>
      <c r="L78" s="48"/>
      <c r="M78" s="64"/>
      <c r="N78" s="62"/>
      <c r="O78" s="62"/>
      <c r="P78" s="62"/>
      <c r="Q78" s="62"/>
      <c r="R78" s="62"/>
      <c r="S78" s="60"/>
      <c r="T78" s="60"/>
      <c r="U78" s="63"/>
      <c r="V78" s="51"/>
      <c r="W78" s="52"/>
      <c r="X78" s="47"/>
      <c r="Y78" s="47"/>
      <c r="Z78" s="47"/>
      <c r="AA78" s="47"/>
      <c r="AB78" s="50"/>
      <c r="AC78" s="50"/>
      <c r="AD78" s="53"/>
      <c r="AE78" s="82"/>
    </row>
    <row r="79" spans="1:31" x14ac:dyDescent="0.35">
      <c r="A79" s="42"/>
      <c r="B79" s="58"/>
      <c r="C79" s="58"/>
      <c r="D79" s="60"/>
      <c r="E79" s="58" t="str">
        <f t="shared" si="0"/>
        <v>OK</v>
      </c>
      <c r="F79" s="43">
        <v>77</v>
      </c>
      <c r="G79" s="47"/>
      <c r="H79" s="47"/>
      <c r="I79" s="47"/>
      <c r="J79" s="47"/>
      <c r="K79" s="47"/>
      <c r="L79" s="48"/>
      <c r="M79" s="64"/>
      <c r="N79" s="47"/>
      <c r="O79" s="62"/>
      <c r="P79" s="62"/>
      <c r="Q79" s="62"/>
      <c r="R79" s="62"/>
      <c r="S79" s="70"/>
      <c r="T79" s="60"/>
      <c r="U79" s="63"/>
      <c r="V79" s="51"/>
      <c r="W79" s="52"/>
      <c r="X79" s="47"/>
      <c r="Y79" s="47"/>
      <c r="Z79" s="47"/>
      <c r="AA79" s="47"/>
      <c r="AB79" s="50"/>
      <c r="AC79" s="50"/>
      <c r="AD79" s="53"/>
      <c r="AE79" s="82" t="str">
        <f t="shared" si="1"/>
        <v>OK</v>
      </c>
    </row>
    <row r="80" spans="1:31" x14ac:dyDescent="0.35">
      <c r="A80" s="42"/>
      <c r="B80" s="58"/>
      <c r="C80" s="58"/>
      <c r="D80" s="47"/>
      <c r="E80" s="58" t="str">
        <f t="shared" si="0"/>
        <v>OK</v>
      </c>
      <c r="F80" s="42">
        <v>78</v>
      </c>
      <c r="G80" s="47"/>
      <c r="H80" s="47"/>
      <c r="I80" s="47"/>
      <c r="J80" s="47"/>
      <c r="K80" s="47"/>
      <c r="L80" s="48"/>
      <c r="M80" s="64"/>
      <c r="N80" s="62"/>
      <c r="O80" s="62"/>
      <c r="P80" s="62"/>
      <c r="Q80" s="62"/>
      <c r="R80" s="62"/>
      <c r="S80" s="47"/>
      <c r="T80" s="47"/>
      <c r="U80" s="48"/>
      <c r="V80" s="51"/>
      <c r="W80" s="52"/>
      <c r="X80" s="47"/>
      <c r="Y80" s="47"/>
      <c r="Z80" s="47"/>
      <c r="AA80" s="47"/>
      <c r="AB80" s="50"/>
      <c r="AC80" s="50"/>
      <c r="AD80" s="53"/>
      <c r="AE80" s="82" t="str">
        <f t="shared" si="1"/>
        <v>OK</v>
      </c>
    </row>
    <row r="81" spans="1:31" x14ac:dyDescent="0.35">
      <c r="A81" s="42"/>
      <c r="B81" s="58"/>
      <c r="C81" s="58"/>
      <c r="D81" s="60"/>
      <c r="E81" s="58" t="str">
        <f t="shared" si="0"/>
        <v>OK</v>
      </c>
      <c r="F81" s="43">
        <v>79</v>
      </c>
      <c r="G81" s="47"/>
      <c r="H81" s="47"/>
      <c r="I81" s="47"/>
      <c r="J81" s="47"/>
      <c r="K81" s="47"/>
      <c r="L81" s="48"/>
      <c r="M81" s="64"/>
      <c r="N81" s="62"/>
      <c r="O81" s="62"/>
      <c r="P81" s="62"/>
      <c r="Q81" s="62"/>
      <c r="R81" s="62"/>
      <c r="S81" s="60"/>
      <c r="T81" s="70"/>
      <c r="U81" s="63"/>
      <c r="V81" s="60"/>
      <c r="W81" s="52"/>
      <c r="X81" s="47"/>
      <c r="Y81" s="47"/>
      <c r="Z81" s="47"/>
      <c r="AA81" s="47"/>
      <c r="AB81" s="50"/>
      <c r="AC81" s="50"/>
      <c r="AD81" s="53"/>
      <c r="AE81" s="82" t="str">
        <f t="shared" si="1"/>
        <v>OK</v>
      </c>
    </row>
    <row r="82" spans="1:31" x14ac:dyDescent="0.35">
      <c r="A82" s="42"/>
      <c r="B82" s="58"/>
      <c r="C82" s="58"/>
      <c r="D82" s="47"/>
      <c r="E82" s="58" t="str">
        <f t="shared" si="0"/>
        <v>OK</v>
      </c>
      <c r="F82" s="42">
        <v>80</v>
      </c>
      <c r="G82" s="47"/>
      <c r="H82" s="47"/>
      <c r="I82" s="47"/>
      <c r="J82" s="47"/>
      <c r="K82" s="47"/>
      <c r="L82" s="48"/>
      <c r="M82" s="64"/>
      <c r="N82" s="62"/>
      <c r="O82" s="62"/>
      <c r="P82" s="62"/>
      <c r="Q82" s="62"/>
      <c r="R82" s="62"/>
      <c r="S82" s="47"/>
      <c r="T82" s="62"/>
      <c r="U82" s="63"/>
      <c r="V82" s="51"/>
      <c r="W82" s="52"/>
      <c r="X82" s="47"/>
      <c r="Y82" s="47"/>
      <c r="Z82" s="47"/>
      <c r="AA82" s="47"/>
      <c r="AB82" s="50"/>
      <c r="AC82" s="50"/>
      <c r="AD82" s="53"/>
      <c r="AE82" s="82" t="str">
        <f t="shared" si="1"/>
        <v>OK</v>
      </c>
    </row>
    <row r="83" spans="1:31" x14ac:dyDescent="0.35">
      <c r="A83" s="42"/>
      <c r="B83" s="58"/>
      <c r="C83" s="58"/>
      <c r="D83" s="60"/>
      <c r="E83" s="58" t="str">
        <f t="shared" si="0"/>
        <v>OK</v>
      </c>
      <c r="F83" s="43">
        <v>81</v>
      </c>
      <c r="G83" s="47"/>
      <c r="H83" s="47"/>
      <c r="I83" s="47"/>
      <c r="J83" s="47"/>
      <c r="K83" s="47"/>
      <c r="L83" s="48"/>
      <c r="M83" s="64"/>
      <c r="N83" s="47"/>
      <c r="O83" s="62"/>
      <c r="P83" s="62"/>
      <c r="Q83" s="62"/>
      <c r="R83" s="62"/>
      <c r="S83" s="70"/>
      <c r="T83" s="60"/>
      <c r="U83" s="63"/>
      <c r="V83" s="51"/>
      <c r="W83" s="52"/>
      <c r="X83" s="47"/>
      <c r="Y83" s="47"/>
      <c r="Z83" s="47"/>
      <c r="AA83" s="47"/>
      <c r="AB83" s="50"/>
      <c r="AC83" s="50"/>
      <c r="AD83" s="53"/>
      <c r="AE83" s="82" t="str">
        <f t="shared" si="1"/>
        <v>OK</v>
      </c>
    </row>
    <row r="84" spans="1:31" x14ac:dyDescent="0.35">
      <c r="A84" s="42"/>
      <c r="B84" s="58"/>
      <c r="C84" s="58"/>
      <c r="D84" s="47"/>
      <c r="E84" s="58" t="str">
        <f t="shared" si="0"/>
        <v>OK</v>
      </c>
      <c r="F84" s="42">
        <v>82</v>
      </c>
      <c r="G84" s="47"/>
      <c r="H84" s="47"/>
      <c r="I84" s="47"/>
      <c r="J84" s="47"/>
      <c r="K84" s="47"/>
      <c r="L84" s="48"/>
      <c r="M84" s="64"/>
      <c r="N84" s="62"/>
      <c r="O84" s="62"/>
      <c r="P84" s="62"/>
      <c r="Q84" s="62"/>
      <c r="R84" s="62"/>
      <c r="S84" s="47"/>
      <c r="T84" s="47"/>
      <c r="U84" s="62"/>
      <c r="V84" s="47"/>
      <c r="W84" s="52"/>
      <c r="X84" s="47"/>
      <c r="Y84" s="47"/>
      <c r="Z84" s="47"/>
      <c r="AA84" s="47"/>
      <c r="AB84" s="50"/>
      <c r="AC84" s="50"/>
      <c r="AD84" s="53"/>
      <c r="AE84" s="82" t="str">
        <f t="shared" si="1"/>
        <v>OK</v>
      </c>
    </row>
    <row r="85" spans="1:31" x14ac:dyDescent="0.35">
      <c r="A85" s="42"/>
      <c r="B85" s="58"/>
      <c r="C85" s="58"/>
      <c r="D85" s="60"/>
      <c r="E85" s="58" t="str">
        <f t="shared" si="0"/>
        <v>OK</v>
      </c>
      <c r="F85" s="43">
        <v>83</v>
      </c>
      <c r="G85" s="47"/>
      <c r="H85" s="47"/>
      <c r="I85" s="47"/>
      <c r="J85" s="47"/>
      <c r="K85" s="47"/>
      <c r="L85" s="48"/>
      <c r="M85" s="52"/>
      <c r="N85" s="62"/>
      <c r="O85" s="62"/>
      <c r="P85" s="47"/>
      <c r="Q85" s="62"/>
      <c r="R85" s="62"/>
      <c r="S85" s="47"/>
      <c r="T85" s="70"/>
      <c r="U85" s="70"/>
      <c r="V85" s="60"/>
      <c r="W85" s="52"/>
      <c r="X85" s="47"/>
      <c r="Y85" s="47"/>
      <c r="Z85" s="47"/>
      <c r="AA85" s="47"/>
      <c r="AB85" s="50"/>
      <c r="AC85" s="50"/>
      <c r="AD85" s="53"/>
      <c r="AE85" s="82" t="str">
        <f t="shared" si="1"/>
        <v>OK</v>
      </c>
    </row>
    <row r="86" spans="1:31" x14ac:dyDescent="0.35">
      <c r="A86" s="76"/>
      <c r="B86" s="58"/>
      <c r="C86" s="66"/>
      <c r="D86" s="47"/>
      <c r="E86" s="58" t="str">
        <f t="shared" si="0"/>
        <v>OK</v>
      </c>
      <c r="F86" s="42">
        <v>84</v>
      </c>
      <c r="G86" s="47"/>
      <c r="H86" s="47"/>
      <c r="I86" s="47"/>
      <c r="J86" s="47"/>
      <c r="K86" s="47"/>
      <c r="L86" s="48"/>
      <c r="M86" s="64"/>
      <c r="N86" s="67"/>
      <c r="O86" s="62"/>
      <c r="P86" s="62"/>
      <c r="Q86" s="62"/>
      <c r="R86" s="62"/>
      <c r="S86" s="47"/>
      <c r="T86" s="62"/>
      <c r="U86" s="62"/>
      <c r="V86" s="51"/>
      <c r="W86" s="52"/>
      <c r="X86" s="47"/>
      <c r="Y86" s="47"/>
      <c r="Z86" s="47"/>
      <c r="AA86" s="47"/>
      <c r="AB86" s="50"/>
      <c r="AC86" s="50"/>
      <c r="AD86" s="53"/>
      <c r="AE86" s="82" t="str">
        <f t="shared" si="1"/>
        <v>OK</v>
      </c>
    </row>
    <row r="87" spans="1:31" x14ac:dyDescent="0.35">
      <c r="A87" s="42"/>
      <c r="B87" s="58"/>
      <c r="C87" s="58"/>
      <c r="D87" s="60"/>
      <c r="E87" s="58" t="str">
        <f t="shared" si="0"/>
        <v>OK</v>
      </c>
      <c r="F87" s="43">
        <v>85</v>
      </c>
      <c r="G87" s="47"/>
      <c r="H87" s="47"/>
      <c r="I87" s="47"/>
      <c r="J87" s="47"/>
      <c r="K87" s="47"/>
      <c r="L87" s="48"/>
      <c r="M87" s="64"/>
      <c r="N87" s="62"/>
      <c r="O87" s="62"/>
      <c r="P87" s="62"/>
      <c r="Q87" s="62"/>
      <c r="R87" s="62"/>
      <c r="S87" s="60"/>
      <c r="T87" s="70"/>
      <c r="U87" s="70"/>
      <c r="V87" s="51"/>
      <c r="W87" s="52"/>
      <c r="X87" s="47"/>
      <c r="Y87" s="47"/>
      <c r="Z87" s="47"/>
      <c r="AA87" s="47"/>
      <c r="AB87" s="50"/>
      <c r="AC87" s="50"/>
      <c r="AD87" s="53"/>
      <c r="AE87" s="82" t="str">
        <f t="shared" si="1"/>
        <v>OK</v>
      </c>
    </row>
    <row r="88" spans="1:31" x14ac:dyDescent="0.35">
      <c r="A88" s="42"/>
      <c r="B88" s="58"/>
      <c r="C88" s="58"/>
      <c r="D88" s="47"/>
      <c r="E88" s="58" t="str">
        <f t="shared" si="0"/>
        <v>OK</v>
      </c>
      <c r="F88" s="42">
        <v>86</v>
      </c>
      <c r="G88" s="47"/>
      <c r="H88" s="47"/>
      <c r="I88" s="47"/>
      <c r="J88" s="47"/>
      <c r="K88" s="47"/>
      <c r="L88" s="48"/>
      <c r="M88" s="64"/>
      <c r="N88" s="47"/>
      <c r="O88" s="62"/>
      <c r="P88" s="62"/>
      <c r="Q88" s="62"/>
      <c r="R88" s="62"/>
      <c r="S88" s="47"/>
      <c r="T88" s="62"/>
      <c r="U88" s="62"/>
      <c r="V88" s="51"/>
      <c r="W88" s="52"/>
      <c r="X88" s="47"/>
      <c r="Y88" s="47"/>
      <c r="Z88" s="47"/>
      <c r="AA88" s="47"/>
      <c r="AB88" s="50"/>
      <c r="AC88" s="50"/>
      <c r="AD88" s="53"/>
      <c r="AE88" s="82" t="str">
        <f t="shared" si="1"/>
        <v>OK</v>
      </c>
    </row>
    <row r="89" spans="1:31" x14ac:dyDescent="0.35">
      <c r="A89" s="42"/>
      <c r="B89" s="58"/>
      <c r="C89" s="58"/>
      <c r="D89" s="60"/>
      <c r="E89" s="58" t="str">
        <f t="shared" si="0"/>
        <v>OK</v>
      </c>
      <c r="F89" s="43">
        <v>87</v>
      </c>
      <c r="G89" s="47"/>
      <c r="H89" s="47"/>
      <c r="I89" s="47"/>
      <c r="J89" s="47"/>
      <c r="K89" s="47"/>
      <c r="L89" s="48"/>
      <c r="M89" s="64"/>
      <c r="N89" s="62"/>
      <c r="O89" s="62"/>
      <c r="P89" s="62"/>
      <c r="Q89" s="62"/>
      <c r="R89" s="62"/>
      <c r="S89" s="60"/>
      <c r="T89" s="62"/>
      <c r="U89" s="62"/>
      <c r="V89" s="60"/>
      <c r="W89" s="52"/>
      <c r="X89" s="47"/>
      <c r="Y89" s="47"/>
      <c r="Z89" s="47"/>
      <c r="AA89" s="47"/>
      <c r="AB89" s="50"/>
      <c r="AC89" s="50"/>
      <c r="AD89" s="53"/>
      <c r="AE89" s="82" t="str">
        <f t="shared" si="1"/>
        <v>OK</v>
      </c>
    </row>
    <row r="90" spans="1:31" x14ac:dyDescent="0.35">
      <c r="A90" s="42"/>
      <c r="B90" s="58"/>
      <c r="C90" s="58"/>
      <c r="D90" s="47"/>
      <c r="E90" s="58" t="str">
        <f t="shared" si="0"/>
        <v>OK</v>
      </c>
      <c r="F90" s="42">
        <v>88</v>
      </c>
      <c r="G90" s="47"/>
      <c r="H90" s="47"/>
      <c r="I90" s="47"/>
      <c r="J90" s="47"/>
      <c r="K90" s="47"/>
      <c r="L90" s="48"/>
      <c r="M90" s="64"/>
      <c r="N90" s="62"/>
      <c r="O90" s="62"/>
      <c r="P90" s="62"/>
      <c r="Q90" s="62"/>
      <c r="R90" s="62"/>
      <c r="S90" s="47"/>
      <c r="T90" s="62"/>
      <c r="U90" s="48"/>
      <c r="V90" s="47"/>
      <c r="W90" s="52"/>
      <c r="X90" s="47"/>
      <c r="Y90" s="47"/>
      <c r="Z90" s="47"/>
      <c r="AA90" s="47"/>
      <c r="AB90" s="50"/>
      <c r="AC90" s="50"/>
      <c r="AD90" s="53"/>
      <c r="AE90" s="82" t="str">
        <f t="shared" si="1"/>
        <v>OK</v>
      </c>
    </row>
    <row r="91" spans="1:31" x14ac:dyDescent="0.35">
      <c r="A91" s="75"/>
      <c r="B91" s="58"/>
      <c r="C91" s="58"/>
      <c r="D91" s="70"/>
      <c r="E91" s="58" t="str">
        <f t="shared" si="0"/>
        <v>OK</v>
      </c>
      <c r="F91" s="43">
        <v>89</v>
      </c>
      <c r="G91" s="47"/>
      <c r="H91" s="47"/>
      <c r="I91" s="47"/>
      <c r="J91" s="47"/>
      <c r="K91" s="47"/>
      <c r="L91" s="48"/>
      <c r="M91" s="64"/>
      <c r="N91" s="77"/>
      <c r="O91" s="62"/>
      <c r="P91" s="62"/>
      <c r="Q91" s="62"/>
      <c r="R91" s="62"/>
      <c r="S91" s="70"/>
      <c r="T91" s="62"/>
      <c r="U91" s="63"/>
      <c r="V91" s="51"/>
      <c r="W91" s="52"/>
      <c r="X91" s="47"/>
      <c r="Y91" s="47"/>
      <c r="Z91" s="47"/>
      <c r="AA91" s="47"/>
      <c r="AB91" s="50"/>
      <c r="AC91" s="50"/>
      <c r="AD91" s="53"/>
      <c r="AE91" s="82" t="str">
        <f t="shared" si="1"/>
        <v>OK</v>
      </c>
    </row>
    <row r="92" spans="1:31" x14ac:dyDescent="0.35">
      <c r="A92" s="42"/>
      <c r="B92" s="58"/>
      <c r="C92" s="58"/>
      <c r="D92" s="47"/>
      <c r="E92" s="58" t="str">
        <f t="shared" si="0"/>
        <v>OK</v>
      </c>
      <c r="F92" s="42">
        <v>90</v>
      </c>
      <c r="G92" s="47"/>
      <c r="H92" s="47"/>
      <c r="I92" s="47"/>
      <c r="J92" s="47"/>
      <c r="K92" s="47"/>
      <c r="L92" s="48"/>
      <c r="M92" s="64"/>
      <c r="N92" s="62"/>
      <c r="O92" s="62"/>
      <c r="P92" s="62"/>
      <c r="Q92" s="62"/>
      <c r="R92" s="62"/>
      <c r="S92" s="47"/>
      <c r="T92" s="47"/>
      <c r="U92" s="48"/>
      <c r="V92" s="51"/>
      <c r="W92" s="52"/>
      <c r="X92" s="47"/>
      <c r="Y92" s="47"/>
      <c r="Z92" s="47"/>
      <c r="AA92" s="47"/>
      <c r="AB92" s="50"/>
      <c r="AC92" s="50"/>
      <c r="AD92" s="53"/>
      <c r="AE92" s="82" t="str">
        <f t="shared" si="1"/>
        <v>OK</v>
      </c>
    </row>
    <row r="93" spans="1:31" x14ac:dyDescent="0.35">
      <c r="A93" s="42"/>
      <c r="B93" s="58"/>
      <c r="C93" s="58"/>
      <c r="D93" s="60"/>
      <c r="E93" s="58" t="str">
        <f t="shared" si="0"/>
        <v>OK</v>
      </c>
      <c r="F93" s="43">
        <v>91</v>
      </c>
      <c r="G93" s="47"/>
      <c r="H93" s="47"/>
      <c r="I93" s="47"/>
      <c r="J93" s="47"/>
      <c r="K93" s="47"/>
      <c r="L93" s="48"/>
      <c r="M93" s="64"/>
      <c r="N93" s="62"/>
      <c r="O93" s="62"/>
      <c r="P93" s="62"/>
      <c r="Q93" s="62"/>
      <c r="R93" s="62"/>
      <c r="S93" s="60"/>
      <c r="T93" s="70"/>
      <c r="U93" s="70"/>
      <c r="V93" s="60"/>
      <c r="W93" s="52"/>
      <c r="X93" s="47"/>
      <c r="Y93" s="47"/>
      <c r="Z93" s="47"/>
      <c r="AA93" s="47"/>
      <c r="AB93" s="50"/>
      <c r="AC93" s="50"/>
      <c r="AD93" s="53"/>
      <c r="AE93" s="82" t="str">
        <f t="shared" si="1"/>
        <v>OK</v>
      </c>
    </row>
    <row r="94" spans="1:31" x14ac:dyDescent="0.35">
      <c r="A94" s="42"/>
      <c r="B94" s="58"/>
      <c r="C94" s="58"/>
      <c r="D94" s="47"/>
      <c r="E94" s="58" t="str">
        <f t="shared" si="0"/>
        <v>OK</v>
      </c>
      <c r="F94" s="42">
        <v>92</v>
      </c>
      <c r="G94" s="47"/>
      <c r="H94" s="47"/>
      <c r="I94" s="47"/>
      <c r="J94" s="47"/>
      <c r="K94" s="47"/>
      <c r="L94" s="48"/>
      <c r="M94" s="64"/>
      <c r="N94" s="47"/>
      <c r="O94" s="62"/>
      <c r="P94" s="62"/>
      <c r="Q94" s="62"/>
      <c r="R94" s="62"/>
      <c r="S94" s="62"/>
      <c r="T94" s="62"/>
      <c r="U94" s="63"/>
      <c r="V94" s="51"/>
      <c r="W94" s="52"/>
      <c r="X94" s="47"/>
      <c r="Y94" s="47"/>
      <c r="Z94" s="47"/>
      <c r="AA94" s="47"/>
      <c r="AB94" s="50"/>
      <c r="AC94" s="50"/>
      <c r="AD94" s="53"/>
      <c r="AE94" s="82" t="str">
        <f t="shared" si="1"/>
        <v>OK</v>
      </c>
    </row>
    <row r="95" spans="1:31" x14ac:dyDescent="0.35">
      <c r="A95" s="42"/>
      <c r="B95" s="58"/>
      <c r="C95" s="58"/>
      <c r="D95" s="60"/>
      <c r="E95" s="58" t="str">
        <f t="shared" si="0"/>
        <v>OK</v>
      </c>
      <c r="F95" s="43">
        <v>93</v>
      </c>
      <c r="G95" s="47"/>
      <c r="H95" s="47"/>
      <c r="I95" s="47"/>
      <c r="J95" s="47"/>
      <c r="K95" s="47"/>
      <c r="L95" s="48"/>
      <c r="M95" s="64"/>
      <c r="N95" s="62"/>
      <c r="O95" s="62"/>
      <c r="P95" s="62"/>
      <c r="Q95" s="62"/>
      <c r="R95" s="62"/>
      <c r="S95" s="60"/>
      <c r="T95" s="47"/>
      <c r="U95" s="60"/>
      <c r="V95" s="51"/>
      <c r="W95" s="52"/>
      <c r="X95" s="47"/>
      <c r="Y95" s="47"/>
      <c r="Z95" s="47"/>
      <c r="AA95" s="47"/>
      <c r="AB95" s="50"/>
      <c r="AC95" s="50"/>
      <c r="AD95" s="53"/>
      <c r="AE95" s="82" t="str">
        <f t="shared" si="1"/>
        <v>OK</v>
      </c>
    </row>
    <row r="96" spans="1:31" x14ac:dyDescent="0.35">
      <c r="A96" s="42"/>
      <c r="B96" s="58"/>
      <c r="C96" s="58"/>
      <c r="D96" s="60"/>
      <c r="E96" s="58" t="str">
        <f t="shared" si="0"/>
        <v>OK</v>
      </c>
      <c r="F96" s="42">
        <v>94</v>
      </c>
      <c r="G96" s="47"/>
      <c r="H96" s="47"/>
      <c r="I96" s="47"/>
      <c r="J96" s="47"/>
      <c r="K96" s="47"/>
      <c r="L96" s="48"/>
      <c r="M96" s="64"/>
      <c r="N96" s="62"/>
      <c r="O96" s="62"/>
      <c r="P96" s="62"/>
      <c r="Q96" s="62"/>
      <c r="R96" s="62"/>
      <c r="S96" s="60"/>
      <c r="T96" s="47"/>
      <c r="U96" s="63"/>
      <c r="V96" s="51"/>
      <c r="W96" s="52"/>
      <c r="X96" s="47"/>
      <c r="Y96" s="47"/>
      <c r="Z96" s="47"/>
      <c r="AA96" s="47"/>
      <c r="AB96" s="50"/>
      <c r="AC96" s="50"/>
      <c r="AD96" s="53"/>
      <c r="AE96" s="82" t="str">
        <f t="shared" si="1"/>
        <v>OK</v>
      </c>
    </row>
    <row r="97" spans="1:31" x14ac:dyDescent="0.35">
      <c r="A97" s="42"/>
      <c r="B97" s="58"/>
      <c r="C97" s="58"/>
      <c r="D97" s="60"/>
      <c r="E97" s="58" t="str">
        <f t="shared" si="0"/>
        <v>OK</v>
      </c>
      <c r="F97" s="43">
        <v>95</v>
      </c>
      <c r="G97" s="47"/>
      <c r="H97" s="47"/>
      <c r="I97" s="47"/>
      <c r="J97" s="47"/>
      <c r="K97" s="47"/>
      <c r="L97" s="48"/>
      <c r="M97" s="64"/>
      <c r="N97" s="60"/>
      <c r="O97" s="62"/>
      <c r="P97" s="62"/>
      <c r="Q97" s="62"/>
      <c r="R97" s="62"/>
      <c r="S97" s="70"/>
      <c r="T97" s="62"/>
      <c r="U97" s="63"/>
      <c r="V97" s="60"/>
      <c r="W97" s="52"/>
      <c r="X97" s="47"/>
      <c r="Y97" s="47"/>
      <c r="Z97" s="47"/>
      <c r="AA97" s="47"/>
      <c r="AB97" s="50"/>
      <c r="AC97" s="50"/>
      <c r="AD97" s="53"/>
      <c r="AE97" s="82" t="str">
        <f t="shared" si="1"/>
        <v>OK</v>
      </c>
    </row>
    <row r="98" spans="1:31" x14ac:dyDescent="0.35">
      <c r="A98" s="42"/>
      <c r="B98" s="58"/>
      <c r="C98" s="58"/>
      <c r="D98" s="60"/>
      <c r="E98" s="58" t="str">
        <f t="shared" si="0"/>
        <v>OK</v>
      </c>
      <c r="F98" s="42">
        <v>96</v>
      </c>
      <c r="G98" s="47"/>
      <c r="H98" s="47"/>
      <c r="I98" s="47"/>
      <c r="J98" s="47"/>
      <c r="K98" s="47"/>
      <c r="L98" s="48"/>
      <c r="M98" s="64"/>
      <c r="N98" s="47"/>
      <c r="O98" s="62"/>
      <c r="P98" s="62"/>
      <c r="Q98" s="62"/>
      <c r="R98" s="62"/>
      <c r="S98" s="60"/>
      <c r="T98" s="70"/>
      <c r="U98" s="63"/>
      <c r="V98" s="51"/>
      <c r="W98" s="52"/>
      <c r="X98" s="47"/>
      <c r="Y98" s="47"/>
      <c r="Z98" s="47"/>
      <c r="AA98" s="47"/>
      <c r="AB98" s="50"/>
      <c r="AC98" s="50"/>
      <c r="AD98" s="53"/>
      <c r="AE98" s="82" t="str">
        <f t="shared" si="1"/>
        <v>OK</v>
      </c>
    </row>
    <row r="99" spans="1:31" x14ac:dyDescent="0.35">
      <c r="A99" s="42"/>
      <c r="B99" s="58"/>
      <c r="C99" s="58"/>
      <c r="D99" s="60"/>
      <c r="E99" s="58" t="str">
        <f t="shared" si="0"/>
        <v>OK</v>
      </c>
      <c r="F99" s="43">
        <v>97</v>
      </c>
      <c r="G99" s="47"/>
      <c r="H99" s="47"/>
      <c r="I99" s="47"/>
      <c r="J99" s="47"/>
      <c r="K99" s="47"/>
      <c r="L99" s="48"/>
      <c r="M99" s="64"/>
      <c r="N99" s="60"/>
      <c r="O99" s="62"/>
      <c r="P99" s="62"/>
      <c r="Q99" s="62"/>
      <c r="R99" s="62"/>
      <c r="S99" s="60"/>
      <c r="T99" s="62"/>
      <c r="U99" s="48"/>
      <c r="V99" s="51"/>
      <c r="W99" s="52"/>
      <c r="X99" s="47"/>
      <c r="Y99" s="47"/>
      <c r="Z99" s="47"/>
      <c r="AA99" s="47"/>
      <c r="AB99" s="50"/>
      <c r="AC99" s="50"/>
      <c r="AD99" s="53"/>
      <c r="AE99" s="82" t="str">
        <f t="shared" si="1"/>
        <v>OK</v>
      </c>
    </row>
    <row r="100" spans="1:31" x14ac:dyDescent="0.35">
      <c r="A100" s="42"/>
      <c r="B100" s="58"/>
      <c r="C100" s="58"/>
      <c r="D100" s="47"/>
      <c r="E100" s="58" t="str">
        <f t="shared" si="0"/>
        <v>OK</v>
      </c>
      <c r="F100" s="42">
        <v>98</v>
      </c>
      <c r="G100" s="47"/>
      <c r="H100" s="47"/>
      <c r="I100" s="47"/>
      <c r="J100" s="47"/>
      <c r="K100" s="47"/>
      <c r="L100" s="48"/>
      <c r="M100" s="64"/>
      <c r="N100" s="47"/>
      <c r="O100" s="62"/>
      <c r="P100" s="62"/>
      <c r="Q100" s="62"/>
      <c r="R100" s="62"/>
      <c r="S100" s="47"/>
      <c r="T100" s="47"/>
      <c r="U100" s="48"/>
      <c r="V100" s="51"/>
      <c r="W100" s="52"/>
      <c r="X100" s="47"/>
      <c r="Y100" s="47"/>
      <c r="Z100" s="47"/>
      <c r="AA100" s="47"/>
      <c r="AB100" s="50"/>
      <c r="AC100" s="50"/>
      <c r="AD100" s="53"/>
      <c r="AE100" s="82" t="str">
        <f t="shared" si="1"/>
        <v>OK</v>
      </c>
    </row>
    <row r="101" spans="1:31" x14ac:dyDescent="0.35">
      <c r="A101" s="42"/>
      <c r="B101" s="58"/>
      <c r="C101" s="58"/>
      <c r="D101" s="60"/>
      <c r="E101" s="58" t="str">
        <f t="shared" si="0"/>
        <v>OK</v>
      </c>
      <c r="F101" s="43">
        <v>99</v>
      </c>
      <c r="G101" s="47"/>
      <c r="H101" s="47"/>
      <c r="I101" s="47"/>
      <c r="J101" s="47"/>
      <c r="K101" s="47"/>
      <c r="L101" s="48"/>
      <c r="M101" s="64"/>
      <c r="N101" s="60"/>
      <c r="O101" s="62"/>
      <c r="P101" s="62"/>
      <c r="Q101" s="62"/>
      <c r="R101" s="62"/>
      <c r="S101" s="60"/>
      <c r="T101" s="47"/>
      <c r="U101" s="70"/>
      <c r="V101" s="60"/>
      <c r="W101" s="52"/>
      <c r="X101" s="47"/>
      <c r="Y101" s="47"/>
      <c r="Z101" s="47"/>
      <c r="AA101" s="47"/>
      <c r="AB101" s="50"/>
      <c r="AC101" s="50"/>
      <c r="AD101" s="53"/>
      <c r="AE101" s="82" t="str">
        <f t="shared" si="1"/>
        <v>OK</v>
      </c>
    </row>
    <row r="102" spans="1:31" x14ac:dyDescent="0.35">
      <c r="A102" s="42"/>
      <c r="B102" s="58"/>
      <c r="C102" s="58"/>
      <c r="D102" s="47"/>
      <c r="E102" s="58" t="str">
        <f t="shared" si="0"/>
        <v>OK</v>
      </c>
      <c r="F102" s="42">
        <v>100</v>
      </c>
      <c r="G102" s="47"/>
      <c r="H102" s="47"/>
      <c r="I102" s="47"/>
      <c r="J102" s="47"/>
      <c r="K102" s="47"/>
      <c r="L102" s="48"/>
      <c r="M102" s="64"/>
      <c r="N102" s="62"/>
      <c r="O102" s="62"/>
      <c r="P102" s="62"/>
      <c r="Q102" s="62"/>
      <c r="R102" s="62"/>
      <c r="S102" s="47"/>
      <c r="T102" s="62"/>
      <c r="U102" s="62"/>
      <c r="V102" s="51"/>
      <c r="W102" s="52"/>
      <c r="X102" s="47"/>
      <c r="Y102" s="47"/>
      <c r="Z102" s="47"/>
      <c r="AA102" s="47"/>
      <c r="AB102" s="50"/>
      <c r="AC102" s="50"/>
      <c r="AD102" s="53"/>
      <c r="AE102" s="82" t="str">
        <f t="shared" si="1"/>
        <v>OK</v>
      </c>
    </row>
    <row r="103" spans="1:31" x14ac:dyDescent="0.35">
      <c r="A103" s="42"/>
      <c r="B103" s="58"/>
      <c r="C103" s="58"/>
      <c r="D103" s="60"/>
      <c r="E103" s="58" t="str">
        <f t="shared" si="0"/>
        <v>OK</v>
      </c>
      <c r="F103" s="43">
        <v>101</v>
      </c>
      <c r="G103" s="47"/>
      <c r="H103" s="47"/>
      <c r="I103" s="47"/>
      <c r="J103" s="47"/>
      <c r="K103" s="47"/>
      <c r="L103" s="48"/>
      <c r="M103" s="64"/>
      <c r="N103" s="60"/>
      <c r="O103" s="62"/>
      <c r="P103" s="62"/>
      <c r="Q103" s="62"/>
      <c r="R103" s="62"/>
      <c r="S103" s="60"/>
      <c r="T103" s="47"/>
      <c r="U103" s="63"/>
      <c r="V103" s="51"/>
      <c r="W103" s="52"/>
      <c r="X103" s="47"/>
      <c r="Y103" s="47"/>
      <c r="Z103" s="47"/>
      <c r="AA103" s="47"/>
      <c r="AB103" s="50"/>
      <c r="AC103" s="50"/>
      <c r="AD103" s="53"/>
      <c r="AE103" s="82" t="str">
        <f t="shared" si="1"/>
        <v>OK</v>
      </c>
    </row>
    <row r="104" spans="1:31" x14ac:dyDescent="0.35">
      <c r="A104" s="42"/>
      <c r="B104" s="58"/>
      <c r="C104" s="58"/>
      <c r="D104" s="60"/>
      <c r="E104" s="58" t="str">
        <f t="shared" si="0"/>
        <v>OK</v>
      </c>
      <c r="F104" s="42">
        <v>102</v>
      </c>
      <c r="G104" s="47"/>
      <c r="H104" s="67"/>
      <c r="I104" s="47"/>
      <c r="J104" s="47"/>
      <c r="K104" s="47"/>
      <c r="L104" s="48"/>
      <c r="M104" s="64"/>
      <c r="N104" s="60"/>
      <c r="O104" s="62"/>
      <c r="P104" s="62"/>
      <c r="Q104" s="62"/>
      <c r="R104" s="62"/>
      <c r="S104" s="60"/>
      <c r="T104" s="70"/>
      <c r="U104" s="63"/>
      <c r="V104" s="51"/>
      <c r="W104" s="52"/>
      <c r="X104" s="47"/>
      <c r="Y104" s="47"/>
      <c r="Z104" s="47"/>
      <c r="AA104" s="47"/>
      <c r="AB104" s="50"/>
      <c r="AC104" s="50"/>
      <c r="AD104" s="53"/>
      <c r="AE104" s="82" t="str">
        <f t="shared" si="1"/>
        <v>OK</v>
      </c>
    </row>
    <row r="105" spans="1:31" x14ac:dyDescent="0.35">
      <c r="A105" s="42"/>
      <c r="B105" s="58"/>
      <c r="C105" s="58"/>
      <c r="D105" s="60"/>
      <c r="E105" s="58" t="str">
        <f t="shared" si="0"/>
        <v>OK</v>
      </c>
      <c r="F105" s="43">
        <v>103</v>
      </c>
      <c r="G105" s="47"/>
      <c r="H105" s="4"/>
      <c r="I105" s="47"/>
      <c r="J105" s="47"/>
      <c r="K105" s="47"/>
      <c r="L105" s="48"/>
      <c r="M105" s="64"/>
      <c r="N105" s="60"/>
      <c r="O105" s="62"/>
      <c r="P105" s="62"/>
      <c r="Q105" s="62"/>
      <c r="R105" s="62"/>
      <c r="S105" s="60"/>
      <c r="T105" s="47"/>
      <c r="U105" s="63"/>
      <c r="V105" s="51"/>
      <c r="W105" s="52"/>
      <c r="X105" s="47"/>
      <c r="Y105" s="47"/>
      <c r="Z105" s="47"/>
      <c r="AA105" s="47"/>
      <c r="AB105" s="50"/>
      <c r="AC105" s="50"/>
      <c r="AD105" s="53"/>
      <c r="AE105" s="82" t="str">
        <f t="shared" si="1"/>
        <v>OK</v>
      </c>
    </row>
    <row r="106" spans="1:31" x14ac:dyDescent="0.35">
      <c r="A106" s="42"/>
      <c r="B106" s="58"/>
      <c r="C106" s="58"/>
      <c r="D106" s="60"/>
      <c r="E106" s="58" t="str">
        <f t="shared" si="0"/>
        <v>OK</v>
      </c>
      <c r="F106" s="42">
        <v>104</v>
      </c>
      <c r="G106" s="47"/>
      <c r="H106" s="67"/>
      <c r="I106" s="47"/>
      <c r="J106" s="47"/>
      <c r="K106" s="47"/>
      <c r="L106" s="48"/>
      <c r="M106" s="64"/>
      <c r="N106" s="67"/>
      <c r="O106" s="62"/>
      <c r="P106" s="62"/>
      <c r="Q106" s="62"/>
      <c r="R106" s="62"/>
      <c r="S106" s="47"/>
      <c r="T106" s="47"/>
      <c r="U106" s="63"/>
      <c r="V106" s="60"/>
      <c r="W106" s="52"/>
      <c r="X106" s="60"/>
      <c r="Y106" s="47"/>
      <c r="Z106" s="47"/>
      <c r="AA106" s="47"/>
      <c r="AB106" s="50"/>
      <c r="AC106" s="50"/>
      <c r="AD106" s="53"/>
      <c r="AE106" s="82" t="str">
        <f t="shared" si="1"/>
        <v>OK</v>
      </c>
    </row>
    <row r="107" spans="1:31" x14ac:dyDescent="0.35">
      <c r="A107" s="42"/>
      <c r="B107" s="58"/>
      <c r="C107" s="58"/>
      <c r="D107" s="60"/>
      <c r="E107" s="58" t="str">
        <f t="shared" si="0"/>
        <v>OK</v>
      </c>
      <c r="F107" s="43">
        <v>105</v>
      </c>
      <c r="G107" s="47"/>
      <c r="H107" s="67"/>
      <c r="I107" s="47"/>
      <c r="J107" s="47"/>
      <c r="K107" s="47"/>
      <c r="L107" s="48"/>
      <c r="M107" s="64"/>
      <c r="N107" s="60"/>
      <c r="O107" s="62"/>
      <c r="P107" s="62"/>
      <c r="Q107" s="62"/>
      <c r="R107" s="62"/>
      <c r="S107" s="60"/>
      <c r="T107" s="47"/>
      <c r="U107" s="63"/>
      <c r="V107" s="51"/>
      <c r="W107" s="52"/>
      <c r="X107" s="47"/>
      <c r="Y107" s="47"/>
      <c r="Z107" s="47"/>
      <c r="AA107" s="47"/>
      <c r="AB107" s="50"/>
      <c r="AC107" s="50"/>
      <c r="AD107" s="53"/>
      <c r="AE107" s="82" t="str">
        <f t="shared" si="1"/>
        <v>OK</v>
      </c>
    </row>
    <row r="108" spans="1:31" x14ac:dyDescent="0.35">
      <c r="A108" s="42"/>
      <c r="B108" s="58"/>
      <c r="C108" s="58"/>
      <c r="D108" s="60"/>
      <c r="E108" s="58" t="str">
        <f t="shared" si="0"/>
        <v>OK</v>
      </c>
      <c r="F108" s="42">
        <v>106</v>
      </c>
      <c r="G108" s="47"/>
      <c r="H108" s="67"/>
      <c r="I108" s="47"/>
      <c r="J108" s="47"/>
      <c r="K108" s="47"/>
      <c r="L108" s="48"/>
      <c r="M108" s="64"/>
      <c r="N108" s="60"/>
      <c r="O108" s="62"/>
      <c r="P108" s="62"/>
      <c r="Q108" s="62"/>
      <c r="R108" s="62"/>
      <c r="S108" s="60"/>
      <c r="T108" s="70"/>
      <c r="U108" s="63"/>
      <c r="V108" s="51"/>
      <c r="W108" s="52"/>
      <c r="X108" s="47"/>
      <c r="Y108" s="47"/>
      <c r="Z108" s="47"/>
      <c r="AA108" s="47"/>
      <c r="AB108" s="50"/>
      <c r="AC108" s="50"/>
      <c r="AD108" s="53"/>
      <c r="AE108" s="82" t="str">
        <f t="shared" si="1"/>
        <v>OK</v>
      </c>
    </row>
    <row r="109" spans="1:31" x14ac:dyDescent="0.35">
      <c r="A109" s="42"/>
      <c r="B109" s="58"/>
      <c r="C109" s="58"/>
      <c r="D109" s="60"/>
      <c r="E109" s="58" t="str">
        <f t="shared" si="0"/>
        <v>OK</v>
      </c>
      <c r="F109" s="43">
        <v>107</v>
      </c>
      <c r="G109" s="47"/>
      <c r="H109" s="67"/>
      <c r="I109" s="47"/>
      <c r="J109" s="47"/>
      <c r="K109" s="47"/>
      <c r="L109" s="48"/>
      <c r="M109" s="64"/>
      <c r="N109" s="70"/>
      <c r="O109" s="62"/>
      <c r="P109" s="62"/>
      <c r="Q109" s="62"/>
      <c r="R109" s="62"/>
      <c r="S109" s="60"/>
      <c r="T109" s="62"/>
      <c r="U109" s="63"/>
      <c r="V109" s="60"/>
      <c r="W109" s="52"/>
      <c r="X109" s="47"/>
      <c r="Y109" s="47"/>
      <c r="Z109" s="47"/>
      <c r="AA109" s="47"/>
      <c r="AB109" s="50"/>
      <c r="AC109" s="50"/>
      <c r="AD109" s="53"/>
      <c r="AE109" s="82" t="str">
        <f t="shared" si="1"/>
        <v>OK</v>
      </c>
    </row>
    <row r="110" spans="1:31" x14ac:dyDescent="0.35">
      <c r="A110" s="42"/>
      <c r="B110" s="58"/>
      <c r="C110" s="58"/>
      <c r="D110" s="60"/>
      <c r="E110" s="58" t="str">
        <f t="shared" si="0"/>
        <v>OK</v>
      </c>
      <c r="F110" s="42">
        <v>108</v>
      </c>
      <c r="G110" s="47"/>
      <c r="H110" s="67"/>
      <c r="I110" s="47"/>
      <c r="J110" s="47"/>
      <c r="K110" s="47"/>
      <c r="L110" s="48"/>
      <c r="M110" s="64"/>
      <c r="N110" s="70"/>
      <c r="O110" s="62"/>
      <c r="P110" s="62"/>
      <c r="Q110" s="62"/>
      <c r="R110" s="62"/>
      <c r="S110" s="60"/>
      <c r="T110" s="62"/>
      <c r="U110" s="63"/>
      <c r="V110" s="60"/>
      <c r="W110" s="52"/>
      <c r="X110" s="47"/>
      <c r="Y110" s="47"/>
      <c r="Z110" s="47"/>
      <c r="AA110" s="47"/>
      <c r="AB110" s="50"/>
      <c r="AC110" s="50"/>
      <c r="AD110" s="53"/>
      <c r="AE110" s="82"/>
    </row>
    <row r="111" spans="1:31" x14ac:dyDescent="0.35">
      <c r="A111" s="42"/>
      <c r="B111" s="58"/>
      <c r="C111" s="58"/>
      <c r="D111" s="60"/>
      <c r="E111" s="58" t="str">
        <f t="shared" ref="E111:E121" si="2">IF(D111=SUM(G111:AC111),"OK","Erreur")</f>
        <v>OK</v>
      </c>
      <c r="F111" s="43">
        <v>109</v>
      </c>
      <c r="G111" s="47"/>
      <c r="H111" s="67"/>
      <c r="I111" s="47"/>
      <c r="J111" s="47"/>
      <c r="K111" s="47"/>
      <c r="L111" s="48"/>
      <c r="M111" s="64"/>
      <c r="N111" s="70"/>
      <c r="O111" s="62"/>
      <c r="P111" s="62"/>
      <c r="Q111" s="62"/>
      <c r="R111" s="62"/>
      <c r="S111" s="60"/>
      <c r="T111" s="62"/>
      <c r="U111" s="63"/>
      <c r="V111" s="60"/>
      <c r="W111" s="52"/>
      <c r="X111" s="47"/>
      <c r="Y111" s="47"/>
      <c r="Z111" s="47"/>
      <c r="AA111" s="47"/>
      <c r="AB111" s="50"/>
      <c r="AC111" s="50"/>
      <c r="AD111" s="53"/>
      <c r="AE111" s="82"/>
    </row>
    <row r="112" spans="1:31" x14ac:dyDescent="0.35">
      <c r="A112" s="42"/>
      <c r="B112" s="58"/>
      <c r="C112" s="58"/>
      <c r="D112" s="60"/>
      <c r="E112" s="58" t="str">
        <f t="shared" si="2"/>
        <v>OK</v>
      </c>
      <c r="F112" s="42">
        <v>110</v>
      </c>
      <c r="G112" s="47"/>
      <c r="H112" s="67"/>
      <c r="I112" s="47"/>
      <c r="J112" s="47"/>
      <c r="K112" s="47"/>
      <c r="L112" s="48"/>
      <c r="M112" s="64"/>
      <c r="N112" s="70"/>
      <c r="O112" s="62"/>
      <c r="P112" s="62"/>
      <c r="Q112" s="62"/>
      <c r="R112" s="62"/>
      <c r="S112" s="60"/>
      <c r="T112" s="62"/>
      <c r="U112" s="63"/>
      <c r="V112" s="60"/>
      <c r="W112" s="52"/>
      <c r="X112" s="47"/>
      <c r="Y112" s="47"/>
      <c r="Z112" s="47"/>
      <c r="AA112" s="47"/>
      <c r="AB112" s="50"/>
      <c r="AC112" s="50"/>
      <c r="AD112" s="53"/>
      <c r="AE112" s="82"/>
    </row>
    <row r="113" spans="1:31" x14ac:dyDescent="0.35">
      <c r="A113" s="42"/>
      <c r="B113" s="58"/>
      <c r="C113" s="58"/>
      <c r="D113" s="60"/>
      <c r="E113" s="58" t="str">
        <f t="shared" si="2"/>
        <v>OK</v>
      </c>
      <c r="F113" s="43">
        <v>111</v>
      </c>
      <c r="G113" s="47"/>
      <c r="H113" s="67"/>
      <c r="I113" s="47"/>
      <c r="J113" s="47"/>
      <c r="K113" s="47"/>
      <c r="L113" s="48"/>
      <c r="M113" s="64"/>
      <c r="N113" s="70"/>
      <c r="O113" s="62"/>
      <c r="P113" s="62"/>
      <c r="Q113" s="62"/>
      <c r="R113" s="62"/>
      <c r="S113" s="60"/>
      <c r="T113" s="62"/>
      <c r="U113" s="63"/>
      <c r="V113" s="60"/>
      <c r="W113" s="52"/>
      <c r="X113" s="47"/>
      <c r="Y113" s="47"/>
      <c r="Z113" s="47"/>
      <c r="AA113" s="47"/>
      <c r="AB113" s="50"/>
      <c r="AC113" s="50"/>
      <c r="AD113" s="53"/>
      <c r="AE113" s="82"/>
    </row>
    <row r="114" spans="1:31" x14ac:dyDescent="0.35">
      <c r="A114" s="42"/>
      <c r="B114" s="58"/>
      <c r="C114" s="58"/>
      <c r="D114" s="60"/>
      <c r="E114" s="58" t="str">
        <f t="shared" si="2"/>
        <v>OK</v>
      </c>
      <c r="F114" s="42">
        <v>112</v>
      </c>
      <c r="G114" s="47"/>
      <c r="H114" s="67"/>
      <c r="I114" s="47"/>
      <c r="J114" s="47"/>
      <c r="K114" s="47"/>
      <c r="L114" s="48"/>
      <c r="M114" s="64"/>
      <c r="N114" s="70"/>
      <c r="O114" s="62"/>
      <c r="P114" s="62"/>
      <c r="Q114" s="62"/>
      <c r="R114" s="62"/>
      <c r="S114" s="60"/>
      <c r="T114" s="62"/>
      <c r="U114" s="63"/>
      <c r="V114" s="60"/>
      <c r="W114" s="52"/>
      <c r="X114" s="47"/>
      <c r="Y114" s="47"/>
      <c r="Z114" s="47"/>
      <c r="AA114" s="47"/>
      <c r="AB114" s="50"/>
      <c r="AC114" s="50"/>
      <c r="AD114" s="53"/>
      <c r="AE114" s="82"/>
    </row>
    <row r="115" spans="1:31" x14ac:dyDescent="0.35">
      <c r="A115" s="42"/>
      <c r="B115" s="58"/>
      <c r="C115" s="58"/>
      <c r="D115" s="60"/>
      <c r="E115" s="58" t="str">
        <f t="shared" si="2"/>
        <v>OK</v>
      </c>
      <c r="F115" s="43">
        <v>113</v>
      </c>
      <c r="G115" s="47"/>
      <c r="H115" s="67"/>
      <c r="I115" s="47"/>
      <c r="J115" s="47"/>
      <c r="K115" s="47"/>
      <c r="L115" s="48"/>
      <c r="M115" s="64"/>
      <c r="N115" s="70"/>
      <c r="O115" s="62"/>
      <c r="P115" s="62"/>
      <c r="Q115" s="62"/>
      <c r="R115" s="62"/>
      <c r="S115" s="60"/>
      <c r="T115" s="62"/>
      <c r="U115" s="63"/>
      <c r="V115" s="60"/>
      <c r="W115" s="52"/>
      <c r="X115" s="47"/>
      <c r="Y115" s="47"/>
      <c r="Z115" s="47"/>
      <c r="AA115" s="47"/>
      <c r="AB115" s="50"/>
      <c r="AC115" s="50"/>
      <c r="AD115" s="53"/>
      <c r="AE115" s="82"/>
    </row>
    <row r="116" spans="1:31" x14ac:dyDescent="0.35">
      <c r="A116" s="42"/>
      <c r="B116" s="58"/>
      <c r="C116" s="58"/>
      <c r="D116" s="60"/>
      <c r="E116" s="58" t="str">
        <f t="shared" si="2"/>
        <v>OK</v>
      </c>
      <c r="F116" s="42">
        <v>114</v>
      </c>
      <c r="G116" s="47"/>
      <c r="H116" s="67"/>
      <c r="I116" s="47"/>
      <c r="J116" s="47"/>
      <c r="K116" s="47"/>
      <c r="L116" s="48"/>
      <c r="M116" s="64"/>
      <c r="N116" s="70"/>
      <c r="O116" s="62"/>
      <c r="P116" s="62"/>
      <c r="Q116" s="62"/>
      <c r="R116" s="62"/>
      <c r="S116" s="60"/>
      <c r="T116" s="62"/>
      <c r="U116" s="63"/>
      <c r="V116" s="60"/>
      <c r="W116" s="52"/>
      <c r="X116" s="47"/>
      <c r="Y116" s="47"/>
      <c r="Z116" s="47"/>
      <c r="AA116" s="47"/>
      <c r="AB116" s="50"/>
      <c r="AC116" s="50"/>
      <c r="AD116" s="53"/>
      <c r="AE116" s="82"/>
    </row>
    <row r="117" spans="1:31" x14ac:dyDescent="0.35">
      <c r="A117" s="42"/>
      <c r="B117" s="58"/>
      <c r="C117" s="58"/>
      <c r="D117" s="60"/>
      <c r="E117" s="58" t="str">
        <f t="shared" si="2"/>
        <v>OK</v>
      </c>
      <c r="F117" s="43">
        <v>115</v>
      </c>
      <c r="G117" s="47"/>
      <c r="H117" s="67"/>
      <c r="I117" s="47"/>
      <c r="J117" s="47"/>
      <c r="K117" s="47"/>
      <c r="L117" s="48"/>
      <c r="M117" s="64"/>
      <c r="N117" s="70"/>
      <c r="O117" s="62"/>
      <c r="P117" s="62"/>
      <c r="Q117" s="62"/>
      <c r="R117" s="62"/>
      <c r="S117" s="60"/>
      <c r="T117" s="62"/>
      <c r="U117" s="63"/>
      <c r="V117" s="60"/>
      <c r="W117" s="52"/>
      <c r="X117" s="47"/>
      <c r="Y117" s="47"/>
      <c r="Z117" s="47"/>
      <c r="AA117" s="47"/>
      <c r="AB117" s="50"/>
      <c r="AC117" s="50"/>
      <c r="AD117" s="53"/>
      <c r="AE117" s="82"/>
    </row>
    <row r="118" spans="1:31" x14ac:dyDescent="0.35">
      <c r="A118" s="42"/>
      <c r="B118" s="58"/>
      <c r="C118" s="58"/>
      <c r="D118" s="60"/>
      <c r="E118" s="58" t="str">
        <f t="shared" si="2"/>
        <v>OK</v>
      </c>
      <c r="F118" s="42">
        <v>116</v>
      </c>
      <c r="G118" s="47"/>
      <c r="H118" s="67"/>
      <c r="I118" s="47"/>
      <c r="J118" s="47"/>
      <c r="K118" s="47"/>
      <c r="L118" s="48"/>
      <c r="M118" s="64"/>
      <c r="N118" s="70"/>
      <c r="O118" s="62"/>
      <c r="P118" s="62"/>
      <c r="Q118" s="62"/>
      <c r="R118" s="62"/>
      <c r="S118" s="60"/>
      <c r="T118" s="62"/>
      <c r="U118" s="63"/>
      <c r="V118" s="60"/>
      <c r="W118" s="52"/>
      <c r="X118" s="47"/>
      <c r="Y118" s="47"/>
      <c r="Z118" s="47"/>
      <c r="AA118" s="47"/>
      <c r="AB118" s="50"/>
      <c r="AC118" s="50"/>
      <c r="AD118" s="53"/>
      <c r="AE118" s="82"/>
    </row>
    <row r="119" spans="1:31" x14ac:dyDescent="0.35">
      <c r="A119" s="42"/>
      <c r="B119" s="58"/>
      <c r="C119" s="58"/>
      <c r="D119" s="60"/>
      <c r="E119" s="58" t="str">
        <f t="shared" si="2"/>
        <v>OK</v>
      </c>
      <c r="F119" s="43">
        <v>117</v>
      </c>
      <c r="G119" s="47"/>
      <c r="H119" s="67"/>
      <c r="I119" s="47"/>
      <c r="J119" s="47"/>
      <c r="K119" s="47"/>
      <c r="L119" s="48"/>
      <c r="M119" s="64"/>
      <c r="N119" s="70"/>
      <c r="O119" s="62"/>
      <c r="P119" s="62"/>
      <c r="Q119" s="62"/>
      <c r="R119" s="62"/>
      <c r="S119" s="60"/>
      <c r="T119" s="62"/>
      <c r="U119" s="63"/>
      <c r="V119" s="60"/>
      <c r="W119" s="52"/>
      <c r="X119" s="47"/>
      <c r="Y119" s="47"/>
      <c r="Z119" s="47"/>
      <c r="AA119" s="47"/>
      <c r="AB119" s="50"/>
      <c r="AC119" s="50"/>
      <c r="AD119" s="53"/>
      <c r="AE119" s="82"/>
    </row>
    <row r="120" spans="1:31" x14ac:dyDescent="0.35">
      <c r="A120" s="42"/>
      <c r="B120" s="58"/>
      <c r="C120" s="58"/>
      <c r="D120" s="60"/>
      <c r="E120" s="58" t="str">
        <f t="shared" si="2"/>
        <v>OK</v>
      </c>
      <c r="F120" s="42">
        <v>118</v>
      </c>
      <c r="G120" s="47"/>
      <c r="H120" s="67"/>
      <c r="I120" s="47"/>
      <c r="J120" s="47"/>
      <c r="K120" s="47"/>
      <c r="L120" s="48"/>
      <c r="M120" s="64"/>
      <c r="N120" s="70"/>
      <c r="O120" s="62"/>
      <c r="P120" s="62"/>
      <c r="Q120" s="62"/>
      <c r="R120" s="62"/>
      <c r="S120" s="60"/>
      <c r="T120" s="62"/>
      <c r="U120" s="63"/>
      <c r="V120" s="60"/>
      <c r="W120" s="52"/>
      <c r="X120" s="47"/>
      <c r="Y120" s="47"/>
      <c r="Z120" s="47"/>
      <c r="AA120" s="47"/>
      <c r="AB120" s="50"/>
      <c r="AC120" s="50"/>
      <c r="AD120" s="53"/>
      <c r="AE120" s="82"/>
    </row>
    <row r="121" spans="1:31" x14ac:dyDescent="0.35">
      <c r="A121" s="42"/>
      <c r="B121" s="58"/>
      <c r="C121" s="58"/>
      <c r="D121" s="47"/>
      <c r="E121" s="58" t="str">
        <f t="shared" si="2"/>
        <v>OK</v>
      </c>
      <c r="F121" s="43">
        <v>119</v>
      </c>
      <c r="G121" s="47"/>
      <c r="H121" s="67"/>
      <c r="I121" s="47"/>
      <c r="J121" s="47"/>
      <c r="K121" s="47"/>
      <c r="L121" s="48"/>
      <c r="M121" s="64"/>
      <c r="N121" s="47"/>
      <c r="O121" s="62"/>
      <c r="P121" s="62"/>
      <c r="Q121" s="62"/>
      <c r="R121" s="62"/>
      <c r="S121" s="47"/>
      <c r="T121" s="62"/>
      <c r="U121" s="63"/>
      <c r="V121" s="47"/>
      <c r="W121" s="52"/>
      <c r="X121" s="47"/>
      <c r="Y121" s="47"/>
      <c r="Z121" s="47"/>
      <c r="AA121" s="47"/>
      <c r="AB121" s="50"/>
      <c r="AC121" s="50"/>
      <c r="AD121" s="53"/>
      <c r="AE121" s="82" t="str">
        <f t="shared" ref="AE121:AE131" si="3">IF(D121=AD121,"OK","Erreur")</f>
        <v>OK</v>
      </c>
    </row>
    <row r="122" spans="1:31" x14ac:dyDescent="0.35">
      <c r="A122" s="42"/>
      <c r="B122" s="58"/>
      <c r="C122" s="58"/>
      <c r="D122" s="60"/>
      <c r="E122" s="58" t="str">
        <f t="shared" ref="E122:E131" si="4">IF(D122=SUM(G122:AC122),"OK","Erreur")</f>
        <v>OK</v>
      </c>
      <c r="F122" s="42">
        <v>120</v>
      </c>
      <c r="G122" s="47"/>
      <c r="H122" s="67"/>
      <c r="I122" s="47"/>
      <c r="J122" s="47"/>
      <c r="K122" s="47"/>
      <c r="L122" s="48"/>
      <c r="M122" s="64"/>
      <c r="N122" s="60"/>
      <c r="O122" s="62"/>
      <c r="P122" s="62"/>
      <c r="Q122" s="62"/>
      <c r="R122" s="62"/>
      <c r="S122" s="60"/>
      <c r="T122" s="62"/>
      <c r="U122" s="63"/>
      <c r="V122" s="72"/>
      <c r="W122" s="52"/>
      <c r="X122" s="47"/>
      <c r="Y122" s="47"/>
      <c r="Z122" s="47"/>
      <c r="AA122" s="47"/>
      <c r="AB122" s="50"/>
      <c r="AC122" s="50"/>
      <c r="AD122" s="53"/>
      <c r="AE122" s="82" t="str">
        <f t="shared" si="3"/>
        <v>OK</v>
      </c>
    </row>
    <row r="123" spans="1:31" x14ac:dyDescent="0.35">
      <c r="A123" s="42"/>
      <c r="B123" s="58"/>
      <c r="C123" s="58"/>
      <c r="D123" s="60"/>
      <c r="E123" s="58" t="str">
        <f t="shared" si="4"/>
        <v>OK</v>
      </c>
      <c r="F123" s="43">
        <v>121</v>
      </c>
      <c r="G123" s="47"/>
      <c r="H123" s="67"/>
      <c r="I123" s="47"/>
      <c r="J123" s="47"/>
      <c r="K123" s="47"/>
      <c r="L123" s="48"/>
      <c r="M123" s="64"/>
      <c r="N123" s="60"/>
      <c r="O123" s="62"/>
      <c r="P123" s="62"/>
      <c r="Q123" s="62"/>
      <c r="R123" s="62"/>
      <c r="S123" s="47"/>
      <c r="T123" s="70"/>
      <c r="U123" s="63"/>
      <c r="V123" s="72"/>
      <c r="W123" s="52"/>
      <c r="X123" s="47"/>
      <c r="Y123" s="47"/>
      <c r="Z123" s="47"/>
      <c r="AA123" s="47"/>
      <c r="AB123" s="50"/>
      <c r="AC123" s="50"/>
      <c r="AD123" s="53"/>
      <c r="AE123" s="82" t="str">
        <f t="shared" si="3"/>
        <v>OK</v>
      </c>
    </row>
    <row r="124" spans="1:31" x14ac:dyDescent="0.35">
      <c r="A124" s="42"/>
      <c r="B124" s="58"/>
      <c r="C124" s="58"/>
      <c r="D124" s="60"/>
      <c r="E124" s="58" t="str">
        <f t="shared" si="4"/>
        <v>OK</v>
      </c>
      <c r="F124" s="42">
        <v>122</v>
      </c>
      <c r="G124" s="47"/>
      <c r="H124" s="67"/>
      <c r="I124" s="47"/>
      <c r="J124" s="47"/>
      <c r="K124" s="47"/>
      <c r="L124" s="48"/>
      <c r="M124" s="64"/>
      <c r="N124" s="60"/>
      <c r="O124" s="62"/>
      <c r="P124" s="62"/>
      <c r="Q124" s="62"/>
      <c r="R124" s="62"/>
      <c r="S124" s="60"/>
      <c r="T124" s="62"/>
      <c r="U124" s="63"/>
      <c r="V124" s="60"/>
      <c r="W124" s="52"/>
      <c r="X124" s="47"/>
      <c r="Y124" s="47"/>
      <c r="Z124" s="47"/>
      <c r="AA124" s="47"/>
      <c r="AB124" s="50"/>
      <c r="AC124" s="50"/>
      <c r="AD124" s="53"/>
      <c r="AE124" s="82" t="str">
        <f t="shared" si="3"/>
        <v>OK</v>
      </c>
    </row>
    <row r="125" spans="1:31" x14ac:dyDescent="0.35">
      <c r="A125" s="42"/>
      <c r="B125" s="58"/>
      <c r="C125" s="58"/>
      <c r="D125" s="60"/>
      <c r="E125" s="58" t="str">
        <f t="shared" si="4"/>
        <v>OK</v>
      </c>
      <c r="F125" s="43">
        <v>123</v>
      </c>
      <c r="G125" s="47"/>
      <c r="H125" s="67"/>
      <c r="I125" s="47"/>
      <c r="J125" s="47"/>
      <c r="K125" s="47"/>
      <c r="L125" s="48"/>
      <c r="M125" s="64"/>
      <c r="N125" s="60"/>
      <c r="O125" s="62"/>
      <c r="P125" s="62"/>
      <c r="Q125" s="62"/>
      <c r="R125" s="62"/>
      <c r="S125" s="60"/>
      <c r="T125" s="62"/>
      <c r="U125" s="63"/>
      <c r="V125" s="60"/>
      <c r="W125" s="52"/>
      <c r="X125" s="47"/>
      <c r="Y125" s="47"/>
      <c r="Z125" s="47"/>
      <c r="AA125" s="47"/>
      <c r="AB125" s="50"/>
      <c r="AC125" s="50"/>
      <c r="AD125" s="53"/>
      <c r="AE125" s="82" t="str">
        <f t="shared" si="3"/>
        <v>OK</v>
      </c>
    </row>
    <row r="126" spans="1:31" x14ac:dyDescent="0.35">
      <c r="A126" s="42"/>
      <c r="B126" s="58"/>
      <c r="C126" s="58"/>
      <c r="D126" s="60"/>
      <c r="E126" s="58" t="str">
        <f t="shared" si="4"/>
        <v>OK</v>
      </c>
      <c r="F126" s="42">
        <v>124</v>
      </c>
      <c r="G126" s="47"/>
      <c r="H126" s="67"/>
      <c r="I126" s="47"/>
      <c r="J126" s="47"/>
      <c r="K126" s="47"/>
      <c r="L126" s="48"/>
      <c r="M126" s="64"/>
      <c r="N126" s="60"/>
      <c r="O126" s="62"/>
      <c r="P126" s="62"/>
      <c r="Q126" s="62"/>
      <c r="R126" s="62"/>
      <c r="S126" s="70"/>
      <c r="T126" s="47"/>
      <c r="U126" s="63"/>
      <c r="V126" s="72"/>
      <c r="W126" s="52"/>
      <c r="X126" s="47"/>
      <c r="Y126" s="47"/>
      <c r="Z126" s="47"/>
      <c r="AA126" s="47"/>
      <c r="AB126" s="50"/>
      <c r="AC126" s="50"/>
      <c r="AD126" s="53"/>
      <c r="AE126" s="82" t="str">
        <f t="shared" si="3"/>
        <v>OK</v>
      </c>
    </row>
    <row r="127" spans="1:31" x14ac:dyDescent="0.35">
      <c r="A127" s="42"/>
      <c r="B127" s="58"/>
      <c r="C127" s="43"/>
      <c r="D127" s="60"/>
      <c r="E127" s="58" t="str">
        <f t="shared" si="4"/>
        <v>OK</v>
      </c>
      <c r="F127" s="43">
        <v>125</v>
      </c>
      <c r="G127" s="47"/>
      <c r="H127" s="67"/>
      <c r="I127" s="47"/>
      <c r="J127" s="47"/>
      <c r="K127" s="47"/>
      <c r="L127" s="48"/>
      <c r="M127" s="64"/>
      <c r="N127" s="70"/>
      <c r="O127" s="62"/>
      <c r="P127" s="62"/>
      <c r="Q127" s="62"/>
      <c r="R127" s="62"/>
      <c r="S127" s="70"/>
      <c r="T127" s="62"/>
      <c r="U127" s="48"/>
      <c r="V127" s="60"/>
      <c r="W127" s="52"/>
      <c r="X127" s="47"/>
      <c r="Y127" s="47"/>
      <c r="Z127" s="47"/>
      <c r="AA127" s="47"/>
      <c r="AB127" s="50"/>
      <c r="AC127" s="50"/>
      <c r="AD127" s="53"/>
      <c r="AE127" s="82" t="str">
        <f t="shared" si="3"/>
        <v>OK</v>
      </c>
    </row>
    <row r="128" spans="1:31" x14ac:dyDescent="0.35">
      <c r="A128" s="42"/>
      <c r="B128" s="58"/>
      <c r="C128" s="43"/>
      <c r="D128" s="60"/>
      <c r="E128" s="58" t="str">
        <f t="shared" si="4"/>
        <v>OK</v>
      </c>
      <c r="F128" s="42">
        <v>126</v>
      </c>
      <c r="G128" s="47"/>
      <c r="H128" s="47"/>
      <c r="I128" s="47"/>
      <c r="J128" s="47"/>
      <c r="K128" s="47"/>
      <c r="L128" s="48"/>
      <c r="M128" s="64"/>
      <c r="N128" s="70"/>
      <c r="O128" s="62"/>
      <c r="P128" s="62"/>
      <c r="Q128" s="62"/>
      <c r="R128" s="62"/>
      <c r="S128" s="47"/>
      <c r="T128" s="70"/>
      <c r="U128" s="63"/>
      <c r="V128" s="60"/>
      <c r="W128" s="52"/>
      <c r="X128" s="47"/>
      <c r="Y128" s="47"/>
      <c r="Z128" s="47"/>
      <c r="AA128" s="47"/>
      <c r="AB128" s="50"/>
      <c r="AC128" s="50"/>
      <c r="AD128" s="53"/>
      <c r="AE128" s="82" t="str">
        <f t="shared" si="3"/>
        <v>OK</v>
      </c>
    </row>
    <row r="129" spans="1:31" x14ac:dyDescent="0.35">
      <c r="A129" s="42"/>
      <c r="B129" s="58"/>
      <c r="C129" s="42"/>
      <c r="D129" s="47"/>
      <c r="E129" s="58" t="str">
        <f t="shared" si="4"/>
        <v>OK</v>
      </c>
      <c r="F129" s="43">
        <v>127</v>
      </c>
      <c r="G129" s="47"/>
      <c r="H129" s="47"/>
      <c r="I129" s="47"/>
      <c r="J129" s="47"/>
      <c r="K129" s="47"/>
      <c r="L129" s="48"/>
      <c r="M129" s="64"/>
      <c r="N129" s="62"/>
      <c r="O129" s="62"/>
      <c r="P129" s="62"/>
      <c r="Q129" s="62"/>
      <c r="R129" s="62"/>
      <c r="S129" s="47"/>
      <c r="T129" s="62"/>
      <c r="U129" s="48"/>
      <c r="V129" s="51"/>
      <c r="W129" s="52"/>
      <c r="X129" s="47"/>
      <c r="Y129" s="47"/>
      <c r="Z129" s="47"/>
      <c r="AA129" s="47"/>
      <c r="AB129" s="50"/>
      <c r="AC129" s="50"/>
      <c r="AD129" s="53"/>
      <c r="AE129" s="82" t="str">
        <f t="shared" si="3"/>
        <v>OK</v>
      </c>
    </row>
    <row r="130" spans="1:31" x14ac:dyDescent="0.35">
      <c r="A130" s="42"/>
      <c r="B130" s="58"/>
      <c r="C130" s="58"/>
      <c r="D130" s="60"/>
      <c r="E130" s="58" t="str">
        <f t="shared" si="4"/>
        <v>OK</v>
      </c>
      <c r="F130" s="42">
        <v>128</v>
      </c>
      <c r="G130" s="47"/>
      <c r="H130" s="47"/>
      <c r="I130" s="47"/>
      <c r="J130" s="47"/>
      <c r="K130" s="47"/>
      <c r="L130" s="48"/>
      <c r="M130" s="64"/>
      <c r="N130" s="47"/>
      <c r="O130" s="62"/>
      <c r="P130" s="62"/>
      <c r="Q130" s="62"/>
      <c r="R130" s="62"/>
      <c r="S130" s="47"/>
      <c r="T130" s="62"/>
      <c r="U130" s="70"/>
      <c r="V130" s="51"/>
      <c r="W130" s="52"/>
      <c r="X130" s="47"/>
      <c r="Y130" s="47"/>
      <c r="Z130" s="47"/>
      <c r="AA130" s="47"/>
      <c r="AB130" s="50"/>
      <c r="AC130" s="50"/>
      <c r="AD130" s="53"/>
      <c r="AE130" s="82" t="str">
        <f t="shared" si="3"/>
        <v>OK</v>
      </c>
    </row>
    <row r="131" spans="1:31" x14ac:dyDescent="0.35">
      <c r="A131" s="42"/>
      <c r="B131" s="58"/>
      <c r="C131" s="43"/>
      <c r="D131" s="60"/>
      <c r="E131" s="58" t="str">
        <f t="shared" si="4"/>
        <v>OK</v>
      </c>
      <c r="F131" s="43">
        <v>129</v>
      </c>
      <c r="G131" s="47"/>
      <c r="H131" s="47"/>
      <c r="I131" s="47"/>
      <c r="J131" s="47"/>
      <c r="K131" s="47"/>
      <c r="L131" s="48"/>
      <c r="M131" s="64"/>
      <c r="N131" s="60"/>
      <c r="O131" s="62"/>
      <c r="P131" s="62"/>
      <c r="Q131" s="62"/>
      <c r="R131" s="62"/>
      <c r="S131" s="60"/>
      <c r="T131" s="62"/>
      <c r="U131" s="73"/>
      <c r="V131" s="51"/>
      <c r="W131" s="52"/>
      <c r="X131" s="47"/>
      <c r="Y131" s="47"/>
      <c r="Z131" s="47"/>
      <c r="AA131" s="47"/>
      <c r="AB131" s="50"/>
      <c r="AC131" s="50"/>
      <c r="AD131" s="53"/>
      <c r="AE131" s="82" t="str">
        <f t="shared" si="3"/>
        <v>OK</v>
      </c>
    </row>
    <row r="132" spans="1:31" ht="15" thickBot="1" x14ac:dyDescent="0.4"/>
    <row r="133" spans="1:31" ht="18" customHeight="1" x14ac:dyDescent="0.35">
      <c r="G133" s="145" t="s">
        <v>14</v>
      </c>
      <c r="H133" s="146"/>
      <c r="I133" s="146"/>
      <c r="J133" s="146"/>
      <c r="K133" s="146"/>
      <c r="L133" s="147"/>
      <c r="M133" s="148" t="s">
        <v>15</v>
      </c>
      <c r="N133" s="149"/>
      <c r="O133" s="149"/>
      <c r="P133" s="149"/>
      <c r="Q133" s="149"/>
      <c r="R133" s="149"/>
      <c r="S133" s="149"/>
      <c r="T133" s="149"/>
      <c r="U133" s="150"/>
      <c r="V133" s="69" t="s">
        <v>22</v>
      </c>
      <c r="W133" s="151" t="s">
        <v>16</v>
      </c>
      <c r="X133" s="152"/>
      <c r="Y133" s="152"/>
      <c r="Z133" s="152"/>
      <c r="AA133" s="152"/>
      <c r="AB133" s="152"/>
      <c r="AC133" s="153"/>
    </row>
    <row r="134" spans="1:31" x14ac:dyDescent="0.35">
      <c r="G134" s="8">
        <v>0.33</v>
      </c>
      <c r="H134" s="1">
        <v>0.5</v>
      </c>
      <c r="I134" s="1">
        <v>1</v>
      </c>
      <c r="J134" s="1">
        <v>1.5</v>
      </c>
      <c r="K134" s="1">
        <v>2</v>
      </c>
      <c r="L134" s="9">
        <v>5</v>
      </c>
      <c r="M134" s="44">
        <v>0.33</v>
      </c>
      <c r="N134" s="1">
        <v>0.5</v>
      </c>
      <c r="O134" s="1">
        <v>0.75</v>
      </c>
      <c r="P134" s="1">
        <v>1</v>
      </c>
      <c r="Q134" s="1">
        <v>1.1499999999999999</v>
      </c>
      <c r="R134" s="1">
        <v>1.25</v>
      </c>
      <c r="S134" s="1">
        <v>1.5</v>
      </c>
      <c r="T134" s="1">
        <v>2</v>
      </c>
      <c r="U134" s="9">
        <v>5</v>
      </c>
      <c r="V134" s="45">
        <v>18.899999999999999</v>
      </c>
      <c r="W134" s="44">
        <v>0.33</v>
      </c>
      <c r="X134" s="1">
        <v>0.5</v>
      </c>
      <c r="Y134" s="1">
        <v>1</v>
      </c>
      <c r="Z134" s="1">
        <v>1.1499999999999999</v>
      </c>
      <c r="AA134" s="1">
        <v>1.5</v>
      </c>
      <c r="AB134" s="1">
        <v>2</v>
      </c>
      <c r="AC134" s="1">
        <v>5</v>
      </c>
    </row>
    <row r="135" spans="1:31" x14ac:dyDescent="0.35">
      <c r="A135" s="46" t="s">
        <v>17</v>
      </c>
      <c r="B135" s="46"/>
      <c r="C135" s="46"/>
      <c r="D135" s="78">
        <f>SUM(D3:D131)</f>
        <v>0</v>
      </c>
      <c r="E135" s="58" t="str">
        <f t="shared" ref="E135" si="5">IF(D135=AD135,"OK","Erreur")</f>
        <v>OK</v>
      </c>
      <c r="G135" s="78">
        <f t="shared" ref="G135:AD135" si="6">SUM(G3:G131)</f>
        <v>0</v>
      </c>
      <c r="H135" s="78">
        <f t="shared" si="6"/>
        <v>0</v>
      </c>
      <c r="I135" s="78">
        <f t="shared" si="6"/>
        <v>0</v>
      </c>
      <c r="J135" s="78">
        <f t="shared" si="6"/>
        <v>0</v>
      </c>
      <c r="K135" s="78">
        <f t="shared" si="6"/>
        <v>0</v>
      </c>
      <c r="L135" s="78">
        <f t="shared" si="6"/>
        <v>0</v>
      </c>
      <c r="M135" s="78">
        <f t="shared" si="6"/>
        <v>0</v>
      </c>
      <c r="N135" s="78">
        <f t="shared" si="6"/>
        <v>0</v>
      </c>
      <c r="O135" s="78">
        <f t="shared" si="6"/>
        <v>0</v>
      </c>
      <c r="P135" s="78">
        <f t="shared" si="6"/>
        <v>0</v>
      </c>
      <c r="Q135" s="78">
        <f t="shared" si="6"/>
        <v>0</v>
      </c>
      <c r="R135" s="78">
        <f t="shared" si="6"/>
        <v>0</v>
      </c>
      <c r="S135" s="78">
        <f t="shared" si="6"/>
        <v>0</v>
      </c>
      <c r="T135" s="78">
        <f t="shared" si="6"/>
        <v>0</v>
      </c>
      <c r="U135" s="78">
        <f t="shared" si="6"/>
        <v>0</v>
      </c>
      <c r="V135" s="78">
        <f t="shared" si="6"/>
        <v>0</v>
      </c>
      <c r="W135" s="78">
        <f t="shared" si="6"/>
        <v>0</v>
      </c>
      <c r="X135" s="78">
        <f t="shared" si="6"/>
        <v>0</v>
      </c>
      <c r="Y135" s="78">
        <f t="shared" si="6"/>
        <v>0</v>
      </c>
      <c r="Z135" s="78">
        <f t="shared" si="6"/>
        <v>0</v>
      </c>
      <c r="AA135" s="78">
        <f t="shared" si="6"/>
        <v>0</v>
      </c>
      <c r="AB135" s="78">
        <f t="shared" si="6"/>
        <v>0</v>
      </c>
      <c r="AC135" s="78">
        <f t="shared" si="6"/>
        <v>0</v>
      </c>
      <c r="AD135" s="78">
        <f t="shared" si="6"/>
        <v>0</v>
      </c>
      <c r="AE135" s="82" t="str">
        <f t="shared" ref="AE135" si="7">IF(D135=AD135,"OK","Erreur")</f>
        <v>OK</v>
      </c>
    </row>
  </sheetData>
  <sortState xmlns:xlrd2="http://schemas.microsoft.com/office/spreadsheetml/2017/richdata2" ref="A3:AD88">
    <sortCondition ref="F3:F88"/>
  </sortState>
  <mergeCells count="6">
    <mergeCell ref="W1:AC1"/>
    <mergeCell ref="G133:L133"/>
    <mergeCell ref="M133:U133"/>
    <mergeCell ref="W133:AC133"/>
    <mergeCell ref="G1:L1"/>
    <mergeCell ref="M1:U1"/>
  </mergeCells>
  <conditionalFormatting sqref="E3:E131">
    <cfRule type="containsText" dxfId="11" priority="4" operator="containsText" text="OK">
      <formula>NOT(ISERROR(SEARCH("OK",E3)))</formula>
    </cfRule>
  </conditionalFormatting>
  <conditionalFormatting sqref="E135">
    <cfRule type="containsText" dxfId="10" priority="2" operator="containsText" text="OK">
      <formula>NOT(ISERROR(SEARCH("OK",E135)))</formula>
    </cfRule>
  </conditionalFormatting>
  <conditionalFormatting sqref="A3:A131">
    <cfRule type="duplicateValues" dxfId="9" priority="1"/>
  </conditionalFormatting>
  <printOptions horizontalCentered="1"/>
  <pageMargins left="0.19685039370078741" right="0.19685039370078741" top="0.19685039370078741" bottom="0.19685039370078741" header="0" footer="0.19685039370078741"/>
  <pageSetup paperSize="9" scale="36" orientation="portrait" r:id="rId1"/>
  <headerFooter scaleWithDoc="0"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3"/>
  <sheetViews>
    <sheetView topLeftCell="A37" zoomScaleNormal="100" workbookViewId="0">
      <selection activeCell="C62" sqref="C62"/>
    </sheetView>
  </sheetViews>
  <sheetFormatPr baseColWidth="10" defaultRowHeight="14.5" x14ac:dyDescent="0.35"/>
  <cols>
    <col min="1" max="1" width="8.81640625" bestFit="1" customWidth="1"/>
  </cols>
  <sheetData>
    <row r="1" spans="1:7" x14ac:dyDescent="0.35">
      <c r="A1" s="83" t="s">
        <v>38</v>
      </c>
      <c r="B1" t="s">
        <v>87</v>
      </c>
    </row>
    <row r="2" spans="1:7" x14ac:dyDescent="0.35">
      <c r="B2" t="s">
        <v>88</v>
      </c>
    </row>
    <row r="4" spans="1:7" x14ac:dyDescent="0.35">
      <c r="A4" s="83" t="s">
        <v>39</v>
      </c>
      <c r="B4" s="84" t="s">
        <v>85</v>
      </c>
    </row>
    <row r="5" spans="1:7" x14ac:dyDescent="0.35">
      <c r="A5" s="83"/>
      <c r="B5" s="84" t="s">
        <v>84</v>
      </c>
    </row>
    <row r="6" spans="1:7" x14ac:dyDescent="0.35">
      <c r="A6" s="83"/>
      <c r="B6" s="84" t="s">
        <v>86</v>
      </c>
    </row>
    <row r="7" spans="1:7" x14ac:dyDescent="0.35">
      <c r="A7" s="83"/>
      <c r="B7" s="84"/>
    </row>
    <row r="8" spans="1:7" x14ac:dyDescent="0.35">
      <c r="A8" s="83" t="s">
        <v>61</v>
      </c>
      <c r="B8" s="84" t="s">
        <v>89</v>
      </c>
    </row>
    <row r="9" spans="1:7" x14ac:dyDescent="0.35">
      <c r="B9" s="84" t="s">
        <v>90</v>
      </c>
    </row>
    <row r="10" spans="1:7" x14ac:dyDescent="0.35">
      <c r="B10" s="84"/>
    </row>
    <row r="11" spans="1:7" x14ac:dyDescent="0.35">
      <c r="A11" s="83" t="s">
        <v>62</v>
      </c>
      <c r="B11" s="84" t="s">
        <v>63</v>
      </c>
    </row>
    <row r="12" spans="1:7" x14ac:dyDescent="0.35">
      <c r="B12" s="84" t="s">
        <v>64</v>
      </c>
    </row>
    <row r="13" spans="1:7" x14ac:dyDescent="0.35">
      <c r="B13" s="84" t="s">
        <v>71</v>
      </c>
    </row>
    <row r="15" spans="1:7" x14ac:dyDescent="0.35">
      <c r="B15" s="84" t="s">
        <v>65</v>
      </c>
      <c r="C15" s="91" t="s">
        <v>66</v>
      </c>
      <c r="F15" t="s">
        <v>67</v>
      </c>
      <c r="G15" t="s">
        <v>69</v>
      </c>
    </row>
    <row r="16" spans="1:7" x14ac:dyDescent="0.35">
      <c r="C16" s="91" t="s">
        <v>68</v>
      </c>
      <c r="F16" t="s">
        <v>67</v>
      </c>
      <c r="G16" t="s">
        <v>70</v>
      </c>
    </row>
    <row r="19" spans="1:2" x14ac:dyDescent="0.35">
      <c r="A19" s="83" t="s">
        <v>40</v>
      </c>
      <c r="B19" t="s">
        <v>41</v>
      </c>
    </row>
    <row r="20" spans="1:2" x14ac:dyDescent="0.35">
      <c r="B20" t="s">
        <v>72</v>
      </c>
    </row>
    <row r="21" spans="1:2" x14ac:dyDescent="0.35">
      <c r="B21" t="s">
        <v>75</v>
      </c>
    </row>
    <row r="22" spans="1:2" x14ac:dyDescent="0.35">
      <c r="B22" s="84" t="s">
        <v>42</v>
      </c>
    </row>
    <row r="23" spans="1:2" x14ac:dyDescent="0.35">
      <c r="B23" s="84" t="s">
        <v>43</v>
      </c>
    </row>
    <row r="24" spans="1:2" x14ac:dyDescent="0.35">
      <c r="B24" s="84"/>
    </row>
    <row r="25" spans="1:2" x14ac:dyDescent="0.35">
      <c r="B25" s="84"/>
    </row>
    <row r="26" spans="1:2" x14ac:dyDescent="0.35">
      <c r="B26" s="84"/>
    </row>
    <row r="37" spans="1:5" x14ac:dyDescent="0.35">
      <c r="A37" s="83" t="s">
        <v>44</v>
      </c>
      <c r="B37" t="s">
        <v>73</v>
      </c>
    </row>
    <row r="38" spans="1:5" x14ac:dyDescent="0.35">
      <c r="B38" t="s">
        <v>74</v>
      </c>
    </row>
    <row r="39" spans="1:5" x14ac:dyDescent="0.35">
      <c r="B39" t="s">
        <v>76</v>
      </c>
    </row>
    <row r="41" spans="1:5" x14ac:dyDescent="0.35">
      <c r="A41" s="83" t="s">
        <v>51</v>
      </c>
      <c r="B41" t="s">
        <v>77</v>
      </c>
    </row>
    <row r="44" spans="1:5" x14ac:dyDescent="0.35">
      <c r="E44" t="s">
        <v>78</v>
      </c>
    </row>
    <row r="45" spans="1:5" x14ac:dyDescent="0.35">
      <c r="E45" t="s">
        <v>79</v>
      </c>
    </row>
    <row r="48" spans="1:5" x14ac:dyDescent="0.35">
      <c r="E48" t="s">
        <v>80</v>
      </c>
    </row>
    <row r="62" spans="1:2" x14ac:dyDescent="0.35">
      <c r="A62" s="83" t="s">
        <v>81</v>
      </c>
      <c r="B62" t="s">
        <v>82</v>
      </c>
    </row>
    <row r="63" spans="1:2" x14ac:dyDescent="0.35">
      <c r="B63" t="s">
        <v>83</v>
      </c>
    </row>
  </sheetData>
  <pageMargins left="0.7" right="0.7" top="0.75" bottom="0.75" header="0.3" footer="0.3"/>
  <pageSetup paperSize="9" orientation="landscape" r:id="rId1"/>
  <headerFooter>
    <oddHeader>&amp;C&amp;"-,Gras"&amp;U&amp;A</oddHeader>
    <oddFooter>Page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2"/>
  <sheetViews>
    <sheetView workbookViewId="0">
      <selection activeCell="D63" sqref="D63"/>
    </sheetView>
  </sheetViews>
  <sheetFormatPr baseColWidth="10" defaultRowHeight="14.5" x14ac:dyDescent="0.35"/>
  <cols>
    <col min="1" max="1" width="19.7265625" bestFit="1" customWidth="1"/>
    <col min="2" max="2" width="13" bestFit="1" customWidth="1"/>
    <col min="4" max="4" width="7.7265625" customWidth="1"/>
    <col min="5" max="5" width="37.1796875" bestFit="1" customWidth="1"/>
    <col min="6" max="6" width="13.81640625" bestFit="1" customWidth="1"/>
    <col min="7" max="7" width="20.54296875" customWidth="1"/>
    <col min="10" max="10" width="13.6328125" customWidth="1"/>
    <col min="11" max="11" width="20.08984375" customWidth="1"/>
    <col min="12" max="12" width="15.1796875" customWidth="1"/>
    <col min="13" max="13" width="13.6328125" customWidth="1"/>
    <col min="16" max="16" width="19.26953125" customWidth="1"/>
    <col min="17" max="17" width="11.1796875" customWidth="1"/>
    <col min="18" max="18" width="12.08984375" customWidth="1"/>
    <col min="19" max="19" width="13.08984375" customWidth="1"/>
    <col min="21" max="21" width="17.54296875" customWidth="1"/>
  </cols>
  <sheetData>
    <row r="1" spans="1:26" ht="34.5" thickBot="1" x14ac:dyDescent="0.4">
      <c r="A1" s="71" t="s">
        <v>24</v>
      </c>
      <c r="B1" s="71" t="s">
        <v>25</v>
      </c>
      <c r="D1" s="154" t="s">
        <v>14</v>
      </c>
      <c r="E1" s="143"/>
      <c r="F1" s="143"/>
      <c r="G1" s="143"/>
      <c r="H1" s="143"/>
      <c r="I1" s="144"/>
      <c r="J1" s="155" t="s">
        <v>15</v>
      </c>
      <c r="K1" s="143"/>
      <c r="L1" s="143"/>
      <c r="M1" s="143"/>
      <c r="N1" s="143"/>
      <c r="O1" s="143"/>
      <c r="P1" s="143"/>
      <c r="Q1" s="143"/>
      <c r="R1" s="144"/>
      <c r="S1" s="68" t="s">
        <v>23</v>
      </c>
      <c r="T1" s="142" t="s">
        <v>16</v>
      </c>
      <c r="U1" s="143"/>
      <c r="V1" s="143"/>
      <c r="W1" s="143"/>
      <c r="X1" s="143"/>
      <c r="Y1" s="143"/>
      <c r="Z1" s="144"/>
    </row>
    <row r="2" spans="1:26" x14ac:dyDescent="0.35">
      <c r="A2" s="42" t="s">
        <v>60</v>
      </c>
      <c r="B2" s="42" t="s">
        <v>36</v>
      </c>
      <c r="D2" s="10">
        <v>0.33</v>
      </c>
      <c r="E2" s="7">
        <v>0.5</v>
      </c>
      <c r="F2" s="7">
        <v>1</v>
      </c>
      <c r="G2" s="7">
        <v>1.5</v>
      </c>
      <c r="H2" s="7">
        <v>2</v>
      </c>
      <c r="I2" s="11">
        <v>5</v>
      </c>
      <c r="J2" s="54">
        <v>0.33</v>
      </c>
      <c r="K2" s="7">
        <v>0.5</v>
      </c>
      <c r="L2" s="7">
        <v>0.75</v>
      </c>
      <c r="M2" s="7">
        <v>1</v>
      </c>
      <c r="N2" s="7">
        <v>1.1499999999999999</v>
      </c>
      <c r="O2" s="7">
        <v>1.25</v>
      </c>
      <c r="P2" s="7">
        <v>1.5</v>
      </c>
      <c r="Q2" s="7">
        <v>2</v>
      </c>
      <c r="R2" s="11">
        <v>5</v>
      </c>
      <c r="S2" s="55">
        <v>18.899999999999999</v>
      </c>
      <c r="T2" s="54">
        <v>0.33</v>
      </c>
      <c r="U2" s="7">
        <v>0.5</v>
      </c>
      <c r="V2" s="7">
        <v>1</v>
      </c>
      <c r="W2" s="7">
        <v>1.1499999999999999</v>
      </c>
      <c r="X2" s="7">
        <v>1.5</v>
      </c>
      <c r="Y2" s="7">
        <v>2</v>
      </c>
      <c r="Z2" s="7">
        <v>5</v>
      </c>
    </row>
    <row r="3" spans="1:26" x14ac:dyDescent="0.35">
      <c r="A3" s="42" t="s">
        <v>47</v>
      </c>
      <c r="B3" s="42" t="s">
        <v>46</v>
      </c>
      <c r="E3" s="106" t="s">
        <v>66</v>
      </c>
      <c r="G3" s="91" t="s">
        <v>144</v>
      </c>
      <c r="H3" s="102" t="s">
        <v>173</v>
      </c>
      <c r="J3" s="91" t="s">
        <v>138</v>
      </c>
      <c r="K3" s="91" t="s">
        <v>129</v>
      </c>
      <c r="L3" s="91" t="s">
        <v>137</v>
      </c>
      <c r="M3" s="91" t="s">
        <v>154</v>
      </c>
      <c r="P3" s="91" t="s">
        <v>158</v>
      </c>
      <c r="Q3" s="106" t="s">
        <v>127</v>
      </c>
      <c r="R3" s="91" t="s">
        <v>132</v>
      </c>
      <c r="S3" s="91" t="s">
        <v>131</v>
      </c>
      <c r="U3" s="91" t="s">
        <v>153</v>
      </c>
      <c r="X3" s="102" t="s">
        <v>174</v>
      </c>
    </row>
    <row r="4" spans="1:26" x14ac:dyDescent="0.35">
      <c r="A4" s="42" t="s">
        <v>35</v>
      </c>
      <c r="B4" s="42" t="s">
        <v>32</v>
      </c>
      <c r="E4" s="91" t="s">
        <v>140</v>
      </c>
      <c r="G4" s="91" t="s">
        <v>157</v>
      </c>
      <c r="J4" s="106" t="s">
        <v>68</v>
      </c>
      <c r="K4" s="102" t="s">
        <v>126</v>
      </c>
      <c r="M4" s="106" t="s">
        <v>135</v>
      </c>
      <c r="P4" s="106" t="s">
        <v>130</v>
      </c>
      <c r="U4" s="91" t="s">
        <v>142</v>
      </c>
    </row>
    <row r="5" spans="1:26" x14ac:dyDescent="0.35">
      <c r="A5" s="42" t="s">
        <v>31</v>
      </c>
      <c r="B5" s="42" t="s">
        <v>32</v>
      </c>
      <c r="E5" s="91" t="s">
        <v>143</v>
      </c>
      <c r="G5" s="91" t="s">
        <v>156</v>
      </c>
      <c r="J5" s="162" t="s">
        <v>182</v>
      </c>
      <c r="K5" s="91" t="s">
        <v>155</v>
      </c>
      <c r="M5" s="106" t="s">
        <v>159</v>
      </c>
      <c r="P5" s="106" t="s">
        <v>128</v>
      </c>
      <c r="U5" s="102"/>
    </row>
    <row r="6" spans="1:26" x14ac:dyDescent="0.35">
      <c r="A6" s="42" t="s">
        <v>45</v>
      </c>
      <c r="B6" s="42" t="s">
        <v>27</v>
      </c>
      <c r="E6" s="106" t="s">
        <v>141</v>
      </c>
      <c r="G6" s="106" t="s">
        <v>150</v>
      </c>
      <c r="K6" s="42" t="s">
        <v>172</v>
      </c>
      <c r="M6" s="91" t="s">
        <v>139</v>
      </c>
      <c r="P6" s="91" t="s">
        <v>151</v>
      </c>
    </row>
    <row r="7" spans="1:26" x14ac:dyDescent="0.35">
      <c r="A7" s="42" t="s">
        <v>59</v>
      </c>
      <c r="B7" s="42" t="s">
        <v>27</v>
      </c>
      <c r="G7" s="91" t="s">
        <v>149</v>
      </c>
      <c r="K7" s="105" t="s">
        <v>175</v>
      </c>
      <c r="P7" s="91" t="s">
        <v>148</v>
      </c>
    </row>
    <row r="8" spans="1:26" x14ac:dyDescent="0.35">
      <c r="A8" s="42" t="s">
        <v>30</v>
      </c>
      <c r="B8" s="42" t="s">
        <v>27</v>
      </c>
      <c r="G8" s="106" t="s">
        <v>147</v>
      </c>
      <c r="K8" s="102" t="s">
        <v>176</v>
      </c>
      <c r="P8" s="162" t="s">
        <v>180</v>
      </c>
    </row>
    <row r="9" spans="1:26" x14ac:dyDescent="0.35">
      <c r="A9" s="42" t="s">
        <v>26</v>
      </c>
      <c r="B9" s="42" t="s">
        <v>27</v>
      </c>
      <c r="G9" s="91" t="s">
        <v>136</v>
      </c>
    </row>
    <row r="10" spans="1:26" x14ac:dyDescent="0.35">
      <c r="A10" s="42" t="s">
        <v>48</v>
      </c>
      <c r="B10" s="42" t="s">
        <v>27</v>
      </c>
      <c r="G10" s="106" t="s">
        <v>146</v>
      </c>
    </row>
    <row r="11" spans="1:26" x14ac:dyDescent="0.35">
      <c r="A11" s="42" t="s">
        <v>29</v>
      </c>
      <c r="B11" s="42" t="s">
        <v>27</v>
      </c>
      <c r="G11" s="91" t="s">
        <v>145</v>
      </c>
    </row>
    <row r="12" spans="1:26" x14ac:dyDescent="0.35">
      <c r="A12" s="42" t="s">
        <v>33</v>
      </c>
      <c r="B12" s="42" t="s">
        <v>27</v>
      </c>
      <c r="G12" s="102" t="s">
        <v>149</v>
      </c>
    </row>
    <row r="13" spans="1:26" x14ac:dyDescent="0.35">
      <c r="A13" s="42" t="s">
        <v>49</v>
      </c>
      <c r="B13" s="42" t="s">
        <v>27</v>
      </c>
    </row>
    <row r="14" spans="1:26" x14ac:dyDescent="0.35">
      <c r="A14" s="42" t="s">
        <v>28</v>
      </c>
      <c r="B14" s="42" t="s">
        <v>27</v>
      </c>
      <c r="E14" s="91"/>
      <c r="G14" s="91"/>
    </row>
    <row r="15" spans="1:26" x14ac:dyDescent="0.35">
      <c r="A15" s="42" t="s">
        <v>34</v>
      </c>
      <c r="B15" s="42" t="s">
        <v>27</v>
      </c>
    </row>
    <row r="16" spans="1:26" x14ac:dyDescent="0.35">
      <c r="A16" t="s">
        <v>58</v>
      </c>
      <c r="B16" s="42" t="s">
        <v>46</v>
      </c>
    </row>
    <row r="17" spans="1:26" x14ac:dyDescent="0.35">
      <c r="A17" s="42"/>
      <c r="B17" s="42"/>
      <c r="D17" s="42" t="s">
        <v>160</v>
      </c>
      <c r="E17" s="42" t="s">
        <v>112</v>
      </c>
      <c r="F17" s="42" t="s">
        <v>161</v>
      </c>
      <c r="G17" s="42" t="s">
        <v>113</v>
      </c>
      <c r="H17" s="42" t="s">
        <v>162</v>
      </c>
      <c r="I17" s="42" t="s">
        <v>163</v>
      </c>
      <c r="J17" s="42" t="s">
        <v>117</v>
      </c>
      <c r="K17" s="42" t="s">
        <v>111</v>
      </c>
      <c r="L17" s="42" t="s">
        <v>120</v>
      </c>
      <c r="M17" s="42" t="s">
        <v>115</v>
      </c>
      <c r="N17" s="42" t="s">
        <v>164</v>
      </c>
      <c r="O17" s="42" t="s">
        <v>165</v>
      </c>
      <c r="P17" s="42" t="s">
        <v>116</v>
      </c>
      <c r="Q17" s="42" t="s">
        <v>119</v>
      </c>
      <c r="R17" s="42" t="s">
        <v>121</v>
      </c>
      <c r="S17" s="42" t="s">
        <v>114</v>
      </c>
      <c r="T17" s="42" t="s">
        <v>166</v>
      </c>
      <c r="U17" s="42" t="s">
        <v>118</v>
      </c>
      <c r="V17" s="42" t="s">
        <v>167</v>
      </c>
      <c r="W17" s="42" t="s">
        <v>168</v>
      </c>
      <c r="X17" s="42" t="s">
        <v>169</v>
      </c>
      <c r="Y17" s="42" t="s">
        <v>170</v>
      </c>
      <c r="Z17" s="42" t="s">
        <v>171</v>
      </c>
    </row>
    <row r="18" spans="1:26" x14ac:dyDescent="0.35">
      <c r="A18" s="42"/>
      <c r="B18" s="42"/>
    </row>
    <row r="19" spans="1:26" x14ac:dyDescent="0.35">
      <c r="C19" s="91"/>
      <c r="D19" s="156" t="s">
        <v>178</v>
      </c>
      <c r="E19" s="42" t="s">
        <v>179</v>
      </c>
      <c r="F19" s="42" t="s">
        <v>24</v>
      </c>
    </row>
    <row r="20" spans="1:26" x14ac:dyDescent="0.35">
      <c r="A20">
        <v>1</v>
      </c>
      <c r="B20" t="s">
        <v>160</v>
      </c>
      <c r="D20" s="156">
        <v>2</v>
      </c>
      <c r="E20" s="77" t="s">
        <v>66</v>
      </c>
      <c r="F20" s="42" t="str">
        <f>LOOKUP(D20,$A$20:$A$42,$B$20:$B$42)</f>
        <v>limonade 0,5l</v>
      </c>
    </row>
    <row r="21" spans="1:26" x14ac:dyDescent="0.35">
      <c r="A21">
        <v>2</v>
      </c>
      <c r="B21" t="s">
        <v>112</v>
      </c>
      <c r="D21" s="156">
        <v>2</v>
      </c>
      <c r="E21" s="157" t="s">
        <v>140</v>
      </c>
      <c r="F21" s="42" t="str">
        <f>LOOKUP(D21,$A$20:$A$42,$B$20:$B$42)</f>
        <v>limonade 0,5l</v>
      </c>
    </row>
    <row r="22" spans="1:26" x14ac:dyDescent="0.35">
      <c r="A22">
        <v>3</v>
      </c>
      <c r="B22" t="s">
        <v>161</v>
      </c>
      <c r="D22" s="156">
        <v>2</v>
      </c>
      <c r="E22" s="157" t="s">
        <v>143</v>
      </c>
      <c r="F22" s="42" t="str">
        <f>LOOKUP(D22,$A$20:$A$42,$B$20:$B$42)</f>
        <v>limonade 0,5l</v>
      </c>
    </row>
    <row r="23" spans="1:26" x14ac:dyDescent="0.35">
      <c r="A23">
        <v>4</v>
      </c>
      <c r="B23" t="s">
        <v>113</v>
      </c>
      <c r="D23" s="156">
        <v>2</v>
      </c>
      <c r="E23" s="77" t="s">
        <v>141</v>
      </c>
      <c r="F23" s="42" t="str">
        <f>LOOKUP(D23,$A$20:$A$42,$B$20:$B$42)</f>
        <v>limonade 0,5l</v>
      </c>
    </row>
    <row r="24" spans="1:26" x14ac:dyDescent="0.35">
      <c r="A24">
        <v>5</v>
      </c>
      <c r="B24" t="s">
        <v>162</v>
      </c>
      <c r="D24" s="156">
        <v>4</v>
      </c>
      <c r="E24" s="157" t="s">
        <v>144</v>
      </c>
      <c r="F24" s="42" t="str">
        <f>LOOKUP(D24,$A$20:$A$42,$B$20:$B$42)</f>
        <v>limonade 1,5l</v>
      </c>
    </row>
    <row r="25" spans="1:26" x14ac:dyDescent="0.35">
      <c r="A25">
        <v>6</v>
      </c>
      <c r="B25" t="s">
        <v>163</v>
      </c>
      <c r="D25" s="156">
        <v>4</v>
      </c>
      <c r="E25" s="157" t="s">
        <v>157</v>
      </c>
      <c r="F25" s="42" t="str">
        <f>LOOKUP(D25,$A$20:$A$42,$B$20:$B$42)</f>
        <v>limonade 1,5l</v>
      </c>
    </row>
    <row r="26" spans="1:26" x14ac:dyDescent="0.35">
      <c r="A26">
        <v>7</v>
      </c>
      <c r="B26" t="s">
        <v>117</v>
      </c>
      <c r="D26" s="156">
        <v>4</v>
      </c>
      <c r="E26" s="157" t="s">
        <v>156</v>
      </c>
      <c r="F26" s="42" t="str">
        <f>LOOKUP(D26,$A$20:$A$42,$B$20:$B$42)</f>
        <v>limonade 1,5l</v>
      </c>
    </row>
    <row r="27" spans="1:26" x14ac:dyDescent="0.35">
      <c r="A27">
        <v>8</v>
      </c>
      <c r="B27" t="s">
        <v>111</v>
      </c>
      <c r="D27" s="156">
        <v>4</v>
      </c>
      <c r="E27" s="77" t="s">
        <v>150</v>
      </c>
      <c r="F27" s="42" t="str">
        <f>LOOKUP(D27,$A$20:$A$42,$B$20:$B$42)</f>
        <v>limonade 1,5l</v>
      </c>
    </row>
    <row r="28" spans="1:26" x14ac:dyDescent="0.35">
      <c r="A28">
        <v>9</v>
      </c>
      <c r="B28" t="s">
        <v>120</v>
      </c>
      <c r="D28" s="156">
        <v>4</v>
      </c>
      <c r="E28" s="157" t="s">
        <v>149</v>
      </c>
      <c r="F28" s="42" t="str">
        <f>LOOKUP(D28,$A$20:$A$42,$B$20:$B$42)</f>
        <v>limonade 1,5l</v>
      </c>
    </row>
    <row r="29" spans="1:26" x14ac:dyDescent="0.35">
      <c r="A29">
        <v>10</v>
      </c>
      <c r="B29" t="s">
        <v>115</v>
      </c>
      <c r="D29" s="156">
        <v>4</v>
      </c>
      <c r="E29" s="77" t="s">
        <v>147</v>
      </c>
      <c r="F29" s="42" t="str">
        <f>LOOKUP(D29,$A$20:$A$42,$B$20:$B$42)</f>
        <v>limonade 1,5l</v>
      </c>
    </row>
    <row r="30" spans="1:26" x14ac:dyDescent="0.35">
      <c r="A30">
        <v>11</v>
      </c>
      <c r="B30" t="s">
        <v>164</v>
      </c>
      <c r="D30" s="156">
        <v>4</v>
      </c>
      <c r="E30" s="157" t="s">
        <v>136</v>
      </c>
      <c r="F30" s="42" t="str">
        <f>LOOKUP(D30,$A$20:$A$42,$B$20:$B$42)</f>
        <v>limonade 1,5l</v>
      </c>
    </row>
    <row r="31" spans="1:26" x14ac:dyDescent="0.35">
      <c r="A31">
        <v>12</v>
      </c>
      <c r="B31" t="s">
        <v>165</v>
      </c>
      <c r="D31" s="156">
        <v>4</v>
      </c>
      <c r="E31" s="77" t="s">
        <v>146</v>
      </c>
      <c r="F31" s="42" t="str">
        <f>LOOKUP(D31,$A$20:$A$42,$B$20:$B$42)</f>
        <v>limonade 1,5l</v>
      </c>
    </row>
    <row r="32" spans="1:26" x14ac:dyDescent="0.35">
      <c r="A32">
        <v>13</v>
      </c>
      <c r="B32" t="s">
        <v>116</v>
      </c>
      <c r="D32" s="156">
        <v>4</v>
      </c>
      <c r="E32" s="157" t="s">
        <v>145</v>
      </c>
      <c r="F32" s="42" t="str">
        <f>LOOKUP(D32,$A$20:$A$42,$B$20:$B$42)</f>
        <v>limonade 1,5l</v>
      </c>
    </row>
    <row r="33" spans="1:7" x14ac:dyDescent="0.35">
      <c r="A33">
        <v>14</v>
      </c>
      <c r="B33" t="s">
        <v>119</v>
      </c>
      <c r="D33" s="156">
        <v>4</v>
      </c>
      <c r="E33" s="158" t="s">
        <v>149</v>
      </c>
      <c r="F33" s="42" t="str">
        <f>LOOKUP(D33,$A$20:$A$42,$B$20:$B$42)</f>
        <v>limonade 1,5l</v>
      </c>
    </row>
    <row r="34" spans="1:7" x14ac:dyDescent="0.35">
      <c r="A34">
        <v>15</v>
      </c>
      <c r="B34" t="s">
        <v>121</v>
      </c>
      <c r="D34" s="161">
        <v>5</v>
      </c>
      <c r="E34" s="158" t="s">
        <v>173</v>
      </c>
      <c r="F34" s="75" t="str">
        <f>LOOKUP(D34,$A$20:$A$42,$B$20:$B$42)</f>
        <v>limonade 2l</v>
      </c>
    </row>
    <row r="35" spans="1:7" x14ac:dyDescent="0.35">
      <c r="A35">
        <v>16</v>
      </c>
      <c r="B35" t="s">
        <v>114</v>
      </c>
      <c r="D35" s="156">
        <v>7</v>
      </c>
      <c r="E35" s="157" t="s">
        <v>138</v>
      </c>
      <c r="F35" s="42" t="str">
        <f>LOOKUP(D35,$A$20:$A$42,$B$20:$B$42)</f>
        <v>eau 0,33l</v>
      </c>
    </row>
    <row r="36" spans="1:7" x14ac:dyDescent="0.35">
      <c r="A36">
        <v>17</v>
      </c>
      <c r="B36" t="s">
        <v>166</v>
      </c>
      <c r="D36" s="156">
        <v>7</v>
      </c>
      <c r="E36" s="77" t="s">
        <v>68</v>
      </c>
      <c r="F36" s="42" t="str">
        <f>LOOKUP(D36,$A$20:$A$42,$B$20:$B$42)</f>
        <v>eau 0,33l</v>
      </c>
    </row>
    <row r="37" spans="1:7" x14ac:dyDescent="0.35">
      <c r="A37">
        <v>18</v>
      </c>
      <c r="B37" t="s">
        <v>118</v>
      </c>
      <c r="D37" s="156">
        <v>8</v>
      </c>
      <c r="E37" s="157" t="s">
        <v>129</v>
      </c>
      <c r="F37" s="42" t="str">
        <f>LOOKUP(D37,$A$20:$A$42,$B$20:$B$42)</f>
        <v>eau 0,5l</v>
      </c>
      <c r="G37" s="105"/>
    </row>
    <row r="38" spans="1:7" x14ac:dyDescent="0.35">
      <c r="A38">
        <v>19</v>
      </c>
      <c r="B38" t="s">
        <v>167</v>
      </c>
      <c r="D38" s="156">
        <v>8</v>
      </c>
      <c r="E38" s="158" t="s">
        <v>126</v>
      </c>
      <c r="F38" s="42" t="str">
        <f>LOOKUP(D38,$A$20:$A$42,$B$20:$B$42)</f>
        <v>eau 0,5l</v>
      </c>
    </row>
    <row r="39" spans="1:7" x14ac:dyDescent="0.35">
      <c r="A39">
        <v>20</v>
      </c>
      <c r="B39" t="s">
        <v>168</v>
      </c>
      <c r="D39" s="156">
        <v>8</v>
      </c>
      <c r="E39" s="157" t="s">
        <v>155</v>
      </c>
      <c r="F39" s="42" t="str">
        <f>LOOKUP(D39,$A$20:$A$42,$B$20:$B$42)</f>
        <v>eau 0,5l</v>
      </c>
    </row>
    <row r="40" spans="1:7" x14ac:dyDescent="0.35">
      <c r="A40">
        <v>21</v>
      </c>
      <c r="B40" t="s">
        <v>169</v>
      </c>
      <c r="D40" s="161">
        <v>8</v>
      </c>
      <c r="E40" s="42" t="s">
        <v>172</v>
      </c>
      <c r="F40" s="75" t="str">
        <f>LOOKUP(D40,$A$20:$A$42,$B$20:$B$42)</f>
        <v>eau 0,5l</v>
      </c>
    </row>
    <row r="41" spans="1:7" x14ac:dyDescent="0.35">
      <c r="A41">
        <v>22</v>
      </c>
      <c r="B41" t="s">
        <v>170</v>
      </c>
      <c r="D41" s="161">
        <v>8</v>
      </c>
      <c r="E41" s="42" t="s">
        <v>175</v>
      </c>
      <c r="F41" s="75" t="str">
        <f>LOOKUP(D41,$A$20:$A$42,$B$20:$B$42)</f>
        <v>eau 0,5l</v>
      </c>
    </row>
    <row r="42" spans="1:7" x14ac:dyDescent="0.35">
      <c r="A42">
        <v>23</v>
      </c>
      <c r="B42" t="s">
        <v>171</v>
      </c>
      <c r="D42" s="161">
        <v>8</v>
      </c>
      <c r="E42" s="158" t="s">
        <v>176</v>
      </c>
      <c r="F42" s="75" t="str">
        <f>LOOKUP(D42,$A$20:$A$42,$B$20:$B$42)</f>
        <v>eau 0,5l</v>
      </c>
    </row>
    <row r="43" spans="1:7" x14ac:dyDescent="0.35">
      <c r="D43" s="156">
        <v>9</v>
      </c>
      <c r="E43" s="157" t="s">
        <v>137</v>
      </c>
      <c r="F43" s="42" t="str">
        <f>LOOKUP(D43,$A$20:$A$42,$B$20:$B$42)</f>
        <v>eau 0,75l</v>
      </c>
    </row>
    <row r="44" spans="1:7" x14ac:dyDescent="0.35">
      <c r="D44" s="156">
        <v>10</v>
      </c>
      <c r="E44" s="157" t="s">
        <v>154</v>
      </c>
      <c r="F44" s="42" t="str">
        <f>LOOKUP(D44,$A$20:$A$42,$B$20:$B$42)</f>
        <v>eau 1l</v>
      </c>
    </row>
    <row r="45" spans="1:7" x14ac:dyDescent="0.35">
      <c r="D45" s="156">
        <v>10</v>
      </c>
      <c r="E45" s="77" t="s">
        <v>135</v>
      </c>
      <c r="F45" s="42" t="str">
        <f>LOOKUP(D45,$A$20:$A$42,$B$20:$B$42)</f>
        <v>eau 1l</v>
      </c>
    </row>
    <row r="46" spans="1:7" x14ac:dyDescent="0.35">
      <c r="D46" s="156">
        <v>10</v>
      </c>
      <c r="E46" s="77" t="s">
        <v>159</v>
      </c>
      <c r="F46" s="42" t="str">
        <f>LOOKUP(D46,$A$20:$A$42,$B$20:$B$42)</f>
        <v>eau 1l</v>
      </c>
    </row>
    <row r="47" spans="1:7" x14ac:dyDescent="0.35">
      <c r="D47" s="156">
        <v>10</v>
      </c>
      <c r="E47" s="157" t="s">
        <v>139</v>
      </c>
      <c r="F47" s="42" t="str">
        <f>LOOKUP(D47,$A$20:$A$42,$B$20:$B$42)</f>
        <v>eau 1l</v>
      </c>
    </row>
    <row r="48" spans="1:7" x14ac:dyDescent="0.35">
      <c r="D48" s="156">
        <v>13</v>
      </c>
      <c r="E48" s="157" t="s">
        <v>158</v>
      </c>
      <c r="F48" s="42" t="str">
        <f>LOOKUP(D48,$A$20:$A$42,$B$20:$B$42)</f>
        <v>eau 1,5l</v>
      </c>
    </row>
    <row r="49" spans="4:6" x14ac:dyDescent="0.35">
      <c r="D49" s="156">
        <v>13</v>
      </c>
      <c r="E49" s="77" t="s">
        <v>130</v>
      </c>
      <c r="F49" s="42" t="str">
        <f>LOOKUP(D49,$A$20:$A$42,$B$20:$B$42)</f>
        <v>eau 1,5l</v>
      </c>
    </row>
    <row r="50" spans="4:6" x14ac:dyDescent="0.35">
      <c r="D50" s="156">
        <v>13</v>
      </c>
      <c r="E50" s="77" t="s">
        <v>128</v>
      </c>
      <c r="F50" s="42" t="str">
        <f>LOOKUP(D50,$A$20:$A$42,$B$20:$B$42)</f>
        <v>eau 1,5l</v>
      </c>
    </row>
    <row r="51" spans="4:6" x14ac:dyDescent="0.35">
      <c r="D51" s="156">
        <v>13</v>
      </c>
      <c r="E51" s="157" t="s">
        <v>151</v>
      </c>
      <c r="F51" s="42" t="str">
        <f>LOOKUP(D51,$A$20:$A$42,$B$20:$B$42)</f>
        <v>eau 1,5l</v>
      </c>
    </row>
    <row r="52" spans="4:6" x14ac:dyDescent="0.35">
      <c r="D52" s="156">
        <v>13</v>
      </c>
      <c r="E52" s="157" t="s">
        <v>148</v>
      </c>
      <c r="F52" s="42" t="str">
        <f>LOOKUP(D52,$A$20:$A$42,$B$20:$B$42)</f>
        <v>eau 1,5l</v>
      </c>
    </row>
    <row r="53" spans="4:6" x14ac:dyDescent="0.35">
      <c r="D53" s="156">
        <v>14</v>
      </c>
      <c r="E53" s="77" t="s">
        <v>127</v>
      </c>
      <c r="F53" s="42" t="str">
        <f>LOOKUP(D53,$A$20:$A$42,$B$20:$B$42)</f>
        <v>eau 2l</v>
      </c>
    </row>
    <row r="54" spans="4:6" x14ac:dyDescent="0.35">
      <c r="D54" s="156">
        <v>15</v>
      </c>
      <c r="E54" s="157" t="s">
        <v>132</v>
      </c>
      <c r="F54" s="42" t="str">
        <f>LOOKUP(D54,$A$20:$A$42,$B$20:$B$42)</f>
        <v>eau 5l</v>
      </c>
    </row>
    <row r="55" spans="4:6" x14ac:dyDescent="0.35">
      <c r="D55" s="156">
        <v>16</v>
      </c>
      <c r="E55" s="157" t="s">
        <v>131</v>
      </c>
      <c r="F55" s="42" t="str">
        <f>LOOKUP(D55,$A$20:$A$42,$B$20:$B$42)</f>
        <v>bonbonne 18,9l</v>
      </c>
    </row>
    <row r="56" spans="4:6" x14ac:dyDescent="0.35">
      <c r="D56" s="156">
        <v>18</v>
      </c>
      <c r="E56" s="157" t="s">
        <v>153</v>
      </c>
      <c r="F56" s="42" t="str">
        <f>LOOKUP(D56,$A$20:$A$42,$B$20:$B$42)</f>
        <v>eau aro 0,5l</v>
      </c>
    </row>
    <row r="57" spans="4:6" x14ac:dyDescent="0.35">
      <c r="D57" s="156">
        <v>18</v>
      </c>
      <c r="E57" s="157" t="s">
        <v>142</v>
      </c>
      <c r="F57" s="42" t="str">
        <f>LOOKUP(D57,$A$20:$A$42,$B$20:$B$42)</f>
        <v>eau aro 0,5l</v>
      </c>
    </row>
    <row r="58" spans="4:6" x14ac:dyDescent="0.35">
      <c r="D58" s="161">
        <v>21</v>
      </c>
      <c r="E58" s="158" t="s">
        <v>174</v>
      </c>
      <c r="F58" s="75" t="str">
        <f>LOOKUP(D58,$A$20:$A$42,$B$20:$B$42)</f>
        <v>eau aro 1,5l</v>
      </c>
    </row>
    <row r="59" spans="4:6" x14ac:dyDescent="0.35">
      <c r="D59" s="159">
        <v>13</v>
      </c>
      <c r="E59" s="162" t="s">
        <v>180</v>
      </c>
      <c r="F59" s="160" t="str">
        <f>LOOKUP(D59,$A$20:$A$42,$B$20:$B$42)</f>
        <v>eau 1,5l</v>
      </c>
    </row>
    <row r="60" spans="4:6" x14ac:dyDescent="0.35">
      <c r="D60" s="159">
        <v>15</v>
      </c>
      <c r="E60" s="162" t="s">
        <v>181</v>
      </c>
      <c r="F60" s="160" t="str">
        <f>LOOKUP(D60,$A$20:$A$42,$B$20:$B$42)</f>
        <v>eau 5l</v>
      </c>
    </row>
    <row r="61" spans="4:6" x14ac:dyDescent="0.35">
      <c r="D61" s="159">
        <v>7</v>
      </c>
      <c r="E61" s="162" t="s">
        <v>182</v>
      </c>
      <c r="F61" s="160" t="str">
        <f>LOOKUP(D61,$A$20:$A$42,$B$20:$B$42)</f>
        <v>eau 0,33l</v>
      </c>
    </row>
    <row r="62" spans="4:6" x14ac:dyDescent="0.35">
      <c r="D62" s="159">
        <v>9</v>
      </c>
      <c r="E62" s="105" t="s">
        <v>183</v>
      </c>
      <c r="F62" s="160" t="str">
        <f>LOOKUP(D62,$A$20:$A$42,$B$20:$B$42)</f>
        <v>eau 0,75l</v>
      </c>
    </row>
  </sheetData>
  <sortState xmlns:xlrd2="http://schemas.microsoft.com/office/spreadsheetml/2017/richdata2" ref="D20:F58">
    <sortCondition ref="D20:D58"/>
  </sortState>
  <mergeCells count="3">
    <mergeCell ref="D1:I1"/>
    <mergeCell ref="J1:R1"/>
    <mergeCell ref="T1:Z1"/>
  </mergeCells>
  <conditionalFormatting sqref="B2:B18">
    <cfRule type="containsText" dxfId="8" priority="4" operator="containsText" text="Eau">
      <formula>NOT(ISERROR(SEARCH("Eau",B2)))</formula>
    </cfRule>
    <cfRule type="containsText" dxfId="7" priority="5" operator="containsText" text="Limonade">
      <formula>NOT(ISERROR(SEARCH("Limonade",B2)))</formula>
    </cfRule>
    <cfRule type="containsText" dxfId="6" priority="6" operator="containsText" text="Aro">
      <formula>NOT(ISERROR(SEARCH("Aro",B2)))</formula>
    </cfRule>
  </conditionalFormatting>
  <conditionalFormatting sqref="B3:B18">
    <cfRule type="containsText" dxfId="5" priority="3" operator="containsText" text="Eeau Aro">
      <formula>NOT(ISERROR(SEARCH("Eeau Aro",B3)))</formula>
    </cfRule>
  </conditionalFormatting>
  <conditionalFormatting sqref="B3:B18">
    <cfRule type="containsText" dxfId="4" priority="1" operator="containsText" text="Limonade">
      <formula>NOT(ISERROR(SEARCH("Limonade",B3)))</formula>
    </cfRule>
    <cfRule type="containsText" dxfId="3" priority="2" operator="containsText" text="Eau Aro">
      <formula>NOT(ISERROR(SEARCH("Eau Aro",B3)))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73"/>
  <sheetViews>
    <sheetView tabSelected="1" topLeftCell="B1" workbookViewId="0">
      <selection activeCell="A2" sqref="A2:S169"/>
    </sheetView>
  </sheetViews>
  <sheetFormatPr baseColWidth="10" defaultRowHeight="14.5" x14ac:dyDescent="0.35"/>
  <cols>
    <col min="11" max="11" width="36.26953125" bestFit="1" customWidth="1"/>
    <col min="13" max="13" width="12.54296875" bestFit="1" customWidth="1"/>
  </cols>
  <sheetData>
    <row r="1" spans="1:20" x14ac:dyDescent="0.35">
      <c r="A1" s="92" t="s">
        <v>91</v>
      </c>
      <c r="B1" s="93" t="s">
        <v>92</v>
      </c>
      <c r="C1" s="93" t="s">
        <v>93</v>
      </c>
      <c r="D1" s="93" t="s">
        <v>94</v>
      </c>
      <c r="E1" s="93" t="s">
        <v>95</v>
      </c>
      <c r="F1" s="93" t="s">
        <v>96</v>
      </c>
      <c r="G1" s="93" t="s">
        <v>97</v>
      </c>
      <c r="H1" s="93" t="s">
        <v>98</v>
      </c>
      <c r="I1" s="93" t="s">
        <v>99</v>
      </c>
      <c r="J1" s="93" t="s">
        <v>100</v>
      </c>
      <c r="K1" s="93" t="s">
        <v>101</v>
      </c>
      <c r="L1" s="93" t="s">
        <v>102</v>
      </c>
      <c r="M1" s="93" t="s">
        <v>125</v>
      </c>
      <c r="N1" s="93" t="s">
        <v>103</v>
      </c>
      <c r="O1" s="93" t="s">
        <v>104</v>
      </c>
      <c r="P1" s="93" t="s">
        <v>105</v>
      </c>
      <c r="Q1" s="93" t="s">
        <v>106</v>
      </c>
      <c r="R1" s="93" t="s">
        <v>107</v>
      </c>
      <c r="S1" s="93" t="s">
        <v>108</v>
      </c>
      <c r="T1" s="94" t="s">
        <v>177</v>
      </c>
    </row>
    <row r="2" spans="1:20" x14ac:dyDescent="0.35">
      <c r="A2" s="163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5"/>
      <c r="T2" s="95" t="e">
        <f>VLOOKUP(K2,'Catégorie Articles Roxane'!$E$20:$F$600,2,FALSE)</f>
        <v>#N/A</v>
      </c>
    </row>
    <row r="3" spans="1:20" x14ac:dyDescent="0.35">
      <c r="A3" s="166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8"/>
      <c r="T3" s="95" t="e">
        <f>VLOOKUP(K3,'Catégorie Articles Roxane'!$E$20:$F$600,2,FALSE)</f>
        <v>#N/A</v>
      </c>
    </row>
    <row r="4" spans="1:20" x14ac:dyDescent="0.35">
      <c r="A4" s="163"/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5"/>
      <c r="T4" s="95" t="e">
        <f>VLOOKUP(K4,'Catégorie Articles Roxane'!$E$20:$F$600,2,FALSE)</f>
        <v>#N/A</v>
      </c>
    </row>
    <row r="5" spans="1:20" x14ac:dyDescent="0.35">
      <c r="A5" s="166"/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8"/>
      <c r="T5" s="95" t="e">
        <f>VLOOKUP(K5,'Catégorie Articles Roxane'!$E$20:$F$600,2,FALSE)</f>
        <v>#N/A</v>
      </c>
    </row>
    <row r="6" spans="1:20" x14ac:dyDescent="0.35">
      <c r="A6" s="163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5"/>
      <c r="T6" s="95" t="e">
        <f>VLOOKUP(K6,'Catégorie Articles Roxane'!$E$20:$F$600,2,FALSE)</f>
        <v>#N/A</v>
      </c>
    </row>
    <row r="7" spans="1:20" x14ac:dyDescent="0.35">
      <c r="A7" s="166"/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8"/>
      <c r="T7" s="95" t="e">
        <f>VLOOKUP(K7,'Catégorie Articles Roxane'!$E$20:$F$600,2,FALSE)</f>
        <v>#N/A</v>
      </c>
    </row>
    <row r="8" spans="1:20" x14ac:dyDescent="0.35">
      <c r="A8" s="163"/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5"/>
      <c r="T8" s="95" t="e">
        <f>VLOOKUP(K8,'Catégorie Articles Roxane'!$E$20:$F$600,2,FALSE)</f>
        <v>#N/A</v>
      </c>
    </row>
    <row r="9" spans="1:20" x14ac:dyDescent="0.35">
      <c r="A9" s="166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8"/>
      <c r="T9" s="95" t="e">
        <f>VLOOKUP(K9,'Catégorie Articles Roxane'!$E$20:$F$600,2,FALSE)</f>
        <v>#N/A</v>
      </c>
    </row>
    <row r="10" spans="1:20" x14ac:dyDescent="0.35">
      <c r="A10" s="163"/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5"/>
      <c r="T10" s="95" t="e">
        <f>VLOOKUP(K10,'Catégorie Articles Roxane'!$E$20:$F$600,2,FALSE)</f>
        <v>#N/A</v>
      </c>
    </row>
    <row r="11" spans="1:20" x14ac:dyDescent="0.35">
      <c r="A11" s="166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8"/>
      <c r="T11" s="95" t="e">
        <f>VLOOKUP(K11,'Catégorie Articles Roxane'!$E$20:$F$600,2,FALSE)</f>
        <v>#N/A</v>
      </c>
    </row>
    <row r="12" spans="1:20" x14ac:dyDescent="0.35">
      <c r="A12" s="163"/>
      <c r="B12" s="164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5"/>
      <c r="T12" s="95" t="e">
        <f>VLOOKUP(K12,'Catégorie Articles Roxane'!$E$20:$F$600,2,FALSE)</f>
        <v>#N/A</v>
      </c>
    </row>
    <row r="13" spans="1:20" x14ac:dyDescent="0.35">
      <c r="A13" s="166"/>
      <c r="B13" s="167"/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8"/>
      <c r="T13" s="95" t="e">
        <f>VLOOKUP(K13,'Catégorie Articles Roxane'!$E$20:$F$600,2,FALSE)</f>
        <v>#N/A</v>
      </c>
    </row>
    <row r="14" spans="1:20" x14ac:dyDescent="0.35">
      <c r="A14" s="109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10"/>
      <c r="T14" s="95" t="e">
        <f>VLOOKUP(K14,'Catégorie Articles Roxane'!$E$20:$F$600,2,FALSE)</f>
        <v>#N/A</v>
      </c>
    </row>
    <row r="15" spans="1:20" x14ac:dyDescent="0.35">
      <c r="A15" s="111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12"/>
      <c r="T15" s="95" t="e">
        <f>VLOOKUP(K15,'Catégorie Articles Roxane'!$E$20:$F$600,2,FALSE)</f>
        <v>#N/A</v>
      </c>
    </row>
    <row r="16" spans="1:20" x14ac:dyDescent="0.35">
      <c r="A16" s="109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10"/>
      <c r="T16" s="95" t="e">
        <f>VLOOKUP(K16,'Catégorie Articles Roxane'!$E$20:$F$600,2,FALSE)</f>
        <v>#N/A</v>
      </c>
    </row>
    <row r="17" spans="1:20" x14ac:dyDescent="0.35">
      <c r="A17" s="111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12"/>
      <c r="T17" s="95" t="e">
        <f>VLOOKUP(K17,'Catégorie Articles Roxane'!$E$20:$F$600,2,FALSE)</f>
        <v>#N/A</v>
      </c>
    </row>
    <row r="18" spans="1:20" x14ac:dyDescent="0.35">
      <c r="A18" s="109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10"/>
      <c r="T18" s="95" t="e">
        <f>VLOOKUP(K18,'Catégorie Articles Roxane'!$E$20:$F$600,2,FALSE)</f>
        <v>#N/A</v>
      </c>
    </row>
    <row r="19" spans="1:20" x14ac:dyDescent="0.35">
      <c r="A19" s="111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12"/>
      <c r="T19" s="95" t="e">
        <f>VLOOKUP(K19,'Catégorie Articles Roxane'!$E$20:$F$600,2,FALSE)</f>
        <v>#N/A</v>
      </c>
    </row>
    <row r="20" spans="1:20" x14ac:dyDescent="0.35">
      <c r="A20" s="109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10"/>
      <c r="T20" s="95" t="e">
        <f>VLOOKUP(K20,'Catégorie Articles Roxane'!$E$20:$F$600,2,FALSE)</f>
        <v>#N/A</v>
      </c>
    </row>
    <row r="21" spans="1:20" x14ac:dyDescent="0.35">
      <c r="A21" s="111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12"/>
      <c r="T21" s="95" t="e">
        <f>VLOOKUP(K21,'Catégorie Articles Roxane'!$E$20:$F$600,2,FALSE)</f>
        <v>#N/A</v>
      </c>
    </row>
    <row r="22" spans="1:20" x14ac:dyDescent="0.35">
      <c r="A22" s="109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10"/>
      <c r="T22" s="95" t="e">
        <f>VLOOKUP(K22,'Catégorie Articles Roxane'!$E$20:$F$600,2,FALSE)</f>
        <v>#N/A</v>
      </c>
    </row>
    <row r="23" spans="1:20" x14ac:dyDescent="0.35">
      <c r="A23" s="111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12"/>
      <c r="T23" s="95" t="e">
        <f>VLOOKUP(K23,'Catégorie Articles Roxane'!$E$20:$F$600,2,FALSE)</f>
        <v>#N/A</v>
      </c>
    </row>
    <row r="24" spans="1:20" x14ac:dyDescent="0.35">
      <c r="A24" s="109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10"/>
      <c r="T24" s="95" t="e">
        <f>VLOOKUP(K24,'Catégorie Articles Roxane'!$E$20:$F$600,2,FALSE)</f>
        <v>#N/A</v>
      </c>
    </row>
    <row r="25" spans="1:20" x14ac:dyDescent="0.35">
      <c r="A25" s="111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12"/>
      <c r="T25" s="95" t="e">
        <f>VLOOKUP(K25,'Catégorie Articles Roxane'!$E$20:$F$600,2,FALSE)</f>
        <v>#N/A</v>
      </c>
    </row>
    <row r="26" spans="1:20" x14ac:dyDescent="0.35">
      <c r="A26" s="109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10"/>
      <c r="T26" s="95" t="e">
        <f>VLOOKUP(K26,'Catégorie Articles Roxane'!$E$20:$F$600,2,FALSE)</f>
        <v>#N/A</v>
      </c>
    </row>
    <row r="27" spans="1:20" x14ac:dyDescent="0.35">
      <c r="A27" s="111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12"/>
      <c r="T27" s="95" t="e">
        <f>VLOOKUP(K27,'Catégorie Articles Roxane'!$E$20:$F$600,2,FALSE)</f>
        <v>#N/A</v>
      </c>
    </row>
    <row r="28" spans="1:20" x14ac:dyDescent="0.35">
      <c r="A28" s="109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10"/>
      <c r="T28" s="95" t="e">
        <f>VLOOKUP(K28,'Catégorie Articles Roxane'!$E$20:$F$600,2,FALSE)</f>
        <v>#N/A</v>
      </c>
    </row>
    <row r="29" spans="1:20" x14ac:dyDescent="0.35">
      <c r="A29" s="111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12"/>
      <c r="T29" s="95" t="e">
        <f>VLOOKUP(K29,'Catégorie Articles Roxane'!$E$20:$F$600,2,FALSE)</f>
        <v>#N/A</v>
      </c>
    </row>
    <row r="30" spans="1:20" x14ac:dyDescent="0.35">
      <c r="A30" s="109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10"/>
      <c r="T30" s="95" t="e">
        <f>VLOOKUP(K30,'Catégorie Articles Roxane'!$E$20:$F$600,2,FALSE)</f>
        <v>#N/A</v>
      </c>
    </row>
    <row r="31" spans="1:20" x14ac:dyDescent="0.35">
      <c r="A31" s="111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12"/>
      <c r="T31" s="95" t="e">
        <f>VLOOKUP(K31,'Catégorie Articles Roxane'!$E$20:$F$600,2,FALSE)</f>
        <v>#N/A</v>
      </c>
    </row>
    <row r="32" spans="1:20" x14ac:dyDescent="0.35">
      <c r="A32" s="109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10"/>
      <c r="T32" s="95" t="e">
        <f>VLOOKUP(K32,'Catégorie Articles Roxane'!$E$20:$F$600,2,FALSE)</f>
        <v>#N/A</v>
      </c>
    </row>
    <row r="33" spans="1:20" x14ac:dyDescent="0.35">
      <c r="A33" s="111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12"/>
      <c r="T33" s="95" t="e">
        <f>VLOOKUP(K33,'Catégorie Articles Roxane'!$E$20:$F$600,2,FALSE)</f>
        <v>#N/A</v>
      </c>
    </row>
    <row r="34" spans="1:20" x14ac:dyDescent="0.35">
      <c r="A34" s="109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10"/>
      <c r="T34" s="95" t="e">
        <f>VLOOKUP(K34,'Catégorie Articles Roxane'!$E$20:$F$600,2,FALSE)</f>
        <v>#N/A</v>
      </c>
    </row>
    <row r="35" spans="1:20" x14ac:dyDescent="0.35">
      <c r="A35" s="111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12"/>
      <c r="T35" s="95" t="e">
        <f>VLOOKUP(K35,'Catégorie Articles Roxane'!$E$20:$F$600,2,FALSE)</f>
        <v>#N/A</v>
      </c>
    </row>
    <row r="36" spans="1:20" x14ac:dyDescent="0.35">
      <c r="A36" s="109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10"/>
      <c r="T36" s="95" t="e">
        <f>VLOOKUP(K36,'Catégorie Articles Roxane'!$E$20:$F$600,2,FALSE)</f>
        <v>#N/A</v>
      </c>
    </row>
    <row r="37" spans="1:20" x14ac:dyDescent="0.35">
      <c r="A37" s="111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12"/>
      <c r="T37" s="95" t="e">
        <f>VLOOKUP(K37,'Catégorie Articles Roxane'!$E$20:$F$600,2,FALSE)</f>
        <v>#N/A</v>
      </c>
    </row>
    <row r="38" spans="1:20" x14ac:dyDescent="0.35">
      <c r="A38" s="109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10"/>
      <c r="T38" s="95" t="e">
        <f>VLOOKUP(K38,'Catégorie Articles Roxane'!$E$20:$F$600,2,FALSE)</f>
        <v>#N/A</v>
      </c>
    </row>
    <row r="39" spans="1:20" x14ac:dyDescent="0.35">
      <c r="A39" s="11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12"/>
      <c r="T39" s="95" t="e">
        <f>VLOOKUP(K39,'Catégorie Articles Roxane'!$E$20:$F$600,2,FALSE)</f>
        <v>#N/A</v>
      </c>
    </row>
    <row r="40" spans="1:20" x14ac:dyDescent="0.35">
      <c r="A40" s="109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10"/>
      <c r="T40" s="95" t="e">
        <f>VLOOKUP(K40,'Catégorie Articles Roxane'!$E$20:$F$600,2,FALSE)</f>
        <v>#N/A</v>
      </c>
    </row>
    <row r="41" spans="1:20" x14ac:dyDescent="0.35">
      <c r="A41" s="111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12"/>
      <c r="T41" s="95" t="e">
        <f>VLOOKUP(K41,'Catégorie Articles Roxane'!$E$20:$F$600,2,FALSE)</f>
        <v>#N/A</v>
      </c>
    </row>
    <row r="42" spans="1:20" x14ac:dyDescent="0.35">
      <c r="A42" s="109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10"/>
      <c r="T42" s="95" t="e">
        <f>VLOOKUP(K42,'Catégorie Articles Roxane'!$E$20:$F$600,2,FALSE)</f>
        <v>#N/A</v>
      </c>
    </row>
    <row r="43" spans="1:20" x14ac:dyDescent="0.35">
      <c r="A43" s="111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12"/>
      <c r="T43" s="95" t="e">
        <f>VLOOKUP(K43,'Catégorie Articles Roxane'!$E$20:$F$600,2,FALSE)</f>
        <v>#N/A</v>
      </c>
    </row>
    <row r="44" spans="1:20" x14ac:dyDescent="0.35">
      <c r="A44" s="109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10"/>
      <c r="T44" s="95" t="e">
        <f>VLOOKUP(K44,'Catégorie Articles Roxane'!$E$20:$F$600,2,FALSE)</f>
        <v>#N/A</v>
      </c>
    </row>
    <row r="45" spans="1:20" x14ac:dyDescent="0.35">
      <c r="A45" s="111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12"/>
      <c r="T45" s="95" t="e">
        <f>VLOOKUP(K45,'Catégorie Articles Roxane'!$E$20:$F$600,2,FALSE)</f>
        <v>#N/A</v>
      </c>
    </row>
    <row r="46" spans="1:20" x14ac:dyDescent="0.35">
      <c r="A46" s="109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10"/>
      <c r="T46" s="95" t="e">
        <f>VLOOKUP(K46,'Catégorie Articles Roxane'!$E$20:$F$600,2,FALSE)</f>
        <v>#N/A</v>
      </c>
    </row>
    <row r="47" spans="1:20" x14ac:dyDescent="0.35">
      <c r="A47" s="111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12"/>
      <c r="T47" s="95" t="e">
        <f>VLOOKUP(K47,'Catégorie Articles Roxane'!$E$20:$F$600,2,FALSE)</f>
        <v>#N/A</v>
      </c>
    </row>
    <row r="48" spans="1:20" x14ac:dyDescent="0.35">
      <c r="A48" s="109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10"/>
      <c r="T48" s="95" t="e">
        <f>VLOOKUP(K48,'Catégorie Articles Roxane'!$E$20:$F$600,2,FALSE)</f>
        <v>#N/A</v>
      </c>
    </row>
    <row r="49" spans="1:20" x14ac:dyDescent="0.35">
      <c r="A49" s="111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12"/>
      <c r="T49" s="95" t="e">
        <f>VLOOKUP(K49,'Catégorie Articles Roxane'!$E$20:$F$600,2,FALSE)</f>
        <v>#N/A</v>
      </c>
    </row>
    <row r="50" spans="1:20" x14ac:dyDescent="0.35">
      <c r="A50" s="109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10"/>
      <c r="T50" s="95" t="e">
        <f>VLOOKUP(K50,'Catégorie Articles Roxane'!$E$20:$F$600,2,FALSE)</f>
        <v>#N/A</v>
      </c>
    </row>
    <row r="51" spans="1:20" x14ac:dyDescent="0.35">
      <c r="A51" s="111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12"/>
      <c r="T51" s="95" t="e">
        <f>VLOOKUP(K51,'Catégorie Articles Roxane'!$E$20:$F$600,2,FALSE)</f>
        <v>#N/A</v>
      </c>
    </row>
    <row r="52" spans="1:20" x14ac:dyDescent="0.35">
      <c r="A52" s="109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10"/>
      <c r="T52" s="95" t="e">
        <f>VLOOKUP(K52,'Catégorie Articles Roxane'!$E$20:$F$600,2,FALSE)</f>
        <v>#N/A</v>
      </c>
    </row>
    <row r="53" spans="1:20" x14ac:dyDescent="0.35">
      <c r="A53" s="111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12"/>
      <c r="T53" s="95" t="e">
        <f>VLOOKUP(K53,'Catégorie Articles Roxane'!$E$20:$F$600,2,FALSE)</f>
        <v>#N/A</v>
      </c>
    </row>
    <row r="54" spans="1:20" x14ac:dyDescent="0.35">
      <c r="A54" s="109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10"/>
      <c r="T54" s="95" t="e">
        <f>VLOOKUP(K54,'Catégorie Articles Roxane'!$E$20:$F$600,2,FALSE)</f>
        <v>#N/A</v>
      </c>
    </row>
    <row r="55" spans="1:20" x14ac:dyDescent="0.35">
      <c r="A55" s="111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12"/>
      <c r="T55" s="95" t="e">
        <f>VLOOKUP(K55,'Catégorie Articles Roxane'!$E$20:$F$600,2,FALSE)</f>
        <v>#N/A</v>
      </c>
    </row>
    <row r="56" spans="1:20" x14ac:dyDescent="0.35">
      <c r="A56" s="109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10"/>
      <c r="T56" s="95" t="e">
        <f>VLOOKUP(K56,'Catégorie Articles Roxane'!$E$20:$F$600,2,FALSE)</f>
        <v>#N/A</v>
      </c>
    </row>
    <row r="57" spans="1:20" x14ac:dyDescent="0.35">
      <c r="A57" s="111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12"/>
      <c r="T57" s="95" t="e">
        <f>VLOOKUP(K57,'Catégorie Articles Roxane'!$E$20:$F$600,2,FALSE)</f>
        <v>#N/A</v>
      </c>
    </row>
    <row r="58" spans="1:20" x14ac:dyDescent="0.35">
      <c r="A58" s="109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10"/>
      <c r="T58" s="95" t="e">
        <f>VLOOKUP(K58,'Catégorie Articles Roxane'!$E$20:$F$600,2,FALSE)</f>
        <v>#N/A</v>
      </c>
    </row>
    <row r="59" spans="1:20" x14ac:dyDescent="0.35">
      <c r="A59" s="111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12"/>
      <c r="T59" s="95" t="e">
        <f>VLOOKUP(K59,'Catégorie Articles Roxane'!$E$20:$F$600,2,FALSE)</f>
        <v>#N/A</v>
      </c>
    </row>
    <row r="60" spans="1:20" x14ac:dyDescent="0.35">
      <c r="A60" s="109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10"/>
      <c r="T60" s="95" t="e">
        <f>VLOOKUP(K60,'Catégorie Articles Roxane'!$E$20:$F$600,2,FALSE)</f>
        <v>#N/A</v>
      </c>
    </row>
    <row r="61" spans="1:20" x14ac:dyDescent="0.35">
      <c r="A61" s="111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12"/>
      <c r="T61" s="95" t="e">
        <f>VLOOKUP(K61,'Catégorie Articles Roxane'!$E$20:$F$600,2,FALSE)</f>
        <v>#N/A</v>
      </c>
    </row>
    <row r="62" spans="1:20" x14ac:dyDescent="0.35">
      <c r="A62" s="109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10"/>
      <c r="T62" s="95" t="e">
        <f>VLOOKUP(K62,'Catégorie Articles Roxane'!$E$20:$F$600,2,FALSE)</f>
        <v>#N/A</v>
      </c>
    </row>
    <row r="63" spans="1:20" x14ac:dyDescent="0.35">
      <c r="A63" s="111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12"/>
      <c r="T63" s="95" t="e">
        <f>VLOOKUP(K63,'Catégorie Articles Roxane'!$E$20:$F$600,2,FALSE)</f>
        <v>#N/A</v>
      </c>
    </row>
    <row r="64" spans="1:20" x14ac:dyDescent="0.35">
      <c r="A64" s="109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10"/>
      <c r="T64" s="95" t="e">
        <f>VLOOKUP(K64,'Catégorie Articles Roxane'!$E$20:$F$600,2,FALSE)</f>
        <v>#N/A</v>
      </c>
    </row>
    <row r="65" spans="1:20" x14ac:dyDescent="0.35">
      <c r="A65" s="111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12"/>
      <c r="T65" s="95" t="e">
        <f>VLOOKUP(K65,'Catégorie Articles Roxane'!$E$20:$F$600,2,FALSE)</f>
        <v>#N/A</v>
      </c>
    </row>
    <row r="66" spans="1:20" x14ac:dyDescent="0.35">
      <c r="A66" s="109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10"/>
      <c r="T66" s="95" t="e">
        <f>VLOOKUP(K66,'Catégorie Articles Roxane'!$E$20:$F$600,2,FALSE)</f>
        <v>#N/A</v>
      </c>
    </row>
    <row r="67" spans="1:20" x14ac:dyDescent="0.35">
      <c r="A67" s="111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12"/>
      <c r="T67" s="95" t="e">
        <f>VLOOKUP(K67,'Catégorie Articles Roxane'!$E$20:$F$600,2,FALSE)</f>
        <v>#N/A</v>
      </c>
    </row>
    <row r="68" spans="1:20" x14ac:dyDescent="0.35">
      <c r="A68" s="109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10"/>
      <c r="T68" s="95" t="e">
        <f>VLOOKUP(K68,'Catégorie Articles Roxane'!$E$20:$F$600,2,FALSE)</f>
        <v>#N/A</v>
      </c>
    </row>
    <row r="69" spans="1:20" x14ac:dyDescent="0.35">
      <c r="A69" s="111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12"/>
      <c r="T69" s="95" t="e">
        <f>VLOOKUP(K69,'Catégorie Articles Roxane'!$E$20:$F$600,2,FALSE)</f>
        <v>#N/A</v>
      </c>
    </row>
    <row r="70" spans="1:20" x14ac:dyDescent="0.35">
      <c r="A70" s="109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10"/>
      <c r="T70" s="95" t="e">
        <f>VLOOKUP(K70,'Catégorie Articles Roxane'!$E$20:$F$600,2,FALSE)</f>
        <v>#N/A</v>
      </c>
    </row>
    <row r="71" spans="1:20" x14ac:dyDescent="0.35">
      <c r="A71" s="111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12"/>
      <c r="T71" s="95" t="e">
        <f>VLOOKUP(K71,'Catégorie Articles Roxane'!$E$20:$F$600,2,FALSE)</f>
        <v>#N/A</v>
      </c>
    </row>
    <row r="72" spans="1:20" x14ac:dyDescent="0.35">
      <c r="A72" s="109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10"/>
      <c r="T72" s="95" t="e">
        <f>VLOOKUP(K72,'Catégorie Articles Roxane'!$E$20:$F$600,2,FALSE)</f>
        <v>#N/A</v>
      </c>
    </row>
    <row r="73" spans="1:20" x14ac:dyDescent="0.35">
      <c r="A73" s="111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12"/>
      <c r="T73" s="95" t="e">
        <f>VLOOKUP(K73,'Catégorie Articles Roxane'!$E$20:$F$600,2,FALSE)</f>
        <v>#N/A</v>
      </c>
    </row>
    <row r="74" spans="1:20" x14ac:dyDescent="0.35">
      <c r="A74" s="109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10"/>
      <c r="T74" s="95" t="e">
        <f>VLOOKUP(K74,'Catégorie Articles Roxane'!$E$20:$F$600,2,FALSE)</f>
        <v>#N/A</v>
      </c>
    </row>
    <row r="75" spans="1:20" x14ac:dyDescent="0.35">
      <c r="A75" s="111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12"/>
      <c r="T75" s="95" t="e">
        <f>VLOOKUP(K75,'Catégorie Articles Roxane'!$E$20:$F$600,2,FALSE)</f>
        <v>#N/A</v>
      </c>
    </row>
    <row r="76" spans="1:20" x14ac:dyDescent="0.35">
      <c r="A76" s="109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10"/>
      <c r="T76" s="95" t="e">
        <f>VLOOKUP(K76,'Catégorie Articles Roxane'!$E$20:$F$600,2,FALSE)</f>
        <v>#N/A</v>
      </c>
    </row>
    <row r="77" spans="1:20" x14ac:dyDescent="0.35">
      <c r="A77" s="111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12"/>
      <c r="T77" s="95" t="e">
        <f>VLOOKUP(K77,'Catégorie Articles Roxane'!$E$20:$F$600,2,FALSE)</f>
        <v>#N/A</v>
      </c>
    </row>
    <row r="78" spans="1:20" x14ac:dyDescent="0.35">
      <c r="A78" s="109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10"/>
      <c r="T78" s="95" t="e">
        <f>VLOOKUP(K78,'Catégorie Articles Roxane'!$E$20:$F$600,2,FALSE)</f>
        <v>#N/A</v>
      </c>
    </row>
    <row r="79" spans="1:20" x14ac:dyDescent="0.35">
      <c r="A79" s="111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12"/>
      <c r="T79" s="95" t="e">
        <f>VLOOKUP(K79,'Catégorie Articles Roxane'!$E$20:$F$600,2,FALSE)</f>
        <v>#N/A</v>
      </c>
    </row>
    <row r="80" spans="1:20" x14ac:dyDescent="0.35">
      <c r="A80" s="109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10"/>
      <c r="T80" s="95" t="e">
        <f>VLOOKUP(K80,'Catégorie Articles Roxane'!$E$20:$F$600,2,FALSE)</f>
        <v>#N/A</v>
      </c>
    </row>
    <row r="81" spans="1:20" x14ac:dyDescent="0.35">
      <c r="A81" s="111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12"/>
      <c r="T81" s="95" t="e">
        <f>VLOOKUP(K81,'Catégorie Articles Roxane'!$E$20:$F$600,2,FALSE)</f>
        <v>#N/A</v>
      </c>
    </row>
    <row r="82" spans="1:20" x14ac:dyDescent="0.35">
      <c r="A82" s="109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10"/>
      <c r="T82" s="95" t="e">
        <f>VLOOKUP(K82,'Catégorie Articles Roxane'!$E$20:$F$600,2,FALSE)</f>
        <v>#N/A</v>
      </c>
    </row>
    <row r="83" spans="1:20" x14ac:dyDescent="0.35">
      <c r="A83" s="111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12"/>
      <c r="T83" s="95" t="e">
        <f>VLOOKUP(K83,'Catégorie Articles Roxane'!$E$20:$F$600,2,FALSE)</f>
        <v>#N/A</v>
      </c>
    </row>
    <row r="84" spans="1:20" x14ac:dyDescent="0.35">
      <c r="A84" s="109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10"/>
      <c r="T84" s="95" t="e">
        <f>VLOOKUP(K84,'Catégorie Articles Roxane'!$E$20:$F$600,2,FALSE)</f>
        <v>#N/A</v>
      </c>
    </row>
    <row r="85" spans="1:20" x14ac:dyDescent="0.35">
      <c r="A85" s="111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12"/>
      <c r="T85" s="95" t="e">
        <f>VLOOKUP(K85,'Catégorie Articles Roxane'!$E$20:$F$600,2,FALSE)</f>
        <v>#N/A</v>
      </c>
    </row>
    <row r="86" spans="1:20" x14ac:dyDescent="0.35">
      <c r="A86" s="109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10"/>
      <c r="T86" s="95" t="e">
        <f>VLOOKUP(K86,'Catégorie Articles Roxane'!$E$20:$F$600,2,FALSE)</f>
        <v>#N/A</v>
      </c>
    </row>
    <row r="87" spans="1:20" x14ac:dyDescent="0.35">
      <c r="A87" s="111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12"/>
      <c r="T87" s="95" t="e">
        <f>VLOOKUP(K87,'Catégorie Articles Roxane'!$E$20:$F$600,2,FALSE)</f>
        <v>#N/A</v>
      </c>
    </row>
    <row r="88" spans="1:20" x14ac:dyDescent="0.35">
      <c r="A88" s="109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10"/>
      <c r="T88" s="95" t="e">
        <f>VLOOKUP(K88,'Catégorie Articles Roxane'!$E$20:$F$600,2,FALSE)</f>
        <v>#N/A</v>
      </c>
    </row>
    <row r="89" spans="1:20" x14ac:dyDescent="0.35">
      <c r="A89" s="111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12"/>
      <c r="T89" s="95" t="e">
        <f>VLOOKUP(K89,'Catégorie Articles Roxane'!$E$20:$F$600,2,FALSE)</f>
        <v>#N/A</v>
      </c>
    </row>
    <row r="90" spans="1:20" x14ac:dyDescent="0.35">
      <c r="A90" s="109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10"/>
      <c r="T90" s="95" t="e">
        <f>VLOOKUP(K90,'Catégorie Articles Roxane'!$E$20:$F$600,2,FALSE)</f>
        <v>#N/A</v>
      </c>
    </row>
    <row r="91" spans="1:20" x14ac:dyDescent="0.35">
      <c r="A91" s="111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12"/>
      <c r="T91" s="95" t="e">
        <f>VLOOKUP(K91,'Catégorie Articles Roxane'!$E$20:$F$600,2,FALSE)</f>
        <v>#N/A</v>
      </c>
    </row>
    <row r="92" spans="1:20" x14ac:dyDescent="0.35">
      <c r="A92" s="109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10"/>
      <c r="T92" s="95" t="e">
        <f>VLOOKUP(K92,'Catégorie Articles Roxane'!$E$20:$F$600,2,FALSE)</f>
        <v>#N/A</v>
      </c>
    </row>
    <row r="93" spans="1:20" x14ac:dyDescent="0.35">
      <c r="A93" s="111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12"/>
      <c r="T93" s="95" t="e">
        <f>VLOOKUP(K93,'Catégorie Articles Roxane'!$E$20:$F$600,2,FALSE)</f>
        <v>#N/A</v>
      </c>
    </row>
    <row r="94" spans="1:20" x14ac:dyDescent="0.35">
      <c r="A94" s="109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10"/>
      <c r="T94" s="95" t="e">
        <f>VLOOKUP(K94,'Catégorie Articles Roxane'!$E$20:$F$600,2,FALSE)</f>
        <v>#N/A</v>
      </c>
    </row>
    <row r="95" spans="1:20" x14ac:dyDescent="0.35">
      <c r="A95" s="111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12"/>
      <c r="T95" s="95" t="e">
        <f>VLOOKUP(K95,'Catégorie Articles Roxane'!$E$20:$F$600,2,FALSE)</f>
        <v>#N/A</v>
      </c>
    </row>
    <row r="96" spans="1:20" x14ac:dyDescent="0.35">
      <c r="A96" s="109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10"/>
      <c r="T96" s="95" t="e">
        <f>VLOOKUP(K96,'Catégorie Articles Roxane'!$E$20:$F$600,2,FALSE)</f>
        <v>#N/A</v>
      </c>
    </row>
    <row r="97" spans="1:20" x14ac:dyDescent="0.35">
      <c r="A97" s="111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12"/>
      <c r="T97" s="95" t="e">
        <f>VLOOKUP(K97,'Catégorie Articles Roxane'!$E$20:$F$600,2,FALSE)</f>
        <v>#N/A</v>
      </c>
    </row>
    <row r="98" spans="1:20" x14ac:dyDescent="0.35">
      <c r="A98" s="109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10"/>
      <c r="T98" s="95" t="e">
        <f>VLOOKUP(K98,'Catégorie Articles Roxane'!$E$20:$F$600,2,FALSE)</f>
        <v>#N/A</v>
      </c>
    </row>
    <row r="99" spans="1:20" x14ac:dyDescent="0.35">
      <c r="A99" s="111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12"/>
      <c r="T99" s="95" t="e">
        <f>VLOOKUP(K99,'Catégorie Articles Roxane'!$E$20:$F$600,2,FALSE)</f>
        <v>#N/A</v>
      </c>
    </row>
    <row r="100" spans="1:20" x14ac:dyDescent="0.35">
      <c r="A100" s="109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10"/>
      <c r="T100" s="95" t="e">
        <f>VLOOKUP(K100,'Catégorie Articles Roxane'!$E$20:$F$600,2,FALSE)</f>
        <v>#N/A</v>
      </c>
    </row>
    <row r="101" spans="1:20" x14ac:dyDescent="0.35">
      <c r="A101" s="111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12"/>
      <c r="T101" s="95" t="e">
        <f>VLOOKUP(K101,'Catégorie Articles Roxane'!$E$20:$F$600,2,FALSE)</f>
        <v>#N/A</v>
      </c>
    </row>
    <row r="102" spans="1:20" x14ac:dyDescent="0.35">
      <c r="A102" s="109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10"/>
      <c r="T102" s="95" t="e">
        <f>VLOOKUP(K102,'Catégorie Articles Roxane'!$E$20:$F$600,2,FALSE)</f>
        <v>#N/A</v>
      </c>
    </row>
    <row r="103" spans="1:20" x14ac:dyDescent="0.35">
      <c r="A103" s="111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12"/>
      <c r="T103" s="95" t="e">
        <f>VLOOKUP(K103,'Catégorie Articles Roxane'!$E$20:$F$600,2,FALSE)</f>
        <v>#N/A</v>
      </c>
    </row>
    <row r="104" spans="1:20" x14ac:dyDescent="0.35">
      <c r="A104" s="109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10"/>
      <c r="T104" s="95" t="e">
        <f>VLOOKUP(K104,'Catégorie Articles Roxane'!$E$20:$F$600,2,FALSE)</f>
        <v>#N/A</v>
      </c>
    </row>
    <row r="105" spans="1:20" x14ac:dyDescent="0.35">
      <c r="A105" s="111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12"/>
      <c r="T105" s="95" t="e">
        <f>VLOOKUP(K105,'Catégorie Articles Roxane'!$E$20:$F$600,2,FALSE)</f>
        <v>#N/A</v>
      </c>
    </row>
    <row r="106" spans="1:20" x14ac:dyDescent="0.35">
      <c r="A106" s="109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10"/>
      <c r="T106" s="95" t="e">
        <f>VLOOKUP(K106,'Catégorie Articles Roxane'!$E$20:$F$600,2,FALSE)</f>
        <v>#N/A</v>
      </c>
    </row>
    <row r="107" spans="1:20" x14ac:dyDescent="0.35">
      <c r="A107" s="111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12"/>
      <c r="T107" s="95" t="e">
        <f>VLOOKUP(K107,'Catégorie Articles Roxane'!$E$20:$F$600,2,FALSE)</f>
        <v>#N/A</v>
      </c>
    </row>
    <row r="108" spans="1:20" x14ac:dyDescent="0.35">
      <c r="A108" s="109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10"/>
      <c r="T108" s="95" t="e">
        <f>VLOOKUP(K108,'Catégorie Articles Roxane'!$E$20:$F$600,2,FALSE)</f>
        <v>#N/A</v>
      </c>
    </row>
    <row r="109" spans="1:20" x14ac:dyDescent="0.35">
      <c r="A109" s="111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12"/>
      <c r="T109" s="95" t="e">
        <f>VLOOKUP(K109,'Catégorie Articles Roxane'!$E$20:$F$600,2,FALSE)</f>
        <v>#N/A</v>
      </c>
    </row>
    <row r="110" spans="1:20" x14ac:dyDescent="0.35">
      <c r="A110" s="109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10"/>
      <c r="T110" s="95" t="e">
        <f>VLOOKUP(K110,'Catégorie Articles Roxane'!$E$20:$F$600,2,FALSE)</f>
        <v>#N/A</v>
      </c>
    </row>
    <row r="111" spans="1:20" x14ac:dyDescent="0.35">
      <c r="A111" s="111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12"/>
      <c r="T111" s="95" t="e">
        <f>VLOOKUP(K111,'Catégorie Articles Roxane'!$E$20:$F$600,2,FALSE)</f>
        <v>#N/A</v>
      </c>
    </row>
    <row r="112" spans="1:20" x14ac:dyDescent="0.35">
      <c r="A112" s="109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10"/>
      <c r="T112" s="95" t="e">
        <f>VLOOKUP(K112,'Catégorie Articles Roxane'!$E$20:$F$600,2,FALSE)</f>
        <v>#N/A</v>
      </c>
    </row>
    <row r="113" spans="1:20" x14ac:dyDescent="0.35">
      <c r="A113" s="111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12"/>
      <c r="T113" s="95" t="e">
        <f>VLOOKUP(K113,'Catégorie Articles Roxane'!$E$20:$F$600,2,FALSE)</f>
        <v>#N/A</v>
      </c>
    </row>
    <row r="114" spans="1:20" x14ac:dyDescent="0.35">
      <c r="A114" s="109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10"/>
      <c r="T114" s="95" t="e">
        <f>VLOOKUP(K114,'Catégorie Articles Roxane'!$E$20:$F$600,2,FALSE)</f>
        <v>#N/A</v>
      </c>
    </row>
    <row r="115" spans="1:20" x14ac:dyDescent="0.35">
      <c r="A115" s="111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12"/>
      <c r="T115" s="95" t="e">
        <f>VLOOKUP(K115,'Catégorie Articles Roxane'!$E$20:$F$600,2,FALSE)</f>
        <v>#N/A</v>
      </c>
    </row>
    <row r="116" spans="1:20" x14ac:dyDescent="0.35">
      <c r="A116" s="109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10"/>
      <c r="T116" s="95" t="e">
        <f>VLOOKUP(K116,'Catégorie Articles Roxane'!$E$20:$F$600,2,FALSE)</f>
        <v>#N/A</v>
      </c>
    </row>
    <row r="117" spans="1:20" x14ac:dyDescent="0.35">
      <c r="A117" s="111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12"/>
      <c r="T117" s="95" t="e">
        <f>VLOOKUP(K117,'Catégorie Articles Roxane'!$E$20:$F$600,2,FALSE)</f>
        <v>#N/A</v>
      </c>
    </row>
    <row r="118" spans="1:20" x14ac:dyDescent="0.35">
      <c r="A118" s="109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10"/>
      <c r="T118" s="95" t="e">
        <f>VLOOKUP(K118,'Catégorie Articles Roxane'!$E$20:$F$600,2,FALSE)</f>
        <v>#N/A</v>
      </c>
    </row>
    <row r="119" spans="1:20" x14ac:dyDescent="0.35">
      <c r="A119" s="111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12"/>
      <c r="T119" s="95" t="e">
        <f>VLOOKUP(K119,'Catégorie Articles Roxane'!$E$20:$F$600,2,FALSE)</f>
        <v>#N/A</v>
      </c>
    </row>
    <row r="120" spans="1:20" x14ac:dyDescent="0.35">
      <c r="A120" s="109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10"/>
      <c r="T120" s="95" t="e">
        <f>VLOOKUP(K120,'Catégorie Articles Roxane'!$E$20:$F$600,2,FALSE)</f>
        <v>#N/A</v>
      </c>
    </row>
    <row r="121" spans="1:20" x14ac:dyDescent="0.35">
      <c r="A121" s="111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12"/>
      <c r="T121" s="95" t="e">
        <f>VLOOKUP(K121,'Catégorie Articles Roxane'!$E$20:$F$600,2,FALSE)</f>
        <v>#N/A</v>
      </c>
    </row>
    <row r="122" spans="1:20" x14ac:dyDescent="0.35">
      <c r="A122" s="109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10"/>
      <c r="T122" s="95" t="e">
        <f>VLOOKUP(K122,'Catégorie Articles Roxane'!$E$20:$F$600,2,FALSE)</f>
        <v>#N/A</v>
      </c>
    </row>
    <row r="123" spans="1:20" x14ac:dyDescent="0.35">
      <c r="A123" s="111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12"/>
      <c r="T123" s="95" t="e">
        <f>VLOOKUP(K123,'Catégorie Articles Roxane'!$E$20:$F$600,2,FALSE)</f>
        <v>#N/A</v>
      </c>
    </row>
    <row r="124" spans="1:20" x14ac:dyDescent="0.35">
      <c r="A124" s="109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10"/>
      <c r="T124" s="95" t="e">
        <f>VLOOKUP(K124,'Catégorie Articles Roxane'!$E$20:$F$600,2,FALSE)</f>
        <v>#N/A</v>
      </c>
    </row>
    <row r="125" spans="1:20" x14ac:dyDescent="0.35">
      <c r="A125" s="111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12"/>
      <c r="T125" s="95" t="e">
        <f>VLOOKUP(K125,'Catégorie Articles Roxane'!$E$20:$F$600,2,FALSE)</f>
        <v>#N/A</v>
      </c>
    </row>
    <row r="126" spans="1:20" x14ac:dyDescent="0.35">
      <c r="A126" s="109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10"/>
      <c r="T126" s="95" t="e">
        <f>VLOOKUP(K126,'Catégorie Articles Roxane'!$E$20:$F$600,2,FALSE)</f>
        <v>#N/A</v>
      </c>
    </row>
    <row r="127" spans="1:20" x14ac:dyDescent="0.35">
      <c r="A127" s="111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12"/>
      <c r="T127" s="95" t="e">
        <f>VLOOKUP(K127,'Catégorie Articles Roxane'!$E$20:$F$600,2,FALSE)</f>
        <v>#N/A</v>
      </c>
    </row>
    <row r="128" spans="1:20" x14ac:dyDescent="0.35">
      <c r="A128" s="109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10"/>
      <c r="T128" s="95" t="e">
        <f>VLOOKUP(K128,'Catégorie Articles Roxane'!$E$20:$F$600,2,FALSE)</f>
        <v>#N/A</v>
      </c>
    </row>
    <row r="129" spans="1:20" x14ac:dyDescent="0.35">
      <c r="A129" s="111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12"/>
      <c r="T129" s="95" t="e">
        <f>VLOOKUP(K129,'Catégorie Articles Roxane'!$E$20:$F$600,2,FALSE)</f>
        <v>#N/A</v>
      </c>
    </row>
    <row r="130" spans="1:20" x14ac:dyDescent="0.35">
      <c r="A130" s="109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10"/>
      <c r="T130" s="95" t="e">
        <f>VLOOKUP(K130,'Catégorie Articles Roxane'!$E$20:$F$600,2,FALSE)</f>
        <v>#N/A</v>
      </c>
    </row>
    <row r="131" spans="1:20" x14ac:dyDescent="0.35">
      <c r="A131" s="111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12"/>
      <c r="T131" s="95" t="e">
        <f>VLOOKUP(K131,'Catégorie Articles Roxane'!$E$20:$F$600,2,FALSE)</f>
        <v>#N/A</v>
      </c>
    </row>
    <row r="132" spans="1:20" x14ac:dyDescent="0.35">
      <c r="A132" s="109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10"/>
      <c r="T132" s="95" t="e">
        <f>VLOOKUP(K132,'Catégorie Articles Roxane'!$E$20:$F$600,2,FALSE)</f>
        <v>#N/A</v>
      </c>
    </row>
    <row r="133" spans="1:20" x14ac:dyDescent="0.35">
      <c r="A133" s="111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12"/>
      <c r="T133" s="95" t="e">
        <f>VLOOKUP(K133,'Catégorie Articles Roxane'!$E$20:$F$600,2,FALSE)</f>
        <v>#N/A</v>
      </c>
    </row>
    <row r="134" spans="1:20" x14ac:dyDescent="0.35">
      <c r="A134" s="109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10"/>
      <c r="T134" s="95" t="e">
        <f>VLOOKUP(K134,'Catégorie Articles Roxane'!$E$20:$F$600,2,FALSE)</f>
        <v>#N/A</v>
      </c>
    </row>
    <row r="135" spans="1:20" x14ac:dyDescent="0.35">
      <c r="A135" s="111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12"/>
      <c r="T135" s="95" t="e">
        <f>VLOOKUP(K135,'Catégorie Articles Roxane'!$E$20:$F$600,2,FALSE)</f>
        <v>#N/A</v>
      </c>
    </row>
    <row r="136" spans="1:20" x14ac:dyDescent="0.35">
      <c r="A136" s="109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10"/>
      <c r="T136" s="95" t="e">
        <f>VLOOKUP(K136,'Catégorie Articles Roxane'!$E$20:$F$600,2,FALSE)</f>
        <v>#N/A</v>
      </c>
    </row>
    <row r="137" spans="1:20" x14ac:dyDescent="0.35">
      <c r="A137" s="111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12"/>
      <c r="T137" s="95" t="e">
        <f>VLOOKUP(K137,'Catégorie Articles Roxane'!$E$20:$F$600,2,FALSE)</f>
        <v>#N/A</v>
      </c>
    </row>
    <row r="138" spans="1:20" x14ac:dyDescent="0.35">
      <c r="A138" s="109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10"/>
      <c r="T138" s="95" t="e">
        <f>VLOOKUP(K138,'Catégorie Articles Roxane'!$E$20:$F$600,2,FALSE)</f>
        <v>#N/A</v>
      </c>
    </row>
    <row r="139" spans="1:20" x14ac:dyDescent="0.35">
      <c r="A139" s="111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12"/>
      <c r="T139" s="95" t="e">
        <f>VLOOKUP(K139,'Catégorie Articles Roxane'!$E$20:$F$600,2,FALSE)</f>
        <v>#N/A</v>
      </c>
    </row>
    <row r="140" spans="1:20" x14ac:dyDescent="0.35">
      <c r="A140" s="109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10"/>
      <c r="T140" s="95" t="e">
        <f>VLOOKUP(K140,'Catégorie Articles Roxane'!$E$20:$F$600,2,FALSE)</f>
        <v>#N/A</v>
      </c>
    </row>
    <row r="141" spans="1:20" x14ac:dyDescent="0.35">
      <c r="A141" s="111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12"/>
      <c r="T141" s="95" t="e">
        <f>VLOOKUP(K141,'Catégorie Articles Roxane'!$E$20:$F$600,2,FALSE)</f>
        <v>#N/A</v>
      </c>
    </row>
    <row r="142" spans="1:20" x14ac:dyDescent="0.35">
      <c r="A142" s="109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10"/>
      <c r="T142" s="95" t="e">
        <f>VLOOKUP(K142,'Catégorie Articles Roxane'!$E$20:$F$600,2,FALSE)</f>
        <v>#N/A</v>
      </c>
    </row>
    <row r="143" spans="1:20" x14ac:dyDescent="0.35">
      <c r="A143" s="111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12"/>
      <c r="T143" s="95" t="e">
        <f>VLOOKUP(K143,'Catégorie Articles Roxane'!$E$20:$F$600,2,FALSE)</f>
        <v>#N/A</v>
      </c>
    </row>
    <row r="144" spans="1:20" x14ac:dyDescent="0.35">
      <c r="A144" s="109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10"/>
      <c r="T144" s="95" t="e">
        <f>VLOOKUP(K144,'Catégorie Articles Roxane'!$E$20:$F$600,2,FALSE)</f>
        <v>#N/A</v>
      </c>
    </row>
    <row r="145" spans="1:20" x14ac:dyDescent="0.35">
      <c r="A145" s="111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12"/>
      <c r="T145" s="95" t="e">
        <f>VLOOKUP(K145,'Catégorie Articles Roxane'!$E$20:$F$600,2,FALSE)</f>
        <v>#N/A</v>
      </c>
    </row>
    <row r="146" spans="1:20" x14ac:dyDescent="0.35">
      <c r="A146" s="109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10"/>
      <c r="T146" s="95" t="e">
        <f>VLOOKUP(K146,'Catégorie Articles Roxane'!$E$20:$F$600,2,FALSE)</f>
        <v>#N/A</v>
      </c>
    </row>
    <row r="147" spans="1:20" x14ac:dyDescent="0.35">
      <c r="A147" s="111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12"/>
      <c r="T147" s="95" t="e">
        <f>VLOOKUP(K147,'Catégorie Articles Roxane'!$E$20:$F$600,2,FALSE)</f>
        <v>#N/A</v>
      </c>
    </row>
    <row r="148" spans="1:20" x14ac:dyDescent="0.35">
      <c r="A148" s="109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10"/>
      <c r="T148" s="95" t="e">
        <f>VLOOKUP(K148,'Catégorie Articles Roxane'!$E$20:$F$600,2,FALSE)</f>
        <v>#N/A</v>
      </c>
    </row>
    <row r="149" spans="1:20" x14ac:dyDescent="0.35">
      <c r="A149" s="111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12"/>
      <c r="T149" s="95" t="e">
        <f>VLOOKUP(K149,'Catégorie Articles Roxane'!$E$20:$F$600,2,FALSE)</f>
        <v>#N/A</v>
      </c>
    </row>
    <row r="150" spans="1:20" x14ac:dyDescent="0.35">
      <c r="A150" s="109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10"/>
      <c r="T150" s="95" t="e">
        <f>VLOOKUP(K150,'Catégorie Articles Roxane'!$E$20:$F$600,2,FALSE)</f>
        <v>#N/A</v>
      </c>
    </row>
    <row r="151" spans="1:20" x14ac:dyDescent="0.35">
      <c r="A151" s="111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12"/>
      <c r="T151" s="95" t="e">
        <f>VLOOKUP(K151,'Catégorie Articles Roxane'!$E$20:$F$600,2,FALSE)</f>
        <v>#N/A</v>
      </c>
    </row>
    <row r="152" spans="1:20" x14ac:dyDescent="0.35">
      <c r="A152" s="109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10"/>
      <c r="T152" s="95" t="e">
        <f>VLOOKUP(K152,'Catégorie Articles Roxane'!$E$20:$F$600,2,FALSE)</f>
        <v>#N/A</v>
      </c>
    </row>
    <row r="153" spans="1:20" x14ac:dyDescent="0.35">
      <c r="A153" s="111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12"/>
      <c r="T153" s="95" t="e">
        <f>VLOOKUP(K153,'Catégorie Articles Roxane'!$E$20:$F$600,2,FALSE)</f>
        <v>#N/A</v>
      </c>
    </row>
    <row r="154" spans="1:20" x14ac:dyDescent="0.35">
      <c r="A154" s="109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10"/>
      <c r="T154" s="95" t="e">
        <f>VLOOKUP(K154,'Catégorie Articles Roxane'!$E$20:$F$600,2,FALSE)</f>
        <v>#N/A</v>
      </c>
    </row>
    <row r="155" spans="1:20" x14ac:dyDescent="0.35">
      <c r="A155" s="111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12"/>
      <c r="T155" s="95" t="e">
        <f>VLOOKUP(K155,'Catégorie Articles Roxane'!$E$20:$F$600,2,FALSE)</f>
        <v>#N/A</v>
      </c>
    </row>
    <row r="156" spans="1:20" x14ac:dyDescent="0.35">
      <c r="A156" s="109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10"/>
      <c r="T156" s="95" t="e">
        <f>VLOOKUP(K156,'Catégorie Articles Roxane'!$E$20:$F$600,2,FALSE)</f>
        <v>#N/A</v>
      </c>
    </row>
    <row r="157" spans="1:20" x14ac:dyDescent="0.35">
      <c r="A157" s="111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12"/>
      <c r="T157" s="95" t="e">
        <f>VLOOKUP(K157,'Catégorie Articles Roxane'!$E$20:$F$600,2,FALSE)</f>
        <v>#N/A</v>
      </c>
    </row>
    <row r="158" spans="1:20" x14ac:dyDescent="0.35">
      <c r="A158" s="109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10"/>
      <c r="T158" s="95" t="e">
        <f>VLOOKUP(K158,'Catégorie Articles Roxane'!$E$20:$F$600,2,FALSE)</f>
        <v>#N/A</v>
      </c>
    </row>
    <row r="159" spans="1:20" x14ac:dyDescent="0.35">
      <c r="A159" s="111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12"/>
      <c r="T159" s="95" t="e">
        <f>VLOOKUP(K159,'Catégorie Articles Roxane'!$E$20:$F$600,2,FALSE)</f>
        <v>#N/A</v>
      </c>
    </row>
    <row r="160" spans="1:20" x14ac:dyDescent="0.35">
      <c r="A160" s="109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10"/>
      <c r="T160" s="95" t="e">
        <f>VLOOKUP(K160,'Catégorie Articles Roxane'!$E$20:$F$600,2,FALSE)</f>
        <v>#N/A</v>
      </c>
    </row>
    <row r="161" spans="1:20" x14ac:dyDescent="0.35">
      <c r="A161" s="111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12"/>
      <c r="T161" s="95" t="e">
        <f>VLOOKUP(K161,'Catégorie Articles Roxane'!$E$20:$F$600,2,FALSE)</f>
        <v>#N/A</v>
      </c>
    </row>
    <row r="162" spans="1:20" x14ac:dyDescent="0.35">
      <c r="A162" s="109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10"/>
      <c r="T162" s="95" t="e">
        <f>VLOOKUP(K162,'Catégorie Articles Roxane'!$E$20:$F$600,2,FALSE)</f>
        <v>#N/A</v>
      </c>
    </row>
    <row r="163" spans="1:20" x14ac:dyDescent="0.35">
      <c r="A163" s="111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12"/>
      <c r="T163" s="95" t="e">
        <f>VLOOKUP(K163,'Catégorie Articles Roxane'!$E$20:$F$600,2,FALSE)</f>
        <v>#N/A</v>
      </c>
    </row>
    <row r="164" spans="1:20" x14ac:dyDescent="0.35">
      <c r="A164" s="109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10"/>
      <c r="T164" s="95" t="e">
        <f>VLOOKUP(K164,'Catégorie Articles Roxane'!$E$20:$F$600,2,FALSE)</f>
        <v>#N/A</v>
      </c>
    </row>
    <row r="165" spans="1:20" x14ac:dyDescent="0.35">
      <c r="A165" s="111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12"/>
      <c r="T165" s="95" t="e">
        <f>VLOOKUP(K165,'Catégorie Articles Roxane'!$E$20:$F$600,2,FALSE)</f>
        <v>#N/A</v>
      </c>
    </row>
    <row r="166" spans="1:20" x14ac:dyDescent="0.35">
      <c r="A166" s="109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10"/>
      <c r="T166" s="95" t="e">
        <f>VLOOKUP(K166,'Catégorie Articles Roxane'!$E$20:$F$600,2,FALSE)</f>
        <v>#N/A</v>
      </c>
    </row>
    <row r="167" spans="1:20" x14ac:dyDescent="0.35">
      <c r="A167" s="111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12"/>
      <c r="T167" s="95" t="e">
        <f>VLOOKUP(K167,'Catégorie Articles Roxane'!$E$20:$F$600,2,FALSE)</f>
        <v>#N/A</v>
      </c>
    </row>
    <row r="168" spans="1:20" x14ac:dyDescent="0.35">
      <c r="A168" s="109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10"/>
      <c r="T168" s="95" t="e">
        <f>VLOOKUP(K168,'Catégorie Articles Roxane'!$E$20:$F$600,2,FALSE)</f>
        <v>#N/A</v>
      </c>
    </row>
    <row r="169" spans="1:20" x14ac:dyDescent="0.35">
      <c r="A169" s="111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12"/>
      <c r="T169" s="95" t="e">
        <f>VLOOKUP(K169,'Catégorie Articles Roxane'!$E$20:$F$600,2,FALSE)</f>
        <v>#N/A</v>
      </c>
    </row>
    <row r="170" spans="1:20" x14ac:dyDescent="0.35">
      <c r="A170" s="109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10"/>
      <c r="T170" s="95" t="e">
        <f>VLOOKUP(K170,'Catégorie Articles Roxane'!$E$20:$F$600,2,FALSE)</f>
        <v>#N/A</v>
      </c>
    </row>
    <row r="171" spans="1:20" x14ac:dyDescent="0.35">
      <c r="A171" s="111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12"/>
      <c r="T171" s="95" t="e">
        <f>VLOOKUP(K171,'Catégorie Articles Roxane'!$E$20:$F$600,2,FALSE)</f>
        <v>#N/A</v>
      </c>
    </row>
    <row r="172" spans="1:20" x14ac:dyDescent="0.35">
      <c r="A172" s="109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10"/>
      <c r="T172" s="95" t="e">
        <f>VLOOKUP(K172,'Catégorie Articles Roxane'!$E$20:$F$600,2,FALSE)</f>
        <v>#N/A</v>
      </c>
    </row>
    <row r="173" spans="1:20" x14ac:dyDescent="0.35">
      <c r="A173" s="111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12"/>
      <c r="T173" s="95" t="e">
        <f>VLOOKUP(K173,'Catégorie Articles Roxane'!$E$20:$F$600,2,FALSE)</f>
        <v>#N/A</v>
      </c>
    </row>
    <row r="174" spans="1:20" x14ac:dyDescent="0.35">
      <c r="A174" s="109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10"/>
      <c r="T174" s="95" t="e">
        <f>VLOOKUP(K174,'Catégorie Articles Roxane'!$E$20:$F$600,2,FALSE)</f>
        <v>#N/A</v>
      </c>
    </row>
    <row r="175" spans="1:20" x14ac:dyDescent="0.35">
      <c r="A175" s="111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12"/>
      <c r="T175" s="95" t="e">
        <f>VLOOKUP(K175,'Catégorie Articles Roxane'!$E$20:$F$600,2,FALSE)</f>
        <v>#N/A</v>
      </c>
    </row>
    <row r="176" spans="1:20" x14ac:dyDescent="0.35">
      <c r="A176" s="109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10"/>
      <c r="T176" s="95" t="e">
        <f>VLOOKUP(K176,'Catégorie Articles Roxane'!$E$20:$F$600,2,FALSE)</f>
        <v>#N/A</v>
      </c>
    </row>
    <row r="177" spans="1:20" x14ac:dyDescent="0.35">
      <c r="A177" s="111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12"/>
      <c r="T177" s="95" t="e">
        <f>VLOOKUP(K177,'Catégorie Articles Roxane'!$E$20:$F$600,2,FALSE)</f>
        <v>#N/A</v>
      </c>
    </row>
    <row r="178" spans="1:20" x14ac:dyDescent="0.35">
      <c r="A178" s="109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10"/>
      <c r="T178" s="95" t="e">
        <f>VLOOKUP(K178,'Catégorie Articles Roxane'!$E$20:$F$600,2,FALSE)</f>
        <v>#N/A</v>
      </c>
    </row>
    <row r="179" spans="1:20" x14ac:dyDescent="0.35">
      <c r="A179" s="111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12"/>
      <c r="T179" s="95" t="e">
        <f>VLOOKUP(K179,'Catégorie Articles Roxane'!$E$20:$F$600,2,FALSE)</f>
        <v>#N/A</v>
      </c>
    </row>
    <row r="180" spans="1:20" x14ac:dyDescent="0.35">
      <c r="A180" s="109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10"/>
      <c r="T180" s="95" t="e">
        <f>VLOOKUP(K180,'Catégorie Articles Roxane'!$E$20:$F$600,2,FALSE)</f>
        <v>#N/A</v>
      </c>
    </row>
    <row r="181" spans="1:20" x14ac:dyDescent="0.35">
      <c r="A181" s="111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12"/>
      <c r="T181" s="95" t="e">
        <f>VLOOKUP(K181,'Catégorie Articles Roxane'!$E$20:$F$600,2,FALSE)</f>
        <v>#N/A</v>
      </c>
    </row>
    <row r="182" spans="1:20" x14ac:dyDescent="0.35">
      <c r="A182" s="109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10"/>
      <c r="T182" s="95" t="e">
        <f>VLOOKUP(K182,'Catégorie Articles Roxane'!$E$20:$F$600,2,FALSE)</f>
        <v>#N/A</v>
      </c>
    </row>
    <row r="183" spans="1:20" x14ac:dyDescent="0.35">
      <c r="A183" s="111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12"/>
      <c r="T183" s="95" t="e">
        <f>VLOOKUP(K183,'Catégorie Articles Roxane'!$E$20:$F$600,2,FALSE)</f>
        <v>#N/A</v>
      </c>
    </row>
    <row r="184" spans="1:20" x14ac:dyDescent="0.35">
      <c r="A184" s="109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10"/>
      <c r="T184" s="95" t="e">
        <f>VLOOKUP(K184,'Catégorie Articles Roxane'!$E$20:$F$600,2,FALSE)</f>
        <v>#N/A</v>
      </c>
    </row>
    <row r="185" spans="1:20" x14ac:dyDescent="0.35">
      <c r="A185" s="111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12"/>
      <c r="T185" s="95" t="e">
        <f>VLOOKUP(K185,'Catégorie Articles Roxane'!$E$20:$F$600,2,FALSE)</f>
        <v>#N/A</v>
      </c>
    </row>
    <row r="186" spans="1:20" x14ac:dyDescent="0.35">
      <c r="A186" s="109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10"/>
      <c r="T186" s="95" t="e">
        <f>VLOOKUP(K186,'Catégorie Articles Roxane'!$E$20:$F$600,2,FALSE)</f>
        <v>#N/A</v>
      </c>
    </row>
    <row r="187" spans="1:20" x14ac:dyDescent="0.35">
      <c r="A187" s="111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12"/>
      <c r="T187" s="95" t="e">
        <f>VLOOKUP(K187,'Catégorie Articles Roxane'!$E$20:$F$600,2,FALSE)</f>
        <v>#N/A</v>
      </c>
    </row>
    <row r="188" spans="1:20" x14ac:dyDescent="0.35">
      <c r="A188" s="109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10"/>
      <c r="T188" s="95" t="e">
        <f>VLOOKUP(K188,'Catégorie Articles Roxane'!$E$20:$F$600,2,FALSE)</f>
        <v>#N/A</v>
      </c>
    </row>
    <row r="189" spans="1:20" x14ac:dyDescent="0.35">
      <c r="A189" s="111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12"/>
      <c r="T189" s="95" t="e">
        <f>VLOOKUP(K189,'Catégorie Articles Roxane'!$E$20:$F$600,2,FALSE)</f>
        <v>#N/A</v>
      </c>
    </row>
    <row r="190" spans="1:20" x14ac:dyDescent="0.35">
      <c r="A190" s="109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10"/>
      <c r="T190" s="95" t="e">
        <f>VLOOKUP(K190,'Catégorie Articles Roxane'!$E$20:$F$600,2,FALSE)</f>
        <v>#N/A</v>
      </c>
    </row>
    <row r="191" spans="1:20" x14ac:dyDescent="0.35">
      <c r="A191" s="111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12"/>
      <c r="T191" s="95" t="e">
        <f>VLOOKUP(K191,'Catégorie Articles Roxane'!$E$20:$F$600,2,FALSE)</f>
        <v>#N/A</v>
      </c>
    </row>
    <row r="192" spans="1:20" x14ac:dyDescent="0.35">
      <c r="A192" s="109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10"/>
      <c r="T192" s="95" t="e">
        <f>VLOOKUP(K192,'Catégorie Articles Roxane'!$E$20:$F$600,2,FALSE)</f>
        <v>#N/A</v>
      </c>
    </row>
    <row r="193" spans="1:20" x14ac:dyDescent="0.35">
      <c r="A193" s="111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12"/>
      <c r="T193" s="95" t="e">
        <f>VLOOKUP(K193,'Catégorie Articles Roxane'!$E$20:$F$600,2,FALSE)</f>
        <v>#N/A</v>
      </c>
    </row>
    <row r="194" spans="1:20" x14ac:dyDescent="0.35">
      <c r="A194" s="109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10"/>
      <c r="T194" s="95" t="e">
        <f>VLOOKUP(K194,'Catégorie Articles Roxane'!$E$20:$F$600,2,FALSE)</f>
        <v>#N/A</v>
      </c>
    </row>
    <row r="195" spans="1:20" x14ac:dyDescent="0.35">
      <c r="A195" s="111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12"/>
      <c r="T195" s="95" t="e">
        <f>VLOOKUP(K195,'Catégorie Articles Roxane'!$E$20:$F$600,2,FALSE)</f>
        <v>#N/A</v>
      </c>
    </row>
    <row r="196" spans="1:20" x14ac:dyDescent="0.35">
      <c r="A196" s="109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10"/>
      <c r="T196" s="95" t="e">
        <f>VLOOKUP(K196,'Catégorie Articles Roxane'!$E$20:$F$600,2,FALSE)</f>
        <v>#N/A</v>
      </c>
    </row>
    <row r="197" spans="1:20" x14ac:dyDescent="0.35">
      <c r="A197" s="111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12"/>
      <c r="T197" s="95" t="e">
        <f>VLOOKUP(K197,'Catégorie Articles Roxane'!$E$20:$F$600,2,FALSE)</f>
        <v>#N/A</v>
      </c>
    </row>
    <row r="198" spans="1:20" x14ac:dyDescent="0.35">
      <c r="A198" s="109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10"/>
      <c r="T198" s="95" t="e">
        <f>VLOOKUP(K198,'Catégorie Articles Roxane'!$E$20:$F$600,2,FALSE)</f>
        <v>#N/A</v>
      </c>
    </row>
    <row r="199" spans="1:20" x14ac:dyDescent="0.35">
      <c r="A199" s="111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12"/>
      <c r="T199" s="95" t="e">
        <f>VLOOKUP(K199,'Catégorie Articles Roxane'!$E$20:$F$600,2,FALSE)</f>
        <v>#N/A</v>
      </c>
    </row>
    <row r="200" spans="1:20" x14ac:dyDescent="0.35">
      <c r="A200" s="109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10"/>
      <c r="T200" s="95" t="e">
        <f>VLOOKUP(K200,'Catégorie Articles Roxane'!$E$20:$F$600,2,FALSE)</f>
        <v>#N/A</v>
      </c>
    </row>
    <row r="201" spans="1:20" x14ac:dyDescent="0.35">
      <c r="A201" s="111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12"/>
      <c r="T201" s="95" t="e">
        <f>VLOOKUP(K201,'Catégorie Articles Roxane'!$E$20:$F$600,2,FALSE)</f>
        <v>#N/A</v>
      </c>
    </row>
    <row r="202" spans="1:20" x14ac:dyDescent="0.35">
      <c r="A202" s="109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10"/>
      <c r="T202" s="95" t="e">
        <f>VLOOKUP(K202,'Catégorie Articles Roxane'!$E$20:$F$600,2,FALSE)</f>
        <v>#N/A</v>
      </c>
    </row>
    <row r="203" spans="1:20" x14ac:dyDescent="0.35">
      <c r="A203" s="111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12"/>
      <c r="T203" s="95" t="e">
        <f>VLOOKUP(K203,'Catégorie Articles Roxane'!$E$20:$F$600,2,FALSE)</f>
        <v>#N/A</v>
      </c>
    </row>
    <row r="204" spans="1:20" x14ac:dyDescent="0.35">
      <c r="A204" s="109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10"/>
      <c r="T204" s="95" t="e">
        <f>VLOOKUP(K204,'Catégorie Articles Roxane'!$E$20:$F$600,2,FALSE)</f>
        <v>#N/A</v>
      </c>
    </row>
    <row r="205" spans="1:20" x14ac:dyDescent="0.35">
      <c r="A205" s="111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12"/>
      <c r="T205" s="95" t="e">
        <f>VLOOKUP(K205,'Catégorie Articles Roxane'!$E$20:$F$600,2,FALSE)</f>
        <v>#N/A</v>
      </c>
    </row>
    <row r="206" spans="1:20" x14ac:dyDescent="0.35">
      <c r="A206" s="109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10"/>
      <c r="T206" s="95" t="e">
        <f>VLOOKUP(K206,'Catégorie Articles Roxane'!$E$20:$F$600,2,FALSE)</f>
        <v>#N/A</v>
      </c>
    </row>
    <row r="207" spans="1:20" x14ac:dyDescent="0.35">
      <c r="A207" s="111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12"/>
      <c r="T207" s="95" t="e">
        <f>VLOOKUP(K207,'Catégorie Articles Roxane'!$E$20:$F$600,2,FALSE)</f>
        <v>#N/A</v>
      </c>
    </row>
    <row r="208" spans="1:20" x14ac:dyDescent="0.35">
      <c r="A208" s="109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10"/>
      <c r="T208" s="95" t="e">
        <f>VLOOKUP(K208,'Catégorie Articles Roxane'!$E$20:$F$600,2,FALSE)</f>
        <v>#N/A</v>
      </c>
    </row>
    <row r="209" spans="1:20" x14ac:dyDescent="0.35">
      <c r="A209" s="111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12"/>
      <c r="T209" s="95" t="e">
        <f>VLOOKUP(K209,'Catégorie Articles Roxane'!$E$20:$F$600,2,FALSE)</f>
        <v>#N/A</v>
      </c>
    </row>
    <row r="210" spans="1:20" x14ac:dyDescent="0.35">
      <c r="A210" s="109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10"/>
      <c r="T210" s="95" t="e">
        <f>VLOOKUP(K210,'Catégorie Articles Roxane'!$E$20:$F$600,2,FALSE)</f>
        <v>#N/A</v>
      </c>
    </row>
    <row r="211" spans="1:20" x14ac:dyDescent="0.35">
      <c r="A211" s="111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12"/>
      <c r="T211" s="95" t="e">
        <f>VLOOKUP(K211,'Catégorie Articles Roxane'!$E$20:$F$600,2,FALSE)</f>
        <v>#N/A</v>
      </c>
    </row>
    <row r="212" spans="1:20" x14ac:dyDescent="0.35">
      <c r="A212" s="109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10"/>
      <c r="T212" s="95" t="e">
        <f>VLOOKUP(K212,'Catégorie Articles Roxane'!$E$20:$F$600,2,FALSE)</f>
        <v>#N/A</v>
      </c>
    </row>
    <row r="213" spans="1:20" x14ac:dyDescent="0.35">
      <c r="A213" s="111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12"/>
      <c r="T213" s="95" t="e">
        <f>VLOOKUP(K213,'Catégorie Articles Roxane'!$E$20:$F$600,2,FALSE)</f>
        <v>#N/A</v>
      </c>
    </row>
    <row r="214" spans="1:20" x14ac:dyDescent="0.35">
      <c r="T214" s="95" t="e">
        <f>VLOOKUP(K214,'Catégorie Articles Roxane'!$E$20:$F$600,2,FALSE)</f>
        <v>#N/A</v>
      </c>
    </row>
    <row r="215" spans="1:20" x14ac:dyDescent="0.35">
      <c r="T215" s="95" t="e">
        <f>VLOOKUP(K215,'Catégorie Articles Roxane'!$E$20:$F$600,2,FALSE)</f>
        <v>#N/A</v>
      </c>
    </row>
    <row r="216" spans="1:20" x14ac:dyDescent="0.35">
      <c r="T216" s="95" t="e">
        <f>VLOOKUP(K216,'Catégorie Articles Roxane'!$E$20:$F$600,2,FALSE)</f>
        <v>#N/A</v>
      </c>
    </row>
    <row r="217" spans="1:20" x14ac:dyDescent="0.35">
      <c r="T217" s="95" t="e">
        <f>VLOOKUP(K217,'Catégorie Articles Roxane'!$E$20:$F$600,2,FALSE)</f>
        <v>#N/A</v>
      </c>
    </row>
    <row r="218" spans="1:20" x14ac:dyDescent="0.35">
      <c r="T218" s="95" t="e">
        <f>VLOOKUP(K218,'Catégorie Articles Roxane'!$E$20:$F$600,2,FALSE)</f>
        <v>#N/A</v>
      </c>
    </row>
    <row r="219" spans="1:20" x14ac:dyDescent="0.35">
      <c r="T219" s="95" t="e">
        <f>VLOOKUP(K219,'Catégorie Articles Roxane'!$E$20:$F$600,2,FALSE)</f>
        <v>#N/A</v>
      </c>
    </row>
    <row r="220" spans="1:20" x14ac:dyDescent="0.35">
      <c r="T220" s="95" t="e">
        <f>VLOOKUP(K220,'Catégorie Articles Roxane'!$E$20:$F$600,2,FALSE)</f>
        <v>#N/A</v>
      </c>
    </row>
    <row r="221" spans="1:20" x14ac:dyDescent="0.35">
      <c r="T221" s="95" t="e">
        <f>VLOOKUP(K221,'Catégorie Articles Roxane'!$E$20:$F$600,2,FALSE)</f>
        <v>#N/A</v>
      </c>
    </row>
    <row r="222" spans="1:20" x14ac:dyDescent="0.35">
      <c r="T222" s="95" t="e">
        <f>VLOOKUP(K222,'Catégorie Articles Roxane'!$E$20:$F$600,2,FALSE)</f>
        <v>#N/A</v>
      </c>
    </row>
    <row r="223" spans="1:20" x14ac:dyDescent="0.35">
      <c r="T223" s="95" t="e">
        <f>VLOOKUP(K223,'Catégorie Articles Roxane'!$E$20:$F$600,2,FALSE)</f>
        <v>#N/A</v>
      </c>
    </row>
    <row r="224" spans="1:20" x14ac:dyDescent="0.35">
      <c r="T224" s="95" t="e">
        <f>VLOOKUP(K224,'Catégorie Articles Roxane'!$E$20:$F$600,2,FALSE)</f>
        <v>#N/A</v>
      </c>
    </row>
    <row r="225" spans="20:20" x14ac:dyDescent="0.35">
      <c r="T225" s="95" t="e">
        <f>VLOOKUP(K225,'Catégorie Articles Roxane'!$E$20:$F$600,2,FALSE)</f>
        <v>#N/A</v>
      </c>
    </row>
    <row r="226" spans="20:20" x14ac:dyDescent="0.35">
      <c r="T226" s="95" t="e">
        <f>VLOOKUP(K226,'Catégorie Articles Roxane'!$E$20:$F$600,2,FALSE)</f>
        <v>#N/A</v>
      </c>
    </row>
    <row r="227" spans="20:20" x14ac:dyDescent="0.35">
      <c r="T227" s="95" t="e">
        <f>VLOOKUP(K227,'Catégorie Articles Roxane'!$E$20:$F$600,2,FALSE)</f>
        <v>#N/A</v>
      </c>
    </row>
    <row r="228" spans="20:20" x14ac:dyDescent="0.35">
      <c r="T228" s="95" t="e">
        <f>VLOOKUP(K228,'Catégorie Articles Roxane'!$E$20:$F$600,2,FALSE)</f>
        <v>#N/A</v>
      </c>
    </row>
    <row r="229" spans="20:20" x14ac:dyDescent="0.35">
      <c r="T229" s="95" t="e">
        <f>VLOOKUP(K229,'Catégorie Articles Roxane'!$E$20:$F$600,2,FALSE)</f>
        <v>#N/A</v>
      </c>
    </row>
    <row r="230" spans="20:20" x14ac:dyDescent="0.35">
      <c r="T230" s="95" t="e">
        <f>VLOOKUP(K230,'Catégorie Articles Roxane'!$E$20:$F$600,2,FALSE)</f>
        <v>#N/A</v>
      </c>
    </row>
    <row r="231" spans="20:20" x14ac:dyDescent="0.35">
      <c r="T231" s="95" t="e">
        <f>VLOOKUP(K231,'Catégorie Articles Roxane'!$E$20:$F$600,2,FALSE)</f>
        <v>#N/A</v>
      </c>
    </row>
    <row r="232" spans="20:20" x14ac:dyDescent="0.35">
      <c r="T232" s="95" t="e">
        <f>VLOOKUP(K232,'Catégorie Articles Roxane'!$E$20:$F$600,2,FALSE)</f>
        <v>#N/A</v>
      </c>
    </row>
    <row r="233" spans="20:20" x14ac:dyDescent="0.35">
      <c r="T233" s="95" t="e">
        <f>VLOOKUP(K233,'Catégorie Articles Roxane'!$E$20:$F$600,2,FALSE)</f>
        <v>#N/A</v>
      </c>
    </row>
    <row r="234" spans="20:20" x14ac:dyDescent="0.35">
      <c r="T234" s="95" t="e">
        <f>VLOOKUP(K234,'Catégorie Articles Roxane'!$E$20:$F$600,2,FALSE)</f>
        <v>#N/A</v>
      </c>
    </row>
    <row r="235" spans="20:20" x14ac:dyDescent="0.35">
      <c r="T235" s="95" t="e">
        <f>VLOOKUP(K235,'Catégorie Articles Roxane'!$E$20:$F$600,2,FALSE)</f>
        <v>#N/A</v>
      </c>
    </row>
    <row r="236" spans="20:20" x14ac:dyDescent="0.35">
      <c r="T236" s="95" t="e">
        <f>VLOOKUP(K236,'Catégorie Articles Roxane'!$E$20:$F$600,2,FALSE)</f>
        <v>#N/A</v>
      </c>
    </row>
    <row r="237" spans="20:20" x14ac:dyDescent="0.35">
      <c r="T237" s="95" t="e">
        <f>VLOOKUP(K237,'Catégorie Articles Roxane'!$E$20:$F$600,2,FALSE)</f>
        <v>#N/A</v>
      </c>
    </row>
    <row r="238" spans="20:20" x14ac:dyDescent="0.35">
      <c r="T238" s="95" t="e">
        <f>VLOOKUP(K238,'Catégorie Articles Roxane'!$E$20:$F$600,2,FALSE)</f>
        <v>#N/A</v>
      </c>
    </row>
    <row r="239" spans="20:20" x14ac:dyDescent="0.35">
      <c r="T239" s="95" t="e">
        <f>VLOOKUP(K239,'Catégorie Articles Roxane'!$E$20:$F$600,2,FALSE)</f>
        <v>#N/A</v>
      </c>
    </row>
    <row r="240" spans="20:20" x14ac:dyDescent="0.35">
      <c r="T240" s="95" t="e">
        <f>VLOOKUP(K240,'Catégorie Articles Roxane'!$E$20:$F$600,2,FALSE)</f>
        <v>#N/A</v>
      </c>
    </row>
    <row r="241" spans="20:20" x14ac:dyDescent="0.35">
      <c r="T241" s="95" t="e">
        <f>VLOOKUP(K241,'Catégorie Articles Roxane'!$E$20:$F$600,2,FALSE)</f>
        <v>#N/A</v>
      </c>
    </row>
    <row r="242" spans="20:20" x14ac:dyDescent="0.35">
      <c r="T242" s="95" t="e">
        <f>VLOOKUP(K242,'Catégorie Articles Roxane'!$E$20:$F$600,2,FALSE)</f>
        <v>#N/A</v>
      </c>
    </row>
    <row r="243" spans="20:20" x14ac:dyDescent="0.35">
      <c r="T243" s="95" t="e">
        <f>VLOOKUP(K243,'Catégorie Articles Roxane'!$E$20:$F$600,2,FALSE)</f>
        <v>#N/A</v>
      </c>
    </row>
    <row r="244" spans="20:20" x14ac:dyDescent="0.35">
      <c r="T244" s="95" t="e">
        <f>VLOOKUP(K244,'Catégorie Articles Roxane'!$E$20:$F$600,2,FALSE)</f>
        <v>#N/A</v>
      </c>
    </row>
    <row r="245" spans="20:20" x14ac:dyDescent="0.35">
      <c r="T245" s="95" t="e">
        <f>VLOOKUP(K245,'Catégorie Articles Roxane'!$E$20:$F$600,2,FALSE)</f>
        <v>#N/A</v>
      </c>
    </row>
    <row r="246" spans="20:20" x14ac:dyDescent="0.35">
      <c r="T246" s="95" t="e">
        <f>VLOOKUP(K246,'Catégorie Articles Roxane'!$E$20:$F$600,2,FALSE)</f>
        <v>#N/A</v>
      </c>
    </row>
    <row r="247" spans="20:20" x14ac:dyDescent="0.35">
      <c r="T247" s="95" t="e">
        <f>VLOOKUP(K247,'Catégorie Articles Roxane'!$E$20:$F$600,2,FALSE)</f>
        <v>#N/A</v>
      </c>
    </row>
    <row r="248" spans="20:20" x14ac:dyDescent="0.35">
      <c r="T248" s="95" t="e">
        <f>VLOOKUP(K248,'Catégorie Articles Roxane'!$E$20:$F$600,2,FALSE)</f>
        <v>#N/A</v>
      </c>
    </row>
    <row r="249" spans="20:20" x14ac:dyDescent="0.35">
      <c r="T249" s="95" t="e">
        <f>VLOOKUP(K249,'Catégorie Articles Roxane'!$E$20:$F$600,2,FALSE)</f>
        <v>#N/A</v>
      </c>
    </row>
    <row r="250" spans="20:20" x14ac:dyDescent="0.35">
      <c r="T250" s="95" t="e">
        <f>VLOOKUP(K250,'Catégorie Articles Roxane'!$E$20:$F$600,2,FALSE)</f>
        <v>#N/A</v>
      </c>
    </row>
    <row r="251" spans="20:20" x14ac:dyDescent="0.35">
      <c r="T251" s="95" t="e">
        <f>VLOOKUP(K251,'Catégorie Articles Roxane'!$E$20:$F$600,2,FALSE)</f>
        <v>#N/A</v>
      </c>
    </row>
    <row r="252" spans="20:20" x14ac:dyDescent="0.35">
      <c r="T252" s="95" t="e">
        <f>VLOOKUP(K252,'Catégorie Articles Roxane'!$E$20:$F$600,2,FALSE)</f>
        <v>#N/A</v>
      </c>
    </row>
    <row r="253" spans="20:20" x14ac:dyDescent="0.35">
      <c r="T253" s="95" t="e">
        <f>VLOOKUP(K253,'Catégorie Articles Roxane'!$E$20:$F$600,2,FALSE)</f>
        <v>#N/A</v>
      </c>
    </row>
    <row r="254" spans="20:20" x14ac:dyDescent="0.35">
      <c r="T254" s="95" t="e">
        <f>VLOOKUP(K254,'Catégorie Articles Roxane'!$E$20:$F$600,2,FALSE)</f>
        <v>#N/A</v>
      </c>
    </row>
    <row r="255" spans="20:20" x14ac:dyDescent="0.35">
      <c r="T255" s="95" t="e">
        <f>VLOOKUP(K255,'Catégorie Articles Roxane'!$E$20:$F$600,2,FALSE)</f>
        <v>#N/A</v>
      </c>
    </row>
    <row r="256" spans="20:20" x14ac:dyDescent="0.35">
      <c r="T256" s="95" t="e">
        <f>VLOOKUP(K256,'Catégorie Articles Roxane'!$E$20:$F$600,2,FALSE)</f>
        <v>#N/A</v>
      </c>
    </row>
    <row r="257" spans="20:20" x14ac:dyDescent="0.35">
      <c r="T257" s="95" t="e">
        <f>VLOOKUP(K257,'Catégorie Articles Roxane'!$E$20:$F$600,2,FALSE)</f>
        <v>#N/A</v>
      </c>
    </row>
    <row r="258" spans="20:20" x14ac:dyDescent="0.35">
      <c r="T258" s="95" t="e">
        <f>VLOOKUP(K258,'Catégorie Articles Roxane'!$E$20:$F$600,2,FALSE)</f>
        <v>#N/A</v>
      </c>
    </row>
    <row r="259" spans="20:20" x14ac:dyDescent="0.35">
      <c r="T259" s="95" t="e">
        <f>VLOOKUP(K259,'Catégorie Articles Roxane'!$E$20:$F$600,2,FALSE)</f>
        <v>#N/A</v>
      </c>
    </row>
    <row r="260" spans="20:20" x14ac:dyDescent="0.35">
      <c r="T260" s="95" t="e">
        <f>VLOOKUP(K260,'Catégorie Articles Roxane'!$E$20:$F$600,2,FALSE)</f>
        <v>#N/A</v>
      </c>
    </row>
    <row r="261" spans="20:20" x14ac:dyDescent="0.35">
      <c r="T261" s="95" t="e">
        <f>VLOOKUP(K261,'Catégorie Articles Roxane'!$E$20:$F$600,2,FALSE)</f>
        <v>#N/A</v>
      </c>
    </row>
    <row r="262" spans="20:20" x14ac:dyDescent="0.35">
      <c r="T262" s="95" t="e">
        <f>VLOOKUP(K262,'Catégorie Articles Roxane'!$E$20:$F$600,2,FALSE)</f>
        <v>#N/A</v>
      </c>
    </row>
    <row r="263" spans="20:20" x14ac:dyDescent="0.35">
      <c r="T263" s="95" t="e">
        <f>VLOOKUP(K263,'Catégorie Articles Roxane'!$E$20:$F$600,2,FALSE)</f>
        <v>#N/A</v>
      </c>
    </row>
    <row r="264" spans="20:20" x14ac:dyDescent="0.35">
      <c r="T264" s="95" t="e">
        <f>VLOOKUP(K264,'Catégorie Articles Roxane'!$E$20:$F$600,2,FALSE)</f>
        <v>#N/A</v>
      </c>
    </row>
    <row r="265" spans="20:20" x14ac:dyDescent="0.35">
      <c r="T265" s="95" t="e">
        <f>VLOOKUP(K265,'Catégorie Articles Roxane'!$E$20:$F$600,2,FALSE)</f>
        <v>#N/A</v>
      </c>
    </row>
    <row r="266" spans="20:20" x14ac:dyDescent="0.35">
      <c r="T266" s="95" t="e">
        <f>VLOOKUP(K266,'Catégorie Articles Roxane'!$E$20:$F$600,2,FALSE)</f>
        <v>#N/A</v>
      </c>
    </row>
    <row r="267" spans="20:20" x14ac:dyDescent="0.35">
      <c r="T267" s="95" t="e">
        <f>VLOOKUP(K267,'Catégorie Articles Roxane'!$E$20:$F$600,2,FALSE)</f>
        <v>#N/A</v>
      </c>
    </row>
    <row r="268" spans="20:20" x14ac:dyDescent="0.35">
      <c r="T268" s="95" t="e">
        <f>VLOOKUP(K268,'Catégorie Articles Roxane'!$E$20:$F$600,2,FALSE)</f>
        <v>#N/A</v>
      </c>
    </row>
    <row r="269" spans="20:20" x14ac:dyDescent="0.35">
      <c r="T269" s="95" t="e">
        <f>VLOOKUP(K269,'Catégorie Articles Roxane'!$E$20:$F$600,2,FALSE)</f>
        <v>#N/A</v>
      </c>
    </row>
    <row r="270" spans="20:20" x14ac:dyDescent="0.35">
      <c r="T270" s="95" t="e">
        <f>VLOOKUP(K270,'Catégorie Articles Roxane'!$E$20:$F$600,2,FALSE)</f>
        <v>#N/A</v>
      </c>
    </row>
    <row r="271" spans="20:20" x14ac:dyDescent="0.35">
      <c r="T271" s="95" t="e">
        <f>VLOOKUP(K271,'Catégorie Articles Roxane'!$E$20:$F$600,2,FALSE)</f>
        <v>#N/A</v>
      </c>
    </row>
    <row r="272" spans="20:20" x14ac:dyDescent="0.35">
      <c r="T272" s="95" t="e">
        <f>VLOOKUP(K272,'Catégorie Articles Roxane'!$E$20:$F$600,2,FALSE)</f>
        <v>#N/A</v>
      </c>
    </row>
    <row r="273" spans="20:20" x14ac:dyDescent="0.35">
      <c r="T273" s="95" t="e">
        <f>VLOOKUP(K273,'Catégorie Articles Roxane'!$E$20:$F$600,2,FALSE)</f>
        <v>#N/A</v>
      </c>
    </row>
    <row r="274" spans="20:20" x14ac:dyDescent="0.35">
      <c r="T274" s="95" t="e">
        <f>VLOOKUP(K274,'Catégorie Articles Roxane'!$E$20:$F$600,2,FALSE)</f>
        <v>#N/A</v>
      </c>
    </row>
    <row r="275" spans="20:20" x14ac:dyDescent="0.35">
      <c r="T275" s="95" t="e">
        <f>VLOOKUP(K275,'Catégorie Articles Roxane'!$E$20:$F$600,2,FALSE)</f>
        <v>#N/A</v>
      </c>
    </row>
    <row r="276" spans="20:20" x14ac:dyDescent="0.35">
      <c r="T276" s="95" t="e">
        <f>VLOOKUP(K276,'Catégorie Articles Roxane'!$E$20:$F$600,2,FALSE)</f>
        <v>#N/A</v>
      </c>
    </row>
    <row r="277" spans="20:20" x14ac:dyDescent="0.35">
      <c r="T277" s="95" t="e">
        <f>VLOOKUP(K277,'Catégorie Articles Roxane'!$E$20:$F$600,2,FALSE)</f>
        <v>#N/A</v>
      </c>
    </row>
    <row r="278" spans="20:20" x14ac:dyDescent="0.35">
      <c r="T278" s="95" t="e">
        <f>VLOOKUP(K278,'Catégorie Articles Roxane'!$E$20:$F$600,2,FALSE)</f>
        <v>#N/A</v>
      </c>
    </row>
    <row r="279" spans="20:20" x14ac:dyDescent="0.35">
      <c r="T279" s="95" t="e">
        <f>VLOOKUP(K279,'Catégorie Articles Roxane'!$E$20:$F$600,2,FALSE)</f>
        <v>#N/A</v>
      </c>
    </row>
    <row r="280" spans="20:20" x14ac:dyDescent="0.35">
      <c r="T280" s="95" t="e">
        <f>VLOOKUP(K280,'Catégorie Articles Roxane'!$E$20:$F$600,2,FALSE)</f>
        <v>#N/A</v>
      </c>
    </row>
    <row r="281" spans="20:20" x14ac:dyDescent="0.35">
      <c r="T281" s="95" t="e">
        <f>VLOOKUP(K281,'Catégorie Articles Roxane'!$E$20:$F$600,2,FALSE)</f>
        <v>#N/A</v>
      </c>
    </row>
    <row r="282" spans="20:20" x14ac:dyDescent="0.35">
      <c r="T282" s="95" t="e">
        <f>VLOOKUP(K282,'Catégorie Articles Roxane'!$E$20:$F$600,2,FALSE)</f>
        <v>#N/A</v>
      </c>
    </row>
    <row r="283" spans="20:20" x14ac:dyDescent="0.35">
      <c r="T283" s="95" t="e">
        <f>VLOOKUP(K283,'Catégorie Articles Roxane'!$E$20:$F$600,2,FALSE)</f>
        <v>#N/A</v>
      </c>
    </row>
    <row r="284" spans="20:20" x14ac:dyDescent="0.35">
      <c r="T284" s="95" t="e">
        <f>VLOOKUP(K284,'Catégorie Articles Roxane'!$E$20:$F$600,2,FALSE)</f>
        <v>#N/A</v>
      </c>
    </row>
    <row r="285" spans="20:20" x14ac:dyDescent="0.35">
      <c r="T285" s="95" t="e">
        <f>VLOOKUP(K285,'Catégorie Articles Roxane'!$E$20:$F$600,2,FALSE)</f>
        <v>#N/A</v>
      </c>
    </row>
    <row r="286" spans="20:20" x14ac:dyDescent="0.35">
      <c r="T286" s="95" t="e">
        <f>VLOOKUP(K286,'Catégorie Articles Roxane'!$E$20:$F$600,2,FALSE)</f>
        <v>#N/A</v>
      </c>
    </row>
    <row r="287" spans="20:20" x14ac:dyDescent="0.35">
      <c r="T287" s="95" t="e">
        <f>VLOOKUP(K287,'Catégorie Articles Roxane'!$E$20:$F$600,2,FALSE)</f>
        <v>#N/A</v>
      </c>
    </row>
    <row r="288" spans="20:20" x14ac:dyDescent="0.35">
      <c r="T288" s="95" t="e">
        <f>VLOOKUP(K288,'Catégorie Articles Roxane'!$E$20:$F$600,2,FALSE)</f>
        <v>#N/A</v>
      </c>
    </row>
    <row r="289" spans="20:20" x14ac:dyDescent="0.35">
      <c r="T289" s="95" t="e">
        <f>VLOOKUP(K289,'Catégorie Articles Roxane'!$E$20:$F$600,2,FALSE)</f>
        <v>#N/A</v>
      </c>
    </row>
    <row r="290" spans="20:20" x14ac:dyDescent="0.35">
      <c r="T290" s="95" t="e">
        <f>VLOOKUP(K290,'Catégorie Articles Roxane'!$E$20:$F$600,2,FALSE)</f>
        <v>#N/A</v>
      </c>
    </row>
    <row r="291" spans="20:20" x14ac:dyDescent="0.35">
      <c r="T291" s="95" t="e">
        <f>VLOOKUP(K291,'Catégorie Articles Roxane'!$E$20:$F$600,2,FALSE)</f>
        <v>#N/A</v>
      </c>
    </row>
    <row r="292" spans="20:20" x14ac:dyDescent="0.35">
      <c r="T292" s="95" t="e">
        <f>VLOOKUP(K292,'Catégorie Articles Roxane'!$E$20:$F$600,2,FALSE)</f>
        <v>#N/A</v>
      </c>
    </row>
    <row r="293" spans="20:20" x14ac:dyDescent="0.35">
      <c r="T293" s="95" t="e">
        <f>VLOOKUP(K293,'Catégorie Articles Roxane'!$E$20:$F$600,2,FALSE)</f>
        <v>#N/A</v>
      </c>
    </row>
    <row r="294" spans="20:20" x14ac:dyDescent="0.35">
      <c r="T294" s="95" t="e">
        <f>VLOOKUP(K294,'Catégorie Articles Roxane'!$E$20:$F$600,2,FALSE)</f>
        <v>#N/A</v>
      </c>
    </row>
    <row r="295" spans="20:20" x14ac:dyDescent="0.35">
      <c r="T295" s="95" t="e">
        <f>VLOOKUP(K295,'Catégorie Articles Roxane'!$E$20:$F$600,2,FALSE)</f>
        <v>#N/A</v>
      </c>
    </row>
    <row r="296" spans="20:20" x14ac:dyDescent="0.35">
      <c r="T296" s="95" t="e">
        <f>VLOOKUP(K296,'Catégorie Articles Roxane'!$E$20:$F$600,2,FALSE)</f>
        <v>#N/A</v>
      </c>
    </row>
    <row r="297" spans="20:20" x14ac:dyDescent="0.35">
      <c r="T297" s="95" t="e">
        <f>VLOOKUP(K297,'Catégorie Articles Roxane'!$E$20:$F$600,2,FALSE)</f>
        <v>#N/A</v>
      </c>
    </row>
    <row r="298" spans="20:20" x14ac:dyDescent="0.35">
      <c r="T298" s="95" t="e">
        <f>VLOOKUP(K298,'Catégorie Articles Roxane'!$E$20:$F$600,2,FALSE)</f>
        <v>#N/A</v>
      </c>
    </row>
    <row r="299" spans="20:20" x14ac:dyDescent="0.35">
      <c r="T299" s="95" t="e">
        <f>VLOOKUP(K299,'Catégorie Articles Roxane'!$E$20:$F$600,2,FALSE)</f>
        <v>#N/A</v>
      </c>
    </row>
    <row r="300" spans="20:20" x14ac:dyDescent="0.35">
      <c r="T300" s="95" t="e">
        <f>VLOOKUP(K300,'Catégorie Articles Roxane'!$E$20:$F$600,2,FALSE)</f>
        <v>#N/A</v>
      </c>
    </row>
    <row r="301" spans="20:20" x14ac:dyDescent="0.35">
      <c r="T301" s="95" t="e">
        <f>VLOOKUP(K301,'Catégorie Articles Roxane'!$E$20:$F$600,2,FALSE)</f>
        <v>#N/A</v>
      </c>
    </row>
    <row r="302" spans="20:20" x14ac:dyDescent="0.35">
      <c r="T302" s="95" t="e">
        <f>VLOOKUP(K302,'Catégorie Articles Roxane'!$E$20:$F$600,2,FALSE)</f>
        <v>#N/A</v>
      </c>
    </row>
    <row r="303" spans="20:20" x14ac:dyDescent="0.35">
      <c r="T303" s="95" t="e">
        <f>VLOOKUP(K303,'Catégorie Articles Roxane'!$E$20:$F$600,2,FALSE)</f>
        <v>#N/A</v>
      </c>
    </row>
    <row r="304" spans="20:20" x14ac:dyDescent="0.35">
      <c r="T304" s="95" t="e">
        <f>VLOOKUP(K304,'Catégorie Articles Roxane'!$E$20:$F$600,2,FALSE)</f>
        <v>#N/A</v>
      </c>
    </row>
    <row r="305" spans="20:20" x14ac:dyDescent="0.35">
      <c r="T305" s="95" t="e">
        <f>VLOOKUP(K305,'Catégorie Articles Roxane'!$E$20:$F$600,2,FALSE)</f>
        <v>#N/A</v>
      </c>
    </row>
    <row r="306" spans="20:20" x14ac:dyDescent="0.35">
      <c r="T306" s="95" t="e">
        <f>VLOOKUP(K306,'Catégorie Articles Roxane'!$E$20:$F$600,2,FALSE)</f>
        <v>#N/A</v>
      </c>
    </row>
    <row r="307" spans="20:20" x14ac:dyDescent="0.35">
      <c r="T307" s="95" t="e">
        <f>VLOOKUP(K307,'Catégorie Articles Roxane'!$E$20:$F$600,2,FALSE)</f>
        <v>#N/A</v>
      </c>
    </row>
    <row r="308" spans="20:20" x14ac:dyDescent="0.35">
      <c r="T308" s="95" t="e">
        <f>VLOOKUP(K308,'Catégorie Articles Roxane'!$E$20:$F$600,2,FALSE)</f>
        <v>#N/A</v>
      </c>
    </row>
    <row r="309" spans="20:20" x14ac:dyDescent="0.35">
      <c r="T309" s="95" t="e">
        <f>VLOOKUP(K309,'Catégorie Articles Roxane'!$E$20:$F$600,2,FALSE)</f>
        <v>#N/A</v>
      </c>
    </row>
    <row r="310" spans="20:20" x14ac:dyDescent="0.35">
      <c r="T310" s="95" t="e">
        <f>VLOOKUP(K310,'Catégorie Articles Roxane'!$E$20:$F$600,2,FALSE)</f>
        <v>#N/A</v>
      </c>
    </row>
    <row r="311" spans="20:20" x14ac:dyDescent="0.35">
      <c r="T311" s="95" t="e">
        <f>VLOOKUP(K311,'Catégorie Articles Roxane'!$E$20:$F$600,2,FALSE)</f>
        <v>#N/A</v>
      </c>
    </row>
    <row r="312" spans="20:20" x14ac:dyDescent="0.35">
      <c r="T312" s="95" t="e">
        <f>VLOOKUP(K312,'Catégorie Articles Roxane'!$E$20:$F$600,2,FALSE)</f>
        <v>#N/A</v>
      </c>
    </row>
    <row r="313" spans="20:20" x14ac:dyDescent="0.35">
      <c r="T313" s="95" t="e">
        <f>VLOOKUP(K313,'Catégorie Articles Roxane'!$E$20:$F$600,2,FALSE)</f>
        <v>#N/A</v>
      </c>
    </row>
    <row r="314" spans="20:20" x14ac:dyDescent="0.35">
      <c r="T314" s="95" t="e">
        <f>VLOOKUP(K314,'Catégorie Articles Roxane'!$E$20:$F$600,2,FALSE)</f>
        <v>#N/A</v>
      </c>
    </row>
    <row r="315" spans="20:20" x14ac:dyDescent="0.35">
      <c r="T315" s="95" t="e">
        <f>VLOOKUP(K315,'Catégorie Articles Roxane'!$E$20:$F$600,2,FALSE)</f>
        <v>#N/A</v>
      </c>
    </row>
    <row r="316" spans="20:20" x14ac:dyDescent="0.35">
      <c r="T316" s="95" t="e">
        <f>VLOOKUP(K316,'Catégorie Articles Roxane'!$E$20:$F$600,2,FALSE)</f>
        <v>#N/A</v>
      </c>
    </row>
    <row r="317" spans="20:20" x14ac:dyDescent="0.35">
      <c r="T317" s="95" t="e">
        <f>VLOOKUP(K317,'Catégorie Articles Roxane'!$E$20:$F$600,2,FALSE)</f>
        <v>#N/A</v>
      </c>
    </row>
    <row r="318" spans="20:20" x14ac:dyDescent="0.35">
      <c r="T318" s="95" t="e">
        <f>VLOOKUP(K318,'Catégorie Articles Roxane'!$E$20:$F$600,2,FALSE)</f>
        <v>#N/A</v>
      </c>
    </row>
    <row r="319" spans="20:20" x14ac:dyDescent="0.35">
      <c r="T319" s="95" t="e">
        <f>VLOOKUP(K319,'Catégorie Articles Roxane'!$E$20:$F$600,2,FALSE)</f>
        <v>#N/A</v>
      </c>
    </row>
    <row r="320" spans="20:20" x14ac:dyDescent="0.35">
      <c r="T320" s="95" t="e">
        <f>VLOOKUP(K320,'Catégorie Articles Roxane'!$E$20:$F$600,2,FALSE)</f>
        <v>#N/A</v>
      </c>
    </row>
    <row r="321" spans="20:20" x14ac:dyDescent="0.35">
      <c r="T321" s="95" t="e">
        <f>VLOOKUP(K321,'Catégorie Articles Roxane'!$E$20:$F$600,2,FALSE)</f>
        <v>#N/A</v>
      </c>
    </row>
    <row r="322" spans="20:20" x14ac:dyDescent="0.35">
      <c r="T322" s="95" t="e">
        <f>VLOOKUP(K322,'Catégorie Articles Roxane'!$E$20:$F$600,2,FALSE)</f>
        <v>#N/A</v>
      </c>
    </row>
    <row r="323" spans="20:20" x14ac:dyDescent="0.35">
      <c r="T323" s="95" t="e">
        <f>VLOOKUP(K323,'Catégorie Articles Roxane'!$E$20:$F$600,2,FALSE)</f>
        <v>#N/A</v>
      </c>
    </row>
    <row r="324" spans="20:20" x14ac:dyDescent="0.35">
      <c r="T324" s="95" t="e">
        <f>VLOOKUP(K324,'Catégorie Articles Roxane'!$E$20:$F$600,2,FALSE)</f>
        <v>#N/A</v>
      </c>
    </row>
    <row r="325" spans="20:20" x14ac:dyDescent="0.35">
      <c r="T325" s="95" t="e">
        <f>VLOOKUP(K325,'Catégorie Articles Roxane'!$E$20:$F$600,2,FALSE)</f>
        <v>#N/A</v>
      </c>
    </row>
    <row r="326" spans="20:20" x14ac:dyDescent="0.35">
      <c r="T326" s="95" t="e">
        <f>VLOOKUP(K326,'Catégorie Articles Roxane'!$E$20:$F$600,2,FALSE)</f>
        <v>#N/A</v>
      </c>
    </row>
    <row r="327" spans="20:20" x14ac:dyDescent="0.35">
      <c r="T327" s="95" t="e">
        <f>VLOOKUP(K327,'Catégorie Articles Roxane'!$E$20:$F$600,2,FALSE)</f>
        <v>#N/A</v>
      </c>
    </row>
    <row r="328" spans="20:20" x14ac:dyDescent="0.35">
      <c r="T328" s="95" t="e">
        <f>VLOOKUP(K328,'Catégorie Articles Roxane'!$E$20:$F$600,2,FALSE)</f>
        <v>#N/A</v>
      </c>
    </row>
    <row r="329" spans="20:20" x14ac:dyDescent="0.35">
      <c r="T329" s="95" t="e">
        <f>VLOOKUP(K329,'Catégorie Articles Roxane'!$E$20:$F$600,2,FALSE)</f>
        <v>#N/A</v>
      </c>
    </row>
    <row r="330" spans="20:20" x14ac:dyDescent="0.35">
      <c r="T330" s="95" t="e">
        <f>VLOOKUP(K330,'Catégorie Articles Roxane'!$E$20:$F$600,2,FALSE)</f>
        <v>#N/A</v>
      </c>
    </row>
    <row r="331" spans="20:20" x14ac:dyDescent="0.35">
      <c r="T331" s="95" t="e">
        <f>VLOOKUP(K331,'Catégorie Articles Roxane'!$E$20:$F$600,2,FALSE)</f>
        <v>#N/A</v>
      </c>
    </row>
    <row r="332" spans="20:20" x14ac:dyDescent="0.35">
      <c r="T332" s="95" t="e">
        <f>VLOOKUP(K332,'Catégorie Articles Roxane'!$E$20:$F$600,2,FALSE)</f>
        <v>#N/A</v>
      </c>
    </row>
    <row r="333" spans="20:20" x14ac:dyDescent="0.35">
      <c r="T333" s="95" t="e">
        <f>VLOOKUP(K333,'Catégorie Articles Roxane'!$E$20:$F$600,2,FALSE)</f>
        <v>#N/A</v>
      </c>
    </row>
    <row r="334" spans="20:20" x14ac:dyDescent="0.35">
      <c r="T334" s="95" t="e">
        <f>VLOOKUP(K334,'Catégorie Articles Roxane'!$E$20:$F$600,2,FALSE)</f>
        <v>#N/A</v>
      </c>
    </row>
    <row r="335" spans="20:20" x14ac:dyDescent="0.35">
      <c r="T335" s="95" t="e">
        <f>VLOOKUP(K335,'Catégorie Articles Roxane'!$E$20:$F$600,2,FALSE)</f>
        <v>#N/A</v>
      </c>
    </row>
    <row r="336" spans="20:20" x14ac:dyDescent="0.35">
      <c r="T336" s="95" t="e">
        <f>VLOOKUP(K336,'Catégorie Articles Roxane'!$E$20:$F$600,2,FALSE)</f>
        <v>#N/A</v>
      </c>
    </row>
    <row r="337" spans="20:20" x14ac:dyDescent="0.35">
      <c r="T337" s="95" t="e">
        <f>VLOOKUP(K337,'Catégorie Articles Roxane'!$E$20:$F$600,2,FALSE)</f>
        <v>#N/A</v>
      </c>
    </row>
    <row r="338" spans="20:20" x14ac:dyDescent="0.35">
      <c r="T338" s="95" t="e">
        <f>VLOOKUP(K338,'Catégorie Articles Roxane'!$E$20:$F$600,2,FALSE)</f>
        <v>#N/A</v>
      </c>
    </row>
    <row r="339" spans="20:20" x14ac:dyDescent="0.35">
      <c r="T339" s="95" t="e">
        <f>VLOOKUP(K339,'Catégorie Articles Roxane'!$E$20:$F$600,2,FALSE)</f>
        <v>#N/A</v>
      </c>
    </row>
    <row r="340" spans="20:20" x14ac:dyDescent="0.35">
      <c r="T340" s="95" t="e">
        <f>VLOOKUP(K340,'Catégorie Articles Roxane'!$E$20:$F$600,2,FALSE)</f>
        <v>#N/A</v>
      </c>
    </row>
    <row r="341" spans="20:20" x14ac:dyDescent="0.35">
      <c r="T341" s="95" t="e">
        <f>VLOOKUP(K341,'Catégorie Articles Roxane'!$E$20:$F$600,2,FALSE)</f>
        <v>#N/A</v>
      </c>
    </row>
    <row r="342" spans="20:20" x14ac:dyDescent="0.35">
      <c r="T342" s="95" t="e">
        <f>VLOOKUP(K342,'Catégorie Articles Roxane'!$E$20:$F$600,2,FALSE)</f>
        <v>#N/A</v>
      </c>
    </row>
    <row r="343" spans="20:20" x14ac:dyDescent="0.35">
      <c r="T343" s="95" t="e">
        <f>VLOOKUP(K343,'Catégorie Articles Roxane'!$E$20:$F$600,2,FALSE)</f>
        <v>#N/A</v>
      </c>
    </row>
    <row r="344" spans="20:20" x14ac:dyDescent="0.35">
      <c r="T344" s="95" t="e">
        <f>VLOOKUP(K344,'Catégorie Articles Roxane'!$E$20:$F$600,2,FALSE)</f>
        <v>#N/A</v>
      </c>
    </row>
    <row r="345" spans="20:20" x14ac:dyDescent="0.35">
      <c r="T345" s="95" t="e">
        <f>VLOOKUP(K345,'Catégorie Articles Roxane'!$E$20:$F$600,2,FALSE)</f>
        <v>#N/A</v>
      </c>
    </row>
    <row r="346" spans="20:20" x14ac:dyDescent="0.35">
      <c r="T346" s="95" t="e">
        <f>VLOOKUP(K346,'Catégorie Articles Roxane'!$E$20:$F$600,2,FALSE)</f>
        <v>#N/A</v>
      </c>
    </row>
    <row r="347" spans="20:20" x14ac:dyDescent="0.35">
      <c r="T347" s="95" t="e">
        <f>VLOOKUP(K347,'Catégorie Articles Roxane'!$E$20:$F$600,2,FALSE)</f>
        <v>#N/A</v>
      </c>
    </row>
    <row r="348" spans="20:20" x14ac:dyDescent="0.35">
      <c r="T348" s="95" t="e">
        <f>VLOOKUP(K348,'Catégorie Articles Roxane'!$E$20:$F$600,2,FALSE)</f>
        <v>#N/A</v>
      </c>
    </row>
    <row r="349" spans="20:20" x14ac:dyDescent="0.35">
      <c r="T349" s="95" t="e">
        <f>VLOOKUP(K349,'Catégorie Articles Roxane'!$E$20:$F$600,2,FALSE)</f>
        <v>#N/A</v>
      </c>
    </row>
    <row r="350" spans="20:20" x14ac:dyDescent="0.35">
      <c r="T350" s="95" t="e">
        <f>VLOOKUP(K350,'Catégorie Articles Roxane'!$E$20:$F$600,2,FALSE)</f>
        <v>#N/A</v>
      </c>
    </row>
    <row r="351" spans="20:20" x14ac:dyDescent="0.35">
      <c r="T351" s="95" t="e">
        <f>VLOOKUP(K351,'Catégorie Articles Roxane'!$E$20:$F$600,2,FALSE)</f>
        <v>#N/A</v>
      </c>
    </row>
    <row r="352" spans="20:20" x14ac:dyDescent="0.35">
      <c r="T352" s="95" t="e">
        <f>VLOOKUP(K352,'Catégorie Articles Roxane'!$E$20:$F$600,2,FALSE)</f>
        <v>#N/A</v>
      </c>
    </row>
    <row r="353" spans="20:20" x14ac:dyDescent="0.35">
      <c r="T353" s="95" t="e">
        <f>VLOOKUP(K353,'Catégorie Articles Roxane'!$E$20:$F$600,2,FALSE)</f>
        <v>#N/A</v>
      </c>
    </row>
    <row r="354" spans="20:20" x14ac:dyDescent="0.35">
      <c r="T354" s="95" t="e">
        <f>VLOOKUP(K354,'Catégorie Articles Roxane'!$E$20:$F$600,2,FALSE)</f>
        <v>#N/A</v>
      </c>
    </row>
    <row r="355" spans="20:20" x14ac:dyDescent="0.35">
      <c r="T355" s="95" t="e">
        <f>VLOOKUP(K355,'Catégorie Articles Roxane'!$E$20:$F$600,2,FALSE)</f>
        <v>#N/A</v>
      </c>
    </row>
    <row r="356" spans="20:20" x14ac:dyDescent="0.35">
      <c r="T356" s="95" t="e">
        <f>VLOOKUP(K356,'Catégorie Articles Roxane'!$E$20:$F$600,2,FALSE)</f>
        <v>#N/A</v>
      </c>
    </row>
    <row r="357" spans="20:20" x14ac:dyDescent="0.35">
      <c r="T357" s="95" t="e">
        <f>VLOOKUP(K357,'Catégorie Articles Roxane'!$E$20:$F$600,2,FALSE)</f>
        <v>#N/A</v>
      </c>
    </row>
    <row r="358" spans="20:20" x14ac:dyDescent="0.35">
      <c r="T358" s="95" t="e">
        <f>VLOOKUP(K358,'Catégorie Articles Roxane'!$E$20:$F$600,2,FALSE)</f>
        <v>#N/A</v>
      </c>
    </row>
    <row r="359" spans="20:20" x14ac:dyDescent="0.35">
      <c r="T359" s="95" t="e">
        <f>VLOOKUP(K359,'Catégorie Articles Roxane'!$E$20:$F$600,2,FALSE)</f>
        <v>#N/A</v>
      </c>
    </row>
    <row r="360" spans="20:20" x14ac:dyDescent="0.35">
      <c r="T360" s="95" t="e">
        <f>VLOOKUP(K360,'Catégorie Articles Roxane'!$E$20:$F$600,2,FALSE)</f>
        <v>#N/A</v>
      </c>
    </row>
    <row r="361" spans="20:20" x14ac:dyDescent="0.35">
      <c r="T361" s="95" t="e">
        <f>VLOOKUP(K361,'Catégorie Articles Roxane'!$E$20:$F$600,2,FALSE)</f>
        <v>#N/A</v>
      </c>
    </row>
    <row r="362" spans="20:20" x14ac:dyDescent="0.35">
      <c r="T362" s="95" t="e">
        <f>VLOOKUP(K362,'Catégorie Articles Roxane'!$E$20:$F$600,2,FALSE)</f>
        <v>#N/A</v>
      </c>
    </row>
    <row r="363" spans="20:20" x14ac:dyDescent="0.35">
      <c r="T363" s="95" t="e">
        <f>VLOOKUP(K363,'Catégorie Articles Roxane'!$E$20:$F$600,2,FALSE)</f>
        <v>#N/A</v>
      </c>
    </row>
    <row r="364" spans="20:20" x14ac:dyDescent="0.35">
      <c r="T364" s="95" t="e">
        <f>VLOOKUP(K364,'Catégorie Articles Roxane'!$E$20:$F$600,2,FALSE)</f>
        <v>#N/A</v>
      </c>
    </row>
    <row r="365" spans="20:20" x14ac:dyDescent="0.35">
      <c r="T365" s="95" t="e">
        <f>VLOOKUP(K365,'Catégorie Articles Roxane'!$E$20:$F$600,2,FALSE)</f>
        <v>#N/A</v>
      </c>
    </row>
    <row r="366" spans="20:20" x14ac:dyDescent="0.35">
      <c r="T366" s="95" t="e">
        <f>VLOOKUP(K366,'Catégorie Articles Roxane'!$E$20:$F$600,2,FALSE)</f>
        <v>#N/A</v>
      </c>
    </row>
    <row r="367" spans="20:20" x14ac:dyDescent="0.35">
      <c r="T367" s="95" t="e">
        <f>VLOOKUP(K367,'Catégorie Articles Roxane'!$E$20:$F$600,2,FALSE)</f>
        <v>#N/A</v>
      </c>
    </row>
    <row r="368" spans="20:20" x14ac:dyDescent="0.35">
      <c r="T368" s="95" t="e">
        <f>VLOOKUP(K368,'Catégorie Articles Roxane'!$E$20:$F$600,2,FALSE)</f>
        <v>#N/A</v>
      </c>
    </row>
    <row r="369" spans="20:20" x14ac:dyDescent="0.35">
      <c r="T369" s="95" t="e">
        <f>VLOOKUP(K369,'Catégorie Articles Roxane'!$E$20:$F$600,2,FALSE)</f>
        <v>#N/A</v>
      </c>
    </row>
    <row r="370" spans="20:20" x14ac:dyDescent="0.35">
      <c r="T370" s="95" t="e">
        <f>VLOOKUP(K370,'Catégorie Articles Roxane'!$E$20:$F$600,2,FALSE)</f>
        <v>#N/A</v>
      </c>
    </row>
    <row r="371" spans="20:20" x14ac:dyDescent="0.35">
      <c r="T371" s="95" t="e">
        <f>VLOOKUP(K371,'Catégorie Articles Roxane'!$E$20:$F$600,2,FALSE)</f>
        <v>#N/A</v>
      </c>
    </row>
    <row r="372" spans="20:20" x14ac:dyDescent="0.35">
      <c r="T372" s="95" t="e">
        <f>VLOOKUP(K372,'Catégorie Articles Roxane'!$E$20:$F$600,2,FALSE)</f>
        <v>#N/A</v>
      </c>
    </row>
    <row r="373" spans="20:20" x14ac:dyDescent="0.35">
      <c r="T373" s="95" t="e">
        <f>VLOOKUP(K373,'Catégorie Articles Roxane'!$E$20:$F$600,2,FALSE)</f>
        <v>#N/A</v>
      </c>
    </row>
    <row r="374" spans="20:20" x14ac:dyDescent="0.35">
      <c r="T374" s="95" t="e">
        <f>VLOOKUP(K374,'Catégorie Articles Roxane'!$E$20:$F$600,2,FALSE)</f>
        <v>#N/A</v>
      </c>
    </row>
    <row r="375" spans="20:20" x14ac:dyDescent="0.35">
      <c r="T375" s="95" t="e">
        <f>VLOOKUP(K375,'Catégorie Articles Roxane'!$E$20:$F$600,2,FALSE)</f>
        <v>#N/A</v>
      </c>
    </row>
    <row r="376" spans="20:20" x14ac:dyDescent="0.35">
      <c r="T376" s="95" t="e">
        <f>VLOOKUP(K376,'Catégorie Articles Roxane'!$E$20:$F$600,2,FALSE)</f>
        <v>#N/A</v>
      </c>
    </row>
    <row r="377" spans="20:20" x14ac:dyDescent="0.35">
      <c r="T377" s="95" t="e">
        <f>VLOOKUP(K377,'Catégorie Articles Roxane'!$E$20:$F$600,2,FALSE)</f>
        <v>#N/A</v>
      </c>
    </row>
    <row r="378" spans="20:20" x14ac:dyDescent="0.35">
      <c r="T378" s="95" t="e">
        <f>VLOOKUP(K378,'Catégorie Articles Roxane'!$E$20:$F$600,2,FALSE)</f>
        <v>#N/A</v>
      </c>
    </row>
    <row r="379" spans="20:20" x14ac:dyDescent="0.35">
      <c r="T379" s="95" t="e">
        <f>VLOOKUP(K379,'Catégorie Articles Roxane'!$E$20:$F$600,2,FALSE)</f>
        <v>#N/A</v>
      </c>
    </row>
    <row r="380" spans="20:20" x14ac:dyDescent="0.35">
      <c r="T380" s="95" t="e">
        <f>VLOOKUP(K380,'Catégorie Articles Roxane'!$E$20:$F$600,2,FALSE)</f>
        <v>#N/A</v>
      </c>
    </row>
    <row r="381" spans="20:20" x14ac:dyDescent="0.35">
      <c r="T381" s="95" t="e">
        <f>VLOOKUP(K381,'Catégorie Articles Roxane'!$E$20:$F$600,2,FALSE)</f>
        <v>#N/A</v>
      </c>
    </row>
    <row r="382" spans="20:20" x14ac:dyDescent="0.35">
      <c r="T382" s="95" t="e">
        <f>VLOOKUP(K382,'Catégorie Articles Roxane'!$E$20:$F$600,2,FALSE)</f>
        <v>#N/A</v>
      </c>
    </row>
    <row r="383" spans="20:20" x14ac:dyDescent="0.35">
      <c r="T383" s="95" t="e">
        <f>VLOOKUP(K383,'Catégorie Articles Roxane'!$E$20:$F$600,2,FALSE)</f>
        <v>#N/A</v>
      </c>
    </row>
    <row r="384" spans="20:20" x14ac:dyDescent="0.35">
      <c r="T384" s="95" t="e">
        <f>VLOOKUP(K384,'Catégorie Articles Roxane'!$E$20:$F$600,2,FALSE)</f>
        <v>#N/A</v>
      </c>
    </row>
    <row r="385" spans="20:20" x14ac:dyDescent="0.35">
      <c r="T385" s="95" t="e">
        <f>VLOOKUP(K385,'Catégorie Articles Roxane'!$E$20:$F$600,2,FALSE)</f>
        <v>#N/A</v>
      </c>
    </row>
    <row r="386" spans="20:20" x14ac:dyDescent="0.35">
      <c r="T386" s="95" t="e">
        <f>VLOOKUP(K386,'Catégorie Articles Roxane'!$E$20:$F$600,2,FALSE)</f>
        <v>#N/A</v>
      </c>
    </row>
    <row r="387" spans="20:20" x14ac:dyDescent="0.35">
      <c r="T387" s="95" t="e">
        <f>VLOOKUP(K387,'Catégorie Articles Roxane'!$E$20:$F$600,2,FALSE)</f>
        <v>#N/A</v>
      </c>
    </row>
    <row r="388" spans="20:20" x14ac:dyDescent="0.35">
      <c r="T388" s="95" t="e">
        <f>VLOOKUP(K388,'Catégorie Articles Roxane'!$E$20:$F$600,2,FALSE)</f>
        <v>#N/A</v>
      </c>
    </row>
    <row r="389" spans="20:20" x14ac:dyDescent="0.35">
      <c r="T389" s="95" t="e">
        <f>VLOOKUP(K389,'Catégorie Articles Roxane'!$E$20:$F$600,2,FALSE)</f>
        <v>#N/A</v>
      </c>
    </row>
    <row r="390" spans="20:20" x14ac:dyDescent="0.35">
      <c r="T390" s="95" t="e">
        <f>VLOOKUP(K390,'Catégorie Articles Roxane'!$E$20:$F$600,2,FALSE)</f>
        <v>#N/A</v>
      </c>
    </row>
    <row r="391" spans="20:20" x14ac:dyDescent="0.35">
      <c r="T391" s="95" t="e">
        <f>VLOOKUP(K391,'Catégorie Articles Roxane'!$E$20:$F$600,2,FALSE)</f>
        <v>#N/A</v>
      </c>
    </row>
    <row r="392" spans="20:20" x14ac:dyDescent="0.35">
      <c r="T392" s="95" t="e">
        <f>VLOOKUP(K392,'Catégorie Articles Roxane'!$E$20:$F$600,2,FALSE)</f>
        <v>#N/A</v>
      </c>
    </row>
    <row r="393" spans="20:20" x14ac:dyDescent="0.35">
      <c r="T393" s="95" t="e">
        <f>VLOOKUP(K393,'Catégorie Articles Roxane'!$E$20:$F$600,2,FALSE)</f>
        <v>#N/A</v>
      </c>
    </row>
    <row r="394" spans="20:20" x14ac:dyDescent="0.35">
      <c r="T394" s="95" t="e">
        <f>VLOOKUP(K394,'Catégorie Articles Roxane'!$E$20:$F$600,2,FALSE)</f>
        <v>#N/A</v>
      </c>
    </row>
    <row r="395" spans="20:20" x14ac:dyDescent="0.35">
      <c r="T395" s="95" t="e">
        <f>VLOOKUP(K395,'Catégorie Articles Roxane'!$E$20:$F$600,2,FALSE)</f>
        <v>#N/A</v>
      </c>
    </row>
    <row r="396" spans="20:20" x14ac:dyDescent="0.35">
      <c r="T396" s="95" t="e">
        <f>VLOOKUP(K396,'Catégorie Articles Roxane'!$E$20:$F$600,2,FALSE)</f>
        <v>#N/A</v>
      </c>
    </row>
    <row r="397" spans="20:20" x14ac:dyDescent="0.35">
      <c r="T397" s="95" t="e">
        <f>VLOOKUP(K397,'Catégorie Articles Roxane'!$E$20:$F$600,2,FALSE)</f>
        <v>#N/A</v>
      </c>
    </row>
    <row r="398" spans="20:20" x14ac:dyDescent="0.35">
      <c r="T398" s="95" t="e">
        <f>VLOOKUP(K398,'Catégorie Articles Roxane'!$E$20:$F$600,2,FALSE)</f>
        <v>#N/A</v>
      </c>
    </row>
    <row r="399" spans="20:20" x14ac:dyDescent="0.35">
      <c r="T399" s="95" t="e">
        <f>VLOOKUP(K399,'Catégorie Articles Roxane'!$E$20:$F$600,2,FALSE)</f>
        <v>#N/A</v>
      </c>
    </row>
    <row r="400" spans="20:20" x14ac:dyDescent="0.35">
      <c r="T400" s="95" t="e">
        <f>VLOOKUP(K400,'Catégorie Articles Roxane'!$E$20:$F$600,2,FALSE)</f>
        <v>#N/A</v>
      </c>
    </row>
    <row r="401" spans="20:20" x14ac:dyDescent="0.35">
      <c r="T401" s="95" t="e">
        <f>VLOOKUP(K401,'Catégorie Articles Roxane'!$E$20:$F$600,2,FALSE)</f>
        <v>#N/A</v>
      </c>
    </row>
    <row r="402" spans="20:20" x14ac:dyDescent="0.35">
      <c r="T402" s="95" t="e">
        <f>VLOOKUP(K402,'Catégorie Articles Roxane'!$E$20:$F$600,2,FALSE)</f>
        <v>#N/A</v>
      </c>
    </row>
    <row r="403" spans="20:20" x14ac:dyDescent="0.35">
      <c r="T403" s="95" t="e">
        <f>VLOOKUP(K403,'Catégorie Articles Roxane'!$E$20:$F$600,2,FALSE)</f>
        <v>#N/A</v>
      </c>
    </row>
    <row r="404" spans="20:20" x14ac:dyDescent="0.35">
      <c r="T404" s="95" t="e">
        <f>VLOOKUP(K404,'Catégorie Articles Roxane'!$E$20:$F$600,2,FALSE)</f>
        <v>#N/A</v>
      </c>
    </row>
    <row r="405" spans="20:20" x14ac:dyDescent="0.35">
      <c r="T405" s="95" t="e">
        <f>VLOOKUP(K405,'Catégorie Articles Roxane'!$E$20:$F$600,2,FALSE)</f>
        <v>#N/A</v>
      </c>
    </row>
    <row r="406" spans="20:20" x14ac:dyDescent="0.35">
      <c r="T406" s="95" t="e">
        <f>VLOOKUP(K406,'Catégorie Articles Roxane'!$E$20:$F$600,2,FALSE)</f>
        <v>#N/A</v>
      </c>
    </row>
    <row r="407" spans="20:20" x14ac:dyDescent="0.35">
      <c r="T407" s="95" t="e">
        <f>VLOOKUP(K407,'Catégorie Articles Roxane'!$E$20:$F$600,2,FALSE)</f>
        <v>#N/A</v>
      </c>
    </row>
    <row r="408" spans="20:20" x14ac:dyDescent="0.35">
      <c r="T408" s="95" t="e">
        <f>VLOOKUP(K408,'Catégorie Articles Roxane'!$E$20:$F$600,2,FALSE)</f>
        <v>#N/A</v>
      </c>
    </row>
    <row r="409" spans="20:20" x14ac:dyDescent="0.35">
      <c r="T409" s="95" t="e">
        <f>VLOOKUP(K409,'Catégorie Articles Roxane'!$E$20:$F$600,2,FALSE)</f>
        <v>#N/A</v>
      </c>
    </row>
    <row r="410" spans="20:20" x14ac:dyDescent="0.35">
      <c r="T410" s="95" t="e">
        <f>VLOOKUP(K410,'Catégorie Articles Roxane'!$E$20:$F$600,2,FALSE)</f>
        <v>#N/A</v>
      </c>
    </row>
    <row r="411" spans="20:20" x14ac:dyDescent="0.35">
      <c r="T411" s="95" t="e">
        <f>VLOOKUP(K411,'Catégorie Articles Roxane'!$E$20:$F$600,2,FALSE)</f>
        <v>#N/A</v>
      </c>
    </row>
    <row r="412" spans="20:20" x14ac:dyDescent="0.35">
      <c r="T412" s="95" t="e">
        <f>VLOOKUP(K412,'Catégorie Articles Roxane'!$E$20:$F$600,2,FALSE)</f>
        <v>#N/A</v>
      </c>
    </row>
    <row r="413" spans="20:20" x14ac:dyDescent="0.35">
      <c r="T413" s="95" t="e">
        <f>VLOOKUP(K413,'Catégorie Articles Roxane'!$E$20:$F$600,2,FALSE)</f>
        <v>#N/A</v>
      </c>
    </row>
    <row r="414" spans="20:20" x14ac:dyDescent="0.35">
      <c r="T414" s="95" t="e">
        <f>VLOOKUP(K414,'Catégorie Articles Roxane'!$E$20:$F$600,2,FALSE)</f>
        <v>#N/A</v>
      </c>
    </row>
    <row r="415" spans="20:20" x14ac:dyDescent="0.35">
      <c r="T415" s="95" t="e">
        <f>VLOOKUP(K415,'Catégorie Articles Roxane'!$E$20:$F$600,2,FALSE)</f>
        <v>#N/A</v>
      </c>
    </row>
    <row r="416" spans="20:20" x14ac:dyDescent="0.35">
      <c r="T416" s="95" t="e">
        <f>VLOOKUP(K416,'Catégorie Articles Roxane'!$E$20:$F$600,2,FALSE)</f>
        <v>#N/A</v>
      </c>
    </row>
    <row r="417" spans="20:20" x14ac:dyDescent="0.35">
      <c r="T417" s="95" t="e">
        <f>VLOOKUP(K417,'Catégorie Articles Roxane'!$E$20:$F$600,2,FALSE)</f>
        <v>#N/A</v>
      </c>
    </row>
    <row r="418" spans="20:20" x14ac:dyDescent="0.35">
      <c r="T418" s="95" t="e">
        <f>VLOOKUP(K418,'Catégorie Articles Roxane'!$E$20:$F$600,2,FALSE)</f>
        <v>#N/A</v>
      </c>
    </row>
    <row r="419" spans="20:20" x14ac:dyDescent="0.35">
      <c r="T419" s="95" t="e">
        <f>VLOOKUP(K419,'Catégorie Articles Roxane'!$E$20:$F$600,2,FALSE)</f>
        <v>#N/A</v>
      </c>
    </row>
    <row r="420" spans="20:20" x14ac:dyDescent="0.35">
      <c r="T420" s="95" t="e">
        <f>VLOOKUP(K420,'Catégorie Articles Roxane'!$E$20:$F$600,2,FALSE)</f>
        <v>#N/A</v>
      </c>
    </row>
    <row r="421" spans="20:20" x14ac:dyDescent="0.35">
      <c r="T421" s="95" t="e">
        <f>VLOOKUP(K421,'Catégorie Articles Roxane'!$E$20:$F$600,2,FALSE)</f>
        <v>#N/A</v>
      </c>
    </row>
    <row r="422" spans="20:20" x14ac:dyDescent="0.35">
      <c r="T422" s="95" t="e">
        <f>VLOOKUP(K422,'Catégorie Articles Roxane'!$E$20:$F$600,2,FALSE)</f>
        <v>#N/A</v>
      </c>
    </row>
    <row r="423" spans="20:20" x14ac:dyDescent="0.35">
      <c r="T423" s="95" t="e">
        <f>VLOOKUP(K423,'Catégorie Articles Roxane'!$E$20:$F$600,2,FALSE)</f>
        <v>#N/A</v>
      </c>
    </row>
    <row r="424" spans="20:20" x14ac:dyDescent="0.35">
      <c r="T424" s="95" t="e">
        <f>VLOOKUP(K424,'Catégorie Articles Roxane'!$E$20:$F$600,2,FALSE)</f>
        <v>#N/A</v>
      </c>
    </row>
    <row r="425" spans="20:20" x14ac:dyDescent="0.35">
      <c r="T425" s="95" t="e">
        <f>VLOOKUP(K425,'Catégorie Articles Roxane'!$E$20:$F$600,2,FALSE)</f>
        <v>#N/A</v>
      </c>
    </row>
    <row r="426" spans="20:20" x14ac:dyDescent="0.35">
      <c r="T426" s="95" t="e">
        <f>VLOOKUP(K426,'Catégorie Articles Roxane'!$E$20:$F$600,2,FALSE)</f>
        <v>#N/A</v>
      </c>
    </row>
    <row r="427" spans="20:20" x14ac:dyDescent="0.35">
      <c r="T427" s="95" t="e">
        <f>VLOOKUP(K427,'Catégorie Articles Roxane'!$E$20:$F$600,2,FALSE)</f>
        <v>#N/A</v>
      </c>
    </row>
    <row r="428" spans="20:20" x14ac:dyDescent="0.35">
      <c r="T428" s="95" t="e">
        <f>VLOOKUP(K428,'Catégorie Articles Roxane'!$E$20:$F$600,2,FALSE)</f>
        <v>#N/A</v>
      </c>
    </row>
    <row r="429" spans="20:20" x14ac:dyDescent="0.35">
      <c r="T429" s="95" t="e">
        <f>VLOOKUP(K429,'Catégorie Articles Roxane'!$E$20:$F$600,2,FALSE)</f>
        <v>#N/A</v>
      </c>
    </row>
    <row r="430" spans="20:20" x14ac:dyDescent="0.35">
      <c r="T430" s="95" t="e">
        <f>VLOOKUP(K430,'Catégorie Articles Roxane'!$E$20:$F$600,2,FALSE)</f>
        <v>#N/A</v>
      </c>
    </row>
    <row r="431" spans="20:20" x14ac:dyDescent="0.35">
      <c r="T431" s="95" t="e">
        <f>VLOOKUP(K431,'Catégorie Articles Roxane'!$E$20:$F$600,2,FALSE)</f>
        <v>#N/A</v>
      </c>
    </row>
    <row r="432" spans="20:20" x14ac:dyDescent="0.35">
      <c r="T432" s="95" t="e">
        <f>VLOOKUP(K432,'Catégorie Articles Roxane'!$E$20:$F$600,2,FALSE)</f>
        <v>#N/A</v>
      </c>
    </row>
    <row r="433" spans="20:20" x14ac:dyDescent="0.35">
      <c r="T433" s="95" t="e">
        <f>VLOOKUP(K433,'Catégorie Articles Roxane'!$E$20:$F$600,2,FALSE)</f>
        <v>#N/A</v>
      </c>
    </row>
    <row r="434" spans="20:20" x14ac:dyDescent="0.35">
      <c r="T434" s="95" t="e">
        <f>VLOOKUP(K434,'Catégorie Articles Roxane'!$E$20:$F$600,2,FALSE)</f>
        <v>#N/A</v>
      </c>
    </row>
    <row r="435" spans="20:20" x14ac:dyDescent="0.35">
      <c r="T435" s="95" t="e">
        <f>VLOOKUP(K435,'Catégorie Articles Roxane'!$E$20:$F$600,2,FALSE)</f>
        <v>#N/A</v>
      </c>
    </row>
    <row r="436" spans="20:20" x14ac:dyDescent="0.35">
      <c r="T436" s="95" t="e">
        <f>VLOOKUP(K436,'Catégorie Articles Roxane'!$E$20:$F$600,2,FALSE)</f>
        <v>#N/A</v>
      </c>
    </row>
    <row r="437" spans="20:20" x14ac:dyDescent="0.35">
      <c r="T437" s="95" t="e">
        <f>VLOOKUP(K437,'Catégorie Articles Roxane'!$E$20:$F$600,2,FALSE)</f>
        <v>#N/A</v>
      </c>
    </row>
    <row r="438" spans="20:20" x14ac:dyDescent="0.35">
      <c r="T438" s="95" t="e">
        <f>VLOOKUP(K438,'Catégorie Articles Roxane'!$E$20:$F$600,2,FALSE)</f>
        <v>#N/A</v>
      </c>
    </row>
    <row r="439" spans="20:20" x14ac:dyDescent="0.35">
      <c r="T439" s="95" t="e">
        <f>VLOOKUP(K439,'Catégorie Articles Roxane'!$E$20:$F$600,2,FALSE)</f>
        <v>#N/A</v>
      </c>
    </row>
    <row r="440" spans="20:20" x14ac:dyDescent="0.35">
      <c r="T440" s="95" t="e">
        <f>VLOOKUP(K440,'Catégorie Articles Roxane'!$E$20:$F$600,2,FALSE)</f>
        <v>#N/A</v>
      </c>
    </row>
    <row r="441" spans="20:20" x14ac:dyDescent="0.35">
      <c r="T441" s="95" t="e">
        <f>VLOOKUP(K441,'Catégorie Articles Roxane'!$E$20:$F$600,2,FALSE)</f>
        <v>#N/A</v>
      </c>
    </row>
    <row r="442" spans="20:20" x14ac:dyDescent="0.35">
      <c r="T442" s="95" t="e">
        <f>VLOOKUP(K442,'Catégorie Articles Roxane'!$E$20:$F$600,2,FALSE)</f>
        <v>#N/A</v>
      </c>
    </row>
    <row r="443" spans="20:20" x14ac:dyDescent="0.35">
      <c r="T443" s="95" t="e">
        <f>VLOOKUP(K443,'Catégorie Articles Roxane'!$E$20:$F$600,2,FALSE)</f>
        <v>#N/A</v>
      </c>
    </row>
    <row r="444" spans="20:20" x14ac:dyDescent="0.35">
      <c r="T444" s="95" t="e">
        <f>VLOOKUP(K444,'Catégorie Articles Roxane'!$E$20:$F$600,2,FALSE)</f>
        <v>#N/A</v>
      </c>
    </row>
    <row r="445" spans="20:20" x14ac:dyDescent="0.35">
      <c r="T445" s="95" t="e">
        <f>VLOOKUP(K445,'Catégorie Articles Roxane'!$E$20:$F$600,2,FALSE)</f>
        <v>#N/A</v>
      </c>
    </row>
    <row r="446" spans="20:20" x14ac:dyDescent="0.35">
      <c r="T446" s="95" t="e">
        <f>VLOOKUP(K446,'Catégorie Articles Roxane'!$E$20:$F$600,2,FALSE)</f>
        <v>#N/A</v>
      </c>
    </row>
    <row r="447" spans="20:20" x14ac:dyDescent="0.35">
      <c r="T447" s="95" t="e">
        <f>VLOOKUP(K447,'Catégorie Articles Roxane'!$E$20:$F$600,2,FALSE)</f>
        <v>#N/A</v>
      </c>
    </row>
    <row r="448" spans="20:20" x14ac:dyDescent="0.35">
      <c r="T448" s="95" t="e">
        <f>VLOOKUP(K448,'Catégorie Articles Roxane'!$E$20:$F$600,2,FALSE)</f>
        <v>#N/A</v>
      </c>
    </row>
    <row r="449" spans="20:20" x14ac:dyDescent="0.35">
      <c r="T449" s="95" t="e">
        <f>VLOOKUP(K449,'Catégorie Articles Roxane'!$E$20:$F$600,2,FALSE)</f>
        <v>#N/A</v>
      </c>
    </row>
    <row r="450" spans="20:20" x14ac:dyDescent="0.35">
      <c r="T450" s="95" t="e">
        <f>VLOOKUP(K450,'Catégorie Articles Roxane'!$E$20:$F$600,2,FALSE)</f>
        <v>#N/A</v>
      </c>
    </row>
    <row r="451" spans="20:20" x14ac:dyDescent="0.35">
      <c r="T451" s="95" t="e">
        <f>VLOOKUP(K451,'Catégorie Articles Roxane'!$E$20:$F$600,2,FALSE)</f>
        <v>#N/A</v>
      </c>
    </row>
    <row r="452" spans="20:20" x14ac:dyDescent="0.35">
      <c r="T452" s="95" t="e">
        <f>VLOOKUP(K452,'Catégorie Articles Roxane'!$E$20:$F$600,2,FALSE)</f>
        <v>#N/A</v>
      </c>
    </row>
    <row r="453" spans="20:20" ht="14" customHeight="1" x14ac:dyDescent="0.35">
      <c r="T453" s="95" t="e">
        <f>VLOOKUP(K453,'Catégorie Articles Roxane'!$E$20:$F$600,2,FALSE)</f>
        <v>#N/A</v>
      </c>
    </row>
    <row r="454" spans="20:20" x14ac:dyDescent="0.35">
      <c r="T454" s="95" t="e">
        <f>VLOOKUP(K454,'Catégorie Articles Roxane'!$E$20:$F$600,2,FALSE)</f>
        <v>#N/A</v>
      </c>
    </row>
    <row r="455" spans="20:20" x14ac:dyDescent="0.35">
      <c r="T455" s="95" t="e">
        <f>VLOOKUP(K455,'Catégorie Articles Roxane'!$E$20:$F$600,2,FALSE)</f>
        <v>#N/A</v>
      </c>
    </row>
    <row r="456" spans="20:20" x14ac:dyDescent="0.35">
      <c r="T456" s="95" t="e">
        <f>VLOOKUP(K456,'Catégorie Articles Roxane'!$E$20:$F$600,2,FALSE)</f>
        <v>#N/A</v>
      </c>
    </row>
    <row r="457" spans="20:20" x14ac:dyDescent="0.35">
      <c r="T457" s="95" t="e">
        <f>VLOOKUP(K457,'Catégorie Articles Roxane'!$E$20:$F$600,2,FALSE)</f>
        <v>#N/A</v>
      </c>
    </row>
    <row r="458" spans="20:20" x14ac:dyDescent="0.35">
      <c r="T458" s="95" t="e">
        <f>VLOOKUP(K458,'Catégorie Articles Roxane'!$E$20:$F$600,2,FALSE)</f>
        <v>#N/A</v>
      </c>
    </row>
    <row r="459" spans="20:20" x14ac:dyDescent="0.35">
      <c r="T459" s="95" t="e">
        <f>VLOOKUP(K459,'Catégorie Articles Roxane'!$E$20:$F$600,2,FALSE)</f>
        <v>#N/A</v>
      </c>
    </row>
    <row r="460" spans="20:20" x14ac:dyDescent="0.35">
      <c r="T460" s="95" t="e">
        <f>VLOOKUP(K460,'Catégorie Articles Roxane'!$E$20:$F$600,2,FALSE)</f>
        <v>#N/A</v>
      </c>
    </row>
    <row r="461" spans="20:20" x14ac:dyDescent="0.35">
      <c r="T461" s="95" t="e">
        <f>VLOOKUP(K461,'Catégorie Articles Roxane'!$E$20:$F$600,2,FALSE)</f>
        <v>#N/A</v>
      </c>
    </row>
    <row r="462" spans="20:20" x14ac:dyDescent="0.35">
      <c r="T462" s="95" t="e">
        <f>VLOOKUP(K462,'Catégorie Articles Roxane'!$E$20:$F$600,2,FALSE)</f>
        <v>#N/A</v>
      </c>
    </row>
    <row r="463" spans="20:20" x14ac:dyDescent="0.35">
      <c r="T463" s="95" t="e">
        <f>VLOOKUP(K463,'Catégorie Articles Roxane'!$E$20:$F$600,2,FALSE)</f>
        <v>#N/A</v>
      </c>
    </row>
    <row r="464" spans="20:20" x14ac:dyDescent="0.35">
      <c r="T464" s="95" t="e">
        <f>VLOOKUP(K464,'Catégorie Articles Roxane'!$E$20:$F$600,2,FALSE)</f>
        <v>#N/A</v>
      </c>
    </row>
    <row r="465" spans="20:20" x14ac:dyDescent="0.35">
      <c r="T465" s="95" t="e">
        <f>VLOOKUP(K465,'Catégorie Articles Roxane'!$E$20:$F$600,2,FALSE)</f>
        <v>#N/A</v>
      </c>
    </row>
    <row r="466" spans="20:20" x14ac:dyDescent="0.35">
      <c r="T466" s="95" t="e">
        <f>VLOOKUP(K466,'Catégorie Articles Roxane'!$E$20:$F$600,2,FALSE)</f>
        <v>#N/A</v>
      </c>
    </row>
    <row r="467" spans="20:20" x14ac:dyDescent="0.35">
      <c r="T467" s="95" t="e">
        <f>VLOOKUP(K467,'Catégorie Articles Roxane'!$E$20:$F$600,2,FALSE)</f>
        <v>#N/A</v>
      </c>
    </row>
    <row r="468" spans="20:20" x14ac:dyDescent="0.35">
      <c r="T468" s="95" t="e">
        <f>VLOOKUP(K468,'Catégorie Articles Roxane'!$E$20:$F$600,2,FALSE)</f>
        <v>#N/A</v>
      </c>
    </row>
    <row r="469" spans="20:20" x14ac:dyDescent="0.35">
      <c r="T469" s="95" t="e">
        <f>VLOOKUP(K469,'Catégorie Articles Roxane'!$E$20:$F$600,2,FALSE)</f>
        <v>#N/A</v>
      </c>
    </row>
    <row r="470" spans="20:20" x14ac:dyDescent="0.35">
      <c r="T470" s="95" t="e">
        <f>VLOOKUP(K470,'Catégorie Articles Roxane'!$E$20:$F$600,2,FALSE)</f>
        <v>#N/A</v>
      </c>
    </row>
    <row r="471" spans="20:20" x14ac:dyDescent="0.35">
      <c r="T471" s="95" t="e">
        <f>VLOOKUP(K471,'Catégorie Articles Roxane'!$E$20:$F$600,2,FALSE)</f>
        <v>#N/A</v>
      </c>
    </row>
    <row r="472" spans="20:20" x14ac:dyDescent="0.35">
      <c r="T472" s="95" t="e">
        <f>VLOOKUP(K472,'Catégorie Articles Roxane'!$E$20:$F$600,2,FALSE)</f>
        <v>#N/A</v>
      </c>
    </row>
    <row r="473" spans="20:20" x14ac:dyDescent="0.35">
      <c r="T473" s="95" t="e">
        <f>VLOOKUP(K473,'Catégorie Articles Roxane'!$E$20:$F$600,2,FALSE)</f>
        <v>#N/A</v>
      </c>
    </row>
  </sheetData>
  <autoFilter ref="A1:S169" xr:uid="{00000000-0009-0000-0000-000004000000}"/>
  <sortState xmlns:xlrd2="http://schemas.microsoft.com/office/spreadsheetml/2017/richdata2" ref="A2:S169">
    <sortCondition ref="K2:K16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32"/>
  <sheetViews>
    <sheetView workbookViewId="0">
      <selection activeCell="A11" sqref="A11"/>
    </sheetView>
  </sheetViews>
  <sheetFormatPr baseColWidth="10" defaultRowHeight="14.5" x14ac:dyDescent="0.35"/>
  <cols>
    <col min="1" max="1" width="20.26953125" bestFit="1" customWidth="1"/>
    <col min="2" max="2" width="16.7265625" bestFit="1" customWidth="1"/>
    <col min="3" max="4" width="4" customWidth="1"/>
    <col min="5" max="5" width="19.54296875" bestFit="1" customWidth="1"/>
    <col min="6" max="6" width="22.26953125" bestFit="1" customWidth="1"/>
    <col min="7" max="7" width="11.7265625" bestFit="1" customWidth="1"/>
    <col min="8" max="8" width="23" customWidth="1"/>
    <col min="9" max="9" width="22.81640625" customWidth="1"/>
    <col min="10" max="17" width="7" customWidth="1"/>
    <col min="18" max="25" width="8" customWidth="1"/>
    <col min="26" max="26" width="7" customWidth="1"/>
    <col min="27" max="28" width="8" customWidth="1"/>
    <col min="29" max="29" width="24.7265625" customWidth="1"/>
    <col min="30" max="30" width="12.54296875" customWidth="1"/>
    <col min="31" max="39" width="5" customWidth="1"/>
    <col min="40" max="62" width="6" customWidth="1"/>
    <col min="63" max="63" width="6.26953125" customWidth="1"/>
    <col min="64" max="64" width="12.54296875" bestFit="1" customWidth="1"/>
  </cols>
  <sheetData>
    <row r="1" spans="1:9" x14ac:dyDescent="0.35">
      <c r="A1" s="96" t="s">
        <v>122</v>
      </c>
      <c r="B1" t="s">
        <v>152</v>
      </c>
      <c r="E1" s="96" t="s">
        <v>133</v>
      </c>
      <c r="F1" s="96" t="s">
        <v>124</v>
      </c>
    </row>
    <row r="2" spans="1:9" x14ac:dyDescent="0.35">
      <c r="A2" s="97" t="s">
        <v>110</v>
      </c>
      <c r="B2" s="101">
        <v>65736</v>
      </c>
      <c r="E2" s="96" t="s">
        <v>122</v>
      </c>
      <c r="F2" s="162" t="s">
        <v>109</v>
      </c>
      <c r="G2" s="162" t="s">
        <v>123</v>
      </c>
      <c r="I2" t="s">
        <v>134</v>
      </c>
    </row>
    <row r="3" spans="1:9" x14ac:dyDescent="0.35">
      <c r="A3" s="98" t="s">
        <v>118</v>
      </c>
      <c r="B3" s="101">
        <v>2592</v>
      </c>
      <c r="E3" s="97">
        <v>14131</v>
      </c>
      <c r="F3" s="99">
        <v>2271.7399999999998</v>
      </c>
      <c r="G3" s="99">
        <v>2271.7399999999998</v>
      </c>
      <c r="H3" t="str">
        <f>IF(F3="","",IF(F3&lt;=0,"1",""))</f>
        <v/>
      </c>
      <c r="I3">
        <f>COUNTIF(H3:H620,1)</f>
        <v>0</v>
      </c>
    </row>
    <row r="4" spans="1:9" x14ac:dyDescent="0.35">
      <c r="A4" s="98" t="s">
        <v>112</v>
      </c>
      <c r="B4" s="101">
        <v>44064</v>
      </c>
      <c r="E4" s="97">
        <v>73386</v>
      </c>
      <c r="F4" s="99">
        <v>2385.33</v>
      </c>
      <c r="G4" s="99">
        <v>2385.33</v>
      </c>
      <c r="H4" t="str">
        <f t="shared" ref="H4:H67" si="0">IF(F4="","",IF(F4&lt;=0,"1",""))</f>
        <v/>
      </c>
    </row>
    <row r="5" spans="1:9" x14ac:dyDescent="0.35">
      <c r="A5" s="98" t="s">
        <v>113</v>
      </c>
      <c r="B5" s="101">
        <v>18648</v>
      </c>
      <c r="E5" s="97">
        <v>96594</v>
      </c>
      <c r="F5" s="99">
        <v>2340.36</v>
      </c>
      <c r="G5" s="99">
        <v>2340.36</v>
      </c>
      <c r="H5" t="str">
        <f t="shared" si="0"/>
        <v/>
      </c>
    </row>
    <row r="6" spans="1:9" x14ac:dyDescent="0.35">
      <c r="A6" s="98" t="s">
        <v>162</v>
      </c>
      <c r="B6" s="101">
        <v>432</v>
      </c>
      <c r="E6" s="97">
        <v>14133</v>
      </c>
      <c r="F6" s="99">
        <v>2176.1999999999998</v>
      </c>
      <c r="G6" s="99">
        <v>2176.1999999999998</v>
      </c>
      <c r="H6" t="str">
        <f t="shared" si="0"/>
        <v/>
      </c>
    </row>
    <row r="7" spans="1:9" x14ac:dyDescent="0.35">
      <c r="A7" s="97" t="s">
        <v>109</v>
      </c>
      <c r="B7" s="101">
        <v>1596588</v>
      </c>
      <c r="E7" s="97">
        <v>96760</v>
      </c>
      <c r="F7" s="99">
        <v>2289.8799999999997</v>
      </c>
      <c r="G7" s="99">
        <v>2289.8799999999997</v>
      </c>
      <c r="H7" t="str">
        <f t="shared" si="0"/>
        <v/>
      </c>
    </row>
    <row r="8" spans="1:9" x14ac:dyDescent="0.35">
      <c r="A8" s="98" t="s">
        <v>114</v>
      </c>
      <c r="B8" s="101">
        <v>8160</v>
      </c>
      <c r="E8" s="97">
        <v>24008</v>
      </c>
      <c r="F8" s="99">
        <v>2603.04</v>
      </c>
      <c r="G8" s="99">
        <v>2603.04</v>
      </c>
      <c r="H8" t="str">
        <f t="shared" si="0"/>
        <v/>
      </c>
    </row>
    <row r="9" spans="1:9" x14ac:dyDescent="0.35">
      <c r="A9" s="98" t="s">
        <v>116</v>
      </c>
      <c r="B9" s="101">
        <v>515592</v>
      </c>
      <c r="E9" s="97">
        <v>86846</v>
      </c>
      <c r="F9" s="99">
        <v>2236.25</v>
      </c>
      <c r="G9" s="99">
        <v>2236.25</v>
      </c>
      <c r="H9" t="str">
        <f t="shared" si="0"/>
        <v/>
      </c>
    </row>
    <row r="10" spans="1:9" x14ac:dyDescent="0.35">
      <c r="A10" s="98" t="s">
        <v>119</v>
      </c>
      <c r="B10" s="101">
        <v>109440</v>
      </c>
      <c r="E10" s="97">
        <v>97049</v>
      </c>
      <c r="F10" s="99">
        <v>2300.14</v>
      </c>
      <c r="G10" s="99">
        <v>2300.14</v>
      </c>
      <c r="H10" t="str">
        <f t="shared" si="0"/>
        <v/>
      </c>
    </row>
    <row r="11" spans="1:9" x14ac:dyDescent="0.35">
      <c r="A11" s="98" t="s">
        <v>121</v>
      </c>
      <c r="B11" s="101">
        <v>13920</v>
      </c>
      <c r="E11" s="97">
        <v>97083</v>
      </c>
      <c r="F11" s="99">
        <v>2271.7399999999998</v>
      </c>
      <c r="G11" s="99">
        <v>2271.7399999999998</v>
      </c>
      <c r="H11" t="str">
        <f t="shared" si="0"/>
        <v/>
      </c>
    </row>
    <row r="12" spans="1:9" x14ac:dyDescent="0.35">
      <c r="A12" s="98" t="s">
        <v>118</v>
      </c>
      <c r="B12" s="101">
        <v>2592</v>
      </c>
      <c r="E12" s="97">
        <v>97125</v>
      </c>
      <c r="F12" s="99">
        <v>2300.14</v>
      </c>
      <c r="G12" s="99">
        <v>2300.14</v>
      </c>
      <c r="H12" t="str">
        <f t="shared" si="0"/>
        <v/>
      </c>
    </row>
    <row r="13" spans="1:9" x14ac:dyDescent="0.35">
      <c r="A13" s="98" t="s">
        <v>112</v>
      </c>
      <c r="B13" s="101">
        <v>44064</v>
      </c>
      <c r="E13" s="97">
        <v>97131</v>
      </c>
      <c r="F13" s="99">
        <v>2332.4899999999998</v>
      </c>
      <c r="G13" s="99">
        <v>2332.4899999999998</v>
      </c>
      <c r="H13" t="str">
        <f t="shared" si="0"/>
        <v/>
      </c>
    </row>
    <row r="14" spans="1:9" x14ac:dyDescent="0.35">
      <c r="A14" s="98" t="s">
        <v>113</v>
      </c>
      <c r="B14" s="101">
        <v>18648</v>
      </c>
      <c r="E14" s="97">
        <v>97135</v>
      </c>
      <c r="F14" s="99">
        <v>2366.3999999999996</v>
      </c>
      <c r="G14" s="99">
        <v>2366.3999999999996</v>
      </c>
      <c r="H14" t="str">
        <f t="shared" si="0"/>
        <v/>
      </c>
    </row>
    <row r="15" spans="1:9" x14ac:dyDescent="0.35">
      <c r="A15" s="98" t="s">
        <v>111</v>
      </c>
      <c r="B15" s="101">
        <v>699624</v>
      </c>
      <c r="E15" s="97">
        <v>97139</v>
      </c>
      <c r="F15" s="99">
        <v>2310.79</v>
      </c>
      <c r="G15" s="99">
        <v>2310.79</v>
      </c>
      <c r="H15" t="str">
        <f t="shared" si="0"/>
        <v/>
      </c>
    </row>
    <row r="16" spans="1:9" x14ac:dyDescent="0.35">
      <c r="A16" s="98" t="s">
        <v>115</v>
      </c>
      <c r="B16" s="101">
        <v>2268</v>
      </c>
      <c r="E16" s="97">
        <v>97153</v>
      </c>
      <c r="F16" s="99">
        <v>2310.79</v>
      </c>
      <c r="G16" s="99">
        <v>2310.79</v>
      </c>
      <c r="H16" t="str">
        <f t="shared" si="0"/>
        <v/>
      </c>
    </row>
    <row r="17" spans="1:8" x14ac:dyDescent="0.35">
      <c r="A17" s="98" t="s">
        <v>117</v>
      </c>
      <c r="B17" s="101">
        <v>161280</v>
      </c>
      <c r="E17" s="97">
        <v>71142</v>
      </c>
      <c r="F17" s="99">
        <v>2236.25</v>
      </c>
      <c r="G17" s="99">
        <v>2236.25</v>
      </c>
      <c r="H17" t="str">
        <f t="shared" si="0"/>
        <v/>
      </c>
    </row>
    <row r="18" spans="1:8" x14ac:dyDescent="0.35">
      <c r="A18" s="98" t="s">
        <v>162</v>
      </c>
      <c r="B18" s="101">
        <v>432</v>
      </c>
      <c r="E18" s="97">
        <v>71167</v>
      </c>
      <c r="F18" s="99">
        <v>2249.2599999999998</v>
      </c>
      <c r="G18" s="99">
        <v>2249.2599999999998</v>
      </c>
      <c r="H18" t="str">
        <f t="shared" si="0"/>
        <v/>
      </c>
    </row>
    <row r="19" spans="1:8" x14ac:dyDescent="0.35">
      <c r="A19" s="98" t="s">
        <v>120</v>
      </c>
      <c r="B19" s="101">
        <v>20568</v>
      </c>
      <c r="E19" s="97">
        <v>71172</v>
      </c>
      <c r="F19" s="99">
        <v>2236.25</v>
      </c>
      <c r="G19" s="99">
        <v>2236.25</v>
      </c>
      <c r="H19" t="str">
        <f t="shared" si="0"/>
        <v/>
      </c>
    </row>
    <row r="20" spans="1:8" x14ac:dyDescent="0.35">
      <c r="A20" s="97" t="s">
        <v>123</v>
      </c>
      <c r="B20" s="101">
        <v>1662324</v>
      </c>
      <c r="E20" s="97">
        <v>71177</v>
      </c>
      <c r="F20" s="99">
        <v>2236.25</v>
      </c>
      <c r="G20" s="99">
        <v>2236.25</v>
      </c>
      <c r="H20" t="str">
        <f t="shared" si="0"/>
        <v/>
      </c>
    </row>
    <row r="21" spans="1:8" x14ac:dyDescent="0.35">
      <c r="E21" s="97">
        <v>71185</v>
      </c>
      <c r="F21" s="99">
        <v>294.22000000000003</v>
      </c>
      <c r="G21" s="99">
        <v>294.22000000000003</v>
      </c>
      <c r="H21" t="str">
        <f t="shared" si="0"/>
        <v/>
      </c>
    </row>
    <row r="22" spans="1:8" x14ac:dyDescent="0.35">
      <c r="E22" s="97">
        <v>71197</v>
      </c>
      <c r="F22" s="99">
        <v>2236.25</v>
      </c>
      <c r="G22" s="99">
        <v>2236.25</v>
      </c>
      <c r="H22" t="str">
        <f t="shared" si="0"/>
        <v/>
      </c>
    </row>
    <row r="23" spans="1:8" x14ac:dyDescent="0.35">
      <c r="E23" s="97">
        <v>14502</v>
      </c>
      <c r="F23" s="99">
        <v>2271.7399999999998</v>
      </c>
      <c r="G23" s="99">
        <v>2271.7399999999998</v>
      </c>
      <c r="H23" t="str">
        <f t="shared" si="0"/>
        <v/>
      </c>
    </row>
    <row r="24" spans="1:8" x14ac:dyDescent="0.35">
      <c r="E24" s="97">
        <v>14567</v>
      </c>
      <c r="F24" s="99">
        <v>2271.7399999999998</v>
      </c>
      <c r="G24" s="99">
        <v>2271.7399999999998</v>
      </c>
      <c r="H24" t="str">
        <f t="shared" si="0"/>
        <v/>
      </c>
    </row>
    <row r="25" spans="1:8" x14ac:dyDescent="0.35">
      <c r="E25" s="97">
        <v>14574</v>
      </c>
      <c r="F25" s="99">
        <v>2555.71</v>
      </c>
      <c r="G25" s="99">
        <v>2555.71</v>
      </c>
      <c r="H25" t="str">
        <f t="shared" si="0"/>
        <v/>
      </c>
    </row>
    <row r="26" spans="1:8" x14ac:dyDescent="0.35">
      <c r="E26" s="97">
        <v>6247</v>
      </c>
      <c r="F26" s="99">
        <v>2044.57</v>
      </c>
      <c r="G26" s="99">
        <v>2044.57</v>
      </c>
      <c r="H26" t="str">
        <f t="shared" si="0"/>
        <v/>
      </c>
    </row>
    <row r="27" spans="1:8" x14ac:dyDescent="0.35">
      <c r="E27" s="97">
        <v>92024</v>
      </c>
      <c r="F27" s="99">
        <v>2293.1999999999998</v>
      </c>
      <c r="G27" s="99">
        <v>2293.1999999999998</v>
      </c>
      <c r="H27" t="str">
        <f t="shared" si="0"/>
        <v/>
      </c>
    </row>
    <row r="28" spans="1:8" x14ac:dyDescent="0.35">
      <c r="E28" s="97">
        <v>24108</v>
      </c>
      <c r="F28" s="99">
        <v>2108.46</v>
      </c>
      <c r="G28" s="99">
        <v>2108.46</v>
      </c>
      <c r="H28" t="str">
        <f t="shared" si="0"/>
        <v/>
      </c>
    </row>
    <row r="29" spans="1:8" x14ac:dyDescent="0.35">
      <c r="E29" s="97">
        <v>24196</v>
      </c>
      <c r="F29" s="99">
        <v>351.41</v>
      </c>
      <c r="G29" s="99">
        <v>351.41</v>
      </c>
      <c r="H29" t="str">
        <f t="shared" si="0"/>
        <v/>
      </c>
    </row>
    <row r="30" spans="1:8" x14ac:dyDescent="0.35">
      <c r="E30" s="97">
        <v>97171</v>
      </c>
      <c r="F30" s="99">
        <v>2310.79</v>
      </c>
      <c r="G30" s="99">
        <v>2310.79</v>
      </c>
      <c r="H30" t="str">
        <f t="shared" si="0"/>
        <v/>
      </c>
    </row>
    <row r="31" spans="1:8" x14ac:dyDescent="0.35">
      <c r="E31" s="97">
        <v>97175</v>
      </c>
      <c r="F31" s="99">
        <v>2300.14</v>
      </c>
      <c r="G31" s="99">
        <v>2300.14</v>
      </c>
      <c r="H31" t="str">
        <f t="shared" si="0"/>
        <v/>
      </c>
    </row>
    <row r="32" spans="1:8" x14ac:dyDescent="0.35">
      <c r="E32" s="97">
        <v>97194</v>
      </c>
      <c r="F32" s="99">
        <v>2285.5299999999997</v>
      </c>
      <c r="G32" s="99">
        <v>2285.5299999999997</v>
      </c>
      <c r="H32" t="str">
        <f t="shared" si="0"/>
        <v/>
      </c>
    </row>
    <row r="33" spans="5:8" x14ac:dyDescent="0.35">
      <c r="E33" s="97">
        <v>97207</v>
      </c>
      <c r="F33" s="99">
        <v>2300.14</v>
      </c>
      <c r="G33" s="99">
        <v>2300.14</v>
      </c>
      <c r="H33" t="str">
        <f t="shared" si="0"/>
        <v/>
      </c>
    </row>
    <row r="34" spans="5:8" x14ac:dyDescent="0.35">
      <c r="E34" s="97">
        <v>97217</v>
      </c>
      <c r="F34" s="99">
        <v>2281.21</v>
      </c>
      <c r="G34" s="99">
        <v>2281.21</v>
      </c>
      <c r="H34" t="str">
        <f t="shared" si="0"/>
        <v/>
      </c>
    </row>
    <row r="35" spans="5:8" x14ac:dyDescent="0.35">
      <c r="E35" s="97">
        <v>97242</v>
      </c>
      <c r="F35" s="99">
        <v>2449.6099999999997</v>
      </c>
      <c r="G35" s="99">
        <v>2449.6099999999997</v>
      </c>
      <c r="H35" t="str">
        <f t="shared" si="0"/>
        <v/>
      </c>
    </row>
    <row r="36" spans="5:8" x14ac:dyDescent="0.35">
      <c r="E36" s="97">
        <v>97256</v>
      </c>
      <c r="F36" s="99">
        <v>2336.8199999999997</v>
      </c>
      <c r="G36" s="99">
        <v>2336.8199999999997</v>
      </c>
      <c r="H36" t="str">
        <f t="shared" si="0"/>
        <v/>
      </c>
    </row>
    <row r="37" spans="5:8" x14ac:dyDescent="0.35">
      <c r="E37" s="97">
        <v>97269</v>
      </c>
      <c r="F37" s="99">
        <v>2310.79</v>
      </c>
      <c r="G37" s="99">
        <v>2310.79</v>
      </c>
      <c r="H37" t="str">
        <f t="shared" si="0"/>
        <v/>
      </c>
    </row>
    <row r="38" spans="5:8" x14ac:dyDescent="0.35">
      <c r="E38" s="97">
        <v>71230</v>
      </c>
      <c r="F38" s="99">
        <v>294.22000000000003</v>
      </c>
      <c r="G38" s="99">
        <v>294.22000000000003</v>
      </c>
      <c r="H38" t="str">
        <f t="shared" si="0"/>
        <v/>
      </c>
    </row>
    <row r="39" spans="5:8" x14ac:dyDescent="0.35">
      <c r="E39" s="97">
        <v>71250</v>
      </c>
      <c r="F39" s="99">
        <v>2236.25</v>
      </c>
      <c r="G39" s="99">
        <v>2236.25</v>
      </c>
      <c r="H39" t="str">
        <f t="shared" si="0"/>
        <v/>
      </c>
    </row>
    <row r="40" spans="5:8" x14ac:dyDescent="0.35">
      <c r="E40" s="97">
        <v>14608</v>
      </c>
      <c r="F40" s="99">
        <v>2271.7399999999998</v>
      </c>
      <c r="G40" s="99">
        <v>2271.7399999999998</v>
      </c>
      <c r="H40" t="str">
        <f t="shared" si="0"/>
        <v/>
      </c>
    </row>
    <row r="41" spans="5:8" x14ac:dyDescent="0.35">
      <c r="E41" s="97">
        <v>14653</v>
      </c>
      <c r="F41" s="99">
        <v>2439.7600000000002</v>
      </c>
      <c r="G41" s="99">
        <v>2439.7600000000002</v>
      </c>
      <c r="H41" t="str">
        <f t="shared" si="0"/>
        <v/>
      </c>
    </row>
    <row r="42" spans="5:8" x14ac:dyDescent="0.35">
      <c r="E42" s="97">
        <v>48259</v>
      </c>
      <c r="F42" s="99">
        <v>2044.57</v>
      </c>
      <c r="G42" s="99">
        <v>2044.57</v>
      </c>
      <c r="H42" t="str">
        <f t="shared" si="0"/>
        <v/>
      </c>
    </row>
    <row r="43" spans="5:8" x14ac:dyDescent="0.35">
      <c r="E43" s="97">
        <v>97262</v>
      </c>
      <c r="F43" s="99">
        <v>2310.79</v>
      </c>
      <c r="G43" s="99">
        <v>2310.79</v>
      </c>
      <c r="H43" t="str">
        <f t="shared" si="0"/>
        <v/>
      </c>
    </row>
    <row r="44" spans="5:8" x14ac:dyDescent="0.35">
      <c r="E44" s="97">
        <v>97277</v>
      </c>
      <c r="F44" s="99">
        <v>2290.6800000000003</v>
      </c>
      <c r="G44" s="99">
        <v>2290.6800000000003</v>
      </c>
      <c r="H44" t="str">
        <f t="shared" si="0"/>
        <v/>
      </c>
    </row>
    <row r="45" spans="5:8" x14ac:dyDescent="0.35">
      <c r="E45" s="97">
        <v>97285</v>
      </c>
      <c r="F45" s="99">
        <v>2310.79</v>
      </c>
      <c r="G45" s="99">
        <v>2310.79</v>
      </c>
      <c r="H45" t="str">
        <f t="shared" si="0"/>
        <v/>
      </c>
    </row>
    <row r="46" spans="5:8" x14ac:dyDescent="0.35">
      <c r="E46" s="97">
        <v>97319</v>
      </c>
      <c r="F46" s="99">
        <v>2300.14</v>
      </c>
      <c r="G46" s="99">
        <v>2300.14</v>
      </c>
      <c r="H46" t="str">
        <f t="shared" si="0"/>
        <v/>
      </c>
    </row>
    <row r="47" spans="5:8" x14ac:dyDescent="0.35">
      <c r="E47" s="97">
        <v>97337</v>
      </c>
      <c r="F47" s="99">
        <v>2236.25</v>
      </c>
      <c r="G47" s="99">
        <v>2236.25</v>
      </c>
      <c r="H47" t="str">
        <f t="shared" si="0"/>
        <v/>
      </c>
    </row>
    <row r="48" spans="5:8" x14ac:dyDescent="0.35">
      <c r="E48" s="97">
        <v>71282</v>
      </c>
      <c r="F48" s="99">
        <v>294.22000000000003</v>
      </c>
      <c r="G48" s="99">
        <v>294.22000000000003</v>
      </c>
      <c r="H48" t="str">
        <f t="shared" si="0"/>
        <v/>
      </c>
    </row>
    <row r="49" spans="5:8" x14ac:dyDescent="0.35">
      <c r="E49" s="97">
        <v>71293</v>
      </c>
      <c r="F49" s="99">
        <v>115.13</v>
      </c>
      <c r="G49" s="99">
        <v>115.13</v>
      </c>
      <c r="H49" t="str">
        <f t="shared" si="0"/>
        <v/>
      </c>
    </row>
    <row r="50" spans="5:8" x14ac:dyDescent="0.35">
      <c r="E50" s="97">
        <v>71304</v>
      </c>
      <c r="F50" s="99">
        <v>2236.25</v>
      </c>
      <c r="G50" s="99">
        <v>2236.25</v>
      </c>
      <c r="H50" t="str">
        <f t="shared" si="0"/>
        <v/>
      </c>
    </row>
    <row r="51" spans="5:8" x14ac:dyDescent="0.35">
      <c r="E51" s="97">
        <v>14701</v>
      </c>
      <c r="F51" s="99">
        <v>2271.7399999999998</v>
      </c>
      <c r="G51" s="99">
        <v>2271.7399999999998</v>
      </c>
      <c r="H51" t="str">
        <f t="shared" si="0"/>
        <v/>
      </c>
    </row>
    <row r="52" spans="5:8" x14ac:dyDescent="0.35">
      <c r="E52" s="97">
        <v>14725</v>
      </c>
      <c r="F52" s="99">
        <v>2271.7399999999998</v>
      </c>
      <c r="G52" s="99">
        <v>2271.7399999999998</v>
      </c>
      <c r="H52" t="str">
        <f t="shared" si="0"/>
        <v/>
      </c>
    </row>
    <row r="53" spans="5:8" x14ac:dyDescent="0.35">
      <c r="E53" s="97">
        <v>67407</v>
      </c>
      <c r="F53" s="99">
        <v>666.79</v>
      </c>
      <c r="G53" s="99">
        <v>666.79</v>
      </c>
      <c r="H53" t="str">
        <f t="shared" si="0"/>
        <v/>
      </c>
    </row>
    <row r="54" spans="5:8" x14ac:dyDescent="0.35">
      <c r="E54" s="97">
        <v>67408</v>
      </c>
      <c r="F54" s="99">
        <v>1428.84</v>
      </c>
      <c r="G54" s="99">
        <v>1428.84</v>
      </c>
      <c r="H54" t="str">
        <f t="shared" si="0"/>
        <v/>
      </c>
    </row>
    <row r="55" spans="5:8" x14ac:dyDescent="0.35">
      <c r="E55" s="97">
        <v>24364</v>
      </c>
      <c r="F55" s="99">
        <v>2244.92</v>
      </c>
      <c r="G55" s="99">
        <v>2244.92</v>
      </c>
      <c r="H55" t="str">
        <f t="shared" si="0"/>
        <v/>
      </c>
    </row>
    <row r="56" spans="5:8" x14ac:dyDescent="0.35">
      <c r="E56" s="97">
        <v>87005</v>
      </c>
      <c r="F56" s="99">
        <v>2459.87</v>
      </c>
      <c r="G56" s="99">
        <v>2459.87</v>
      </c>
      <c r="H56" t="str">
        <f t="shared" si="0"/>
        <v/>
      </c>
    </row>
    <row r="57" spans="5:8" x14ac:dyDescent="0.35">
      <c r="E57" s="97">
        <v>87027</v>
      </c>
      <c r="F57" s="99">
        <v>2459.87</v>
      </c>
      <c r="G57" s="99">
        <v>2459.87</v>
      </c>
      <c r="H57" t="str">
        <f t="shared" si="0"/>
        <v/>
      </c>
    </row>
    <row r="58" spans="5:8" x14ac:dyDescent="0.35">
      <c r="E58" s="97">
        <v>97408</v>
      </c>
      <c r="F58" s="99">
        <v>2310.79</v>
      </c>
      <c r="G58" s="99">
        <v>2310.79</v>
      </c>
      <c r="H58" t="str">
        <f t="shared" si="0"/>
        <v/>
      </c>
    </row>
    <row r="59" spans="5:8" x14ac:dyDescent="0.35">
      <c r="E59" s="97">
        <v>97432</v>
      </c>
      <c r="F59" s="99">
        <v>2295.79</v>
      </c>
      <c r="G59" s="99">
        <v>2295.79</v>
      </c>
      <c r="H59" t="str">
        <f t="shared" si="0"/>
        <v/>
      </c>
    </row>
    <row r="60" spans="5:8" x14ac:dyDescent="0.35">
      <c r="E60" s="97">
        <v>97448</v>
      </c>
      <c r="F60" s="99">
        <v>2310.79</v>
      </c>
      <c r="G60" s="99">
        <v>2310.79</v>
      </c>
      <c r="H60" t="str">
        <f t="shared" si="0"/>
        <v/>
      </c>
    </row>
    <row r="61" spans="5:8" x14ac:dyDescent="0.35">
      <c r="E61" s="97">
        <v>97475</v>
      </c>
      <c r="F61" s="99">
        <v>2310.79</v>
      </c>
      <c r="G61" s="99">
        <v>2310.79</v>
      </c>
      <c r="H61" t="str">
        <f t="shared" si="0"/>
        <v/>
      </c>
    </row>
    <row r="62" spans="5:8" x14ac:dyDescent="0.35">
      <c r="E62" s="97">
        <v>97476</v>
      </c>
      <c r="F62" s="99">
        <v>2331.6000000000004</v>
      </c>
      <c r="G62" s="99">
        <v>2331.6000000000004</v>
      </c>
      <c r="H62" t="str">
        <f t="shared" si="0"/>
        <v/>
      </c>
    </row>
    <row r="63" spans="5:8" x14ac:dyDescent="0.35">
      <c r="E63" s="97">
        <v>97512</v>
      </c>
      <c r="F63" s="99">
        <v>2485.8999999999996</v>
      </c>
      <c r="G63" s="99">
        <v>2485.8999999999996</v>
      </c>
      <c r="H63" t="str">
        <f t="shared" si="0"/>
        <v/>
      </c>
    </row>
    <row r="64" spans="5:8" x14ac:dyDescent="0.35">
      <c r="E64" s="97">
        <v>71335</v>
      </c>
      <c r="F64" s="99">
        <v>2332.48</v>
      </c>
      <c r="G64" s="99">
        <v>2332.48</v>
      </c>
      <c r="H64" t="str">
        <f t="shared" si="0"/>
        <v/>
      </c>
    </row>
    <row r="65" spans="5:8" x14ac:dyDescent="0.35">
      <c r="E65" s="97">
        <v>71342</v>
      </c>
      <c r="F65" s="99">
        <v>294.22000000000003</v>
      </c>
      <c r="G65" s="99">
        <v>294.22000000000003</v>
      </c>
      <c r="H65" t="str">
        <f t="shared" si="0"/>
        <v/>
      </c>
    </row>
    <row r="66" spans="5:8" x14ac:dyDescent="0.35">
      <c r="E66" s="97">
        <v>71365</v>
      </c>
      <c r="F66" s="99">
        <v>294.22000000000003</v>
      </c>
      <c r="G66" s="99">
        <v>294.22000000000003</v>
      </c>
      <c r="H66" t="str">
        <f t="shared" si="0"/>
        <v/>
      </c>
    </row>
    <row r="67" spans="5:8" x14ac:dyDescent="0.35">
      <c r="E67" s="97">
        <v>71377</v>
      </c>
      <c r="F67" s="99">
        <v>2236.25</v>
      </c>
      <c r="G67" s="99">
        <v>2236.25</v>
      </c>
      <c r="H67" t="str">
        <f t="shared" si="0"/>
        <v/>
      </c>
    </row>
    <row r="68" spans="5:8" x14ac:dyDescent="0.35">
      <c r="E68" s="97">
        <v>87052</v>
      </c>
      <c r="F68" s="99">
        <v>2459.87</v>
      </c>
      <c r="G68" s="99">
        <v>2459.87</v>
      </c>
      <c r="H68" t="str">
        <f t="shared" ref="H68:H131" si="1">IF(F68="","",IF(F68&lt;=0,"1",""))</f>
        <v/>
      </c>
    </row>
    <row r="69" spans="5:8" x14ac:dyDescent="0.35">
      <c r="E69" s="97">
        <v>97507</v>
      </c>
      <c r="F69" s="99">
        <v>2310.79</v>
      </c>
      <c r="G69" s="99">
        <v>2310.79</v>
      </c>
      <c r="H69" t="str">
        <f t="shared" si="1"/>
        <v/>
      </c>
    </row>
    <row r="70" spans="5:8" x14ac:dyDescent="0.35">
      <c r="E70" s="97">
        <v>97522</v>
      </c>
      <c r="F70" s="99">
        <v>2271.75</v>
      </c>
      <c r="G70" s="99">
        <v>2271.75</v>
      </c>
      <c r="H70" t="str">
        <f t="shared" si="1"/>
        <v/>
      </c>
    </row>
    <row r="71" spans="5:8" x14ac:dyDescent="0.35">
      <c r="E71" s="97">
        <v>97536</v>
      </c>
      <c r="F71" s="99">
        <v>2310.79</v>
      </c>
      <c r="G71" s="99">
        <v>2310.79</v>
      </c>
      <c r="H71" t="str">
        <f t="shared" si="1"/>
        <v/>
      </c>
    </row>
    <row r="72" spans="5:8" x14ac:dyDescent="0.35">
      <c r="E72" s="97">
        <v>97537</v>
      </c>
      <c r="F72" s="99">
        <v>2310.79</v>
      </c>
      <c r="G72" s="99">
        <v>2310.79</v>
      </c>
      <c r="H72" t="str">
        <f t="shared" si="1"/>
        <v/>
      </c>
    </row>
    <row r="73" spans="5:8" x14ac:dyDescent="0.35">
      <c r="E73" s="97">
        <v>71406</v>
      </c>
      <c r="F73" s="99">
        <v>2236.25</v>
      </c>
      <c r="G73" s="99">
        <v>2236.25</v>
      </c>
      <c r="H73" t="str">
        <f t="shared" si="1"/>
        <v/>
      </c>
    </row>
    <row r="74" spans="5:8" x14ac:dyDescent="0.35">
      <c r="E74" s="97">
        <v>71409</v>
      </c>
      <c r="F74" s="99">
        <v>294.22000000000003</v>
      </c>
      <c r="G74" s="99">
        <v>294.22000000000003</v>
      </c>
      <c r="H74" t="str">
        <f t="shared" si="1"/>
        <v/>
      </c>
    </row>
    <row r="75" spans="5:8" x14ac:dyDescent="0.35">
      <c r="E75" s="97">
        <v>71419</v>
      </c>
      <c r="F75" s="99">
        <v>294.22000000000003</v>
      </c>
      <c r="G75" s="99">
        <v>294.22000000000003</v>
      </c>
      <c r="H75" t="str">
        <f t="shared" si="1"/>
        <v/>
      </c>
    </row>
    <row r="76" spans="5:8" x14ac:dyDescent="0.35">
      <c r="E76" s="97">
        <v>71443</v>
      </c>
      <c r="F76" s="99">
        <v>2236.25</v>
      </c>
      <c r="G76" s="99">
        <v>2236.25</v>
      </c>
      <c r="H76" t="str">
        <f t="shared" si="1"/>
        <v/>
      </c>
    </row>
    <row r="77" spans="5:8" x14ac:dyDescent="0.35">
      <c r="E77" s="97">
        <v>14908</v>
      </c>
      <c r="F77" s="99">
        <v>2271.7399999999998</v>
      </c>
      <c r="G77" s="99">
        <v>2271.7399999999998</v>
      </c>
      <c r="H77" t="str">
        <f t="shared" si="1"/>
        <v/>
      </c>
    </row>
    <row r="78" spans="5:8" x14ac:dyDescent="0.35">
      <c r="E78" s="97">
        <v>73679</v>
      </c>
      <c r="F78" s="99">
        <v>2385.33</v>
      </c>
      <c r="G78" s="99">
        <v>2385.33</v>
      </c>
      <c r="H78" t="str">
        <f t="shared" si="1"/>
        <v/>
      </c>
    </row>
    <row r="79" spans="5:8" x14ac:dyDescent="0.35">
      <c r="E79" s="97" t="s">
        <v>123</v>
      </c>
      <c r="F79" s="99">
        <v>154225.01999999996</v>
      </c>
      <c r="G79" s="99">
        <v>154225.01999999996</v>
      </c>
      <c r="H79" t="str">
        <f t="shared" si="1"/>
        <v/>
      </c>
    </row>
    <row r="80" spans="5:8" x14ac:dyDescent="0.35">
      <c r="H80" t="str">
        <f t="shared" si="1"/>
        <v/>
      </c>
    </row>
    <row r="81" spans="8:8" x14ac:dyDescent="0.35">
      <c r="H81" t="str">
        <f t="shared" si="1"/>
        <v/>
      </c>
    </row>
    <row r="82" spans="8:8" x14ac:dyDescent="0.35">
      <c r="H82" t="str">
        <f t="shared" si="1"/>
        <v/>
      </c>
    </row>
    <row r="83" spans="8:8" x14ac:dyDescent="0.35">
      <c r="H83" t="str">
        <f t="shared" si="1"/>
        <v/>
      </c>
    </row>
    <row r="84" spans="8:8" x14ac:dyDescent="0.35">
      <c r="H84" t="str">
        <f t="shared" si="1"/>
        <v/>
      </c>
    </row>
    <row r="85" spans="8:8" x14ac:dyDescent="0.35">
      <c r="H85" t="str">
        <f t="shared" si="1"/>
        <v/>
      </c>
    </row>
    <row r="86" spans="8:8" x14ac:dyDescent="0.35">
      <c r="H86" t="str">
        <f t="shared" si="1"/>
        <v/>
      </c>
    </row>
    <row r="87" spans="8:8" x14ac:dyDescent="0.35">
      <c r="H87" t="str">
        <f t="shared" si="1"/>
        <v/>
      </c>
    </row>
    <row r="88" spans="8:8" x14ac:dyDescent="0.35">
      <c r="H88" t="str">
        <f t="shared" si="1"/>
        <v/>
      </c>
    </row>
    <row r="89" spans="8:8" x14ac:dyDescent="0.35">
      <c r="H89" t="str">
        <f t="shared" si="1"/>
        <v/>
      </c>
    </row>
    <row r="90" spans="8:8" x14ac:dyDescent="0.35">
      <c r="H90" t="str">
        <f t="shared" si="1"/>
        <v/>
      </c>
    </row>
    <row r="91" spans="8:8" x14ac:dyDescent="0.35">
      <c r="H91" t="str">
        <f t="shared" si="1"/>
        <v/>
      </c>
    </row>
    <row r="92" spans="8:8" x14ac:dyDescent="0.35">
      <c r="H92" t="str">
        <f t="shared" si="1"/>
        <v/>
      </c>
    </row>
    <row r="93" spans="8:8" x14ac:dyDescent="0.35">
      <c r="H93" t="str">
        <f t="shared" si="1"/>
        <v/>
      </c>
    </row>
    <row r="94" spans="8:8" x14ac:dyDescent="0.35">
      <c r="H94" t="str">
        <f t="shared" si="1"/>
        <v/>
      </c>
    </row>
    <row r="95" spans="8:8" x14ac:dyDescent="0.35">
      <c r="H95" t="str">
        <f t="shared" si="1"/>
        <v/>
      </c>
    </row>
    <row r="96" spans="8:8" x14ac:dyDescent="0.35">
      <c r="H96" t="str">
        <f t="shared" si="1"/>
        <v/>
      </c>
    </row>
    <row r="97" spans="8:8" x14ac:dyDescent="0.35">
      <c r="H97" t="str">
        <f t="shared" si="1"/>
        <v/>
      </c>
    </row>
    <row r="98" spans="8:8" x14ac:dyDescent="0.35">
      <c r="H98" t="str">
        <f t="shared" si="1"/>
        <v/>
      </c>
    </row>
    <row r="99" spans="8:8" x14ac:dyDescent="0.35">
      <c r="H99" t="str">
        <f t="shared" si="1"/>
        <v/>
      </c>
    </row>
    <row r="100" spans="8:8" x14ac:dyDescent="0.35">
      <c r="H100" t="str">
        <f t="shared" si="1"/>
        <v/>
      </c>
    </row>
    <row r="101" spans="8:8" x14ac:dyDescent="0.35">
      <c r="H101" t="str">
        <f t="shared" si="1"/>
        <v/>
      </c>
    </row>
    <row r="102" spans="8:8" x14ac:dyDescent="0.35">
      <c r="H102" t="str">
        <f t="shared" si="1"/>
        <v/>
      </c>
    </row>
    <row r="103" spans="8:8" x14ac:dyDescent="0.35">
      <c r="H103" t="str">
        <f t="shared" si="1"/>
        <v/>
      </c>
    </row>
    <row r="104" spans="8:8" x14ac:dyDescent="0.35">
      <c r="H104" t="str">
        <f t="shared" si="1"/>
        <v/>
      </c>
    </row>
    <row r="105" spans="8:8" x14ac:dyDescent="0.35">
      <c r="H105" t="str">
        <f t="shared" si="1"/>
        <v/>
      </c>
    </row>
    <row r="106" spans="8:8" x14ac:dyDescent="0.35">
      <c r="H106" t="str">
        <f t="shared" si="1"/>
        <v/>
      </c>
    </row>
    <row r="107" spans="8:8" x14ac:dyDescent="0.35">
      <c r="H107" t="str">
        <f t="shared" si="1"/>
        <v/>
      </c>
    </row>
    <row r="108" spans="8:8" x14ac:dyDescent="0.35">
      <c r="H108" t="str">
        <f t="shared" si="1"/>
        <v/>
      </c>
    </row>
    <row r="109" spans="8:8" x14ac:dyDescent="0.35">
      <c r="H109" t="str">
        <f t="shared" si="1"/>
        <v/>
      </c>
    </row>
    <row r="110" spans="8:8" x14ac:dyDescent="0.35">
      <c r="H110" t="str">
        <f t="shared" si="1"/>
        <v/>
      </c>
    </row>
    <row r="111" spans="8:8" x14ac:dyDescent="0.35">
      <c r="H111" t="str">
        <f t="shared" si="1"/>
        <v/>
      </c>
    </row>
    <row r="112" spans="8:8" x14ac:dyDescent="0.35">
      <c r="H112" t="str">
        <f t="shared" si="1"/>
        <v/>
      </c>
    </row>
    <row r="113" spans="8:8" x14ac:dyDescent="0.35">
      <c r="H113" t="str">
        <f t="shared" si="1"/>
        <v/>
      </c>
    </row>
    <row r="114" spans="8:8" x14ac:dyDescent="0.35">
      <c r="H114" t="str">
        <f t="shared" si="1"/>
        <v/>
      </c>
    </row>
    <row r="115" spans="8:8" x14ac:dyDescent="0.35">
      <c r="H115" t="str">
        <f t="shared" si="1"/>
        <v/>
      </c>
    </row>
    <row r="116" spans="8:8" x14ac:dyDescent="0.35">
      <c r="H116" t="str">
        <f t="shared" si="1"/>
        <v/>
      </c>
    </row>
    <row r="117" spans="8:8" x14ac:dyDescent="0.35">
      <c r="H117" t="str">
        <f t="shared" si="1"/>
        <v/>
      </c>
    </row>
    <row r="118" spans="8:8" x14ac:dyDescent="0.35">
      <c r="H118" t="str">
        <f t="shared" si="1"/>
        <v/>
      </c>
    </row>
    <row r="119" spans="8:8" x14ac:dyDescent="0.35">
      <c r="H119" t="str">
        <f t="shared" si="1"/>
        <v/>
      </c>
    </row>
    <row r="120" spans="8:8" x14ac:dyDescent="0.35">
      <c r="H120" t="str">
        <f t="shared" si="1"/>
        <v/>
      </c>
    </row>
    <row r="121" spans="8:8" x14ac:dyDescent="0.35">
      <c r="H121" t="str">
        <f t="shared" si="1"/>
        <v/>
      </c>
    </row>
    <row r="122" spans="8:8" x14ac:dyDescent="0.35">
      <c r="H122" t="str">
        <f t="shared" si="1"/>
        <v/>
      </c>
    </row>
    <row r="123" spans="8:8" x14ac:dyDescent="0.35">
      <c r="H123" t="str">
        <f t="shared" si="1"/>
        <v/>
      </c>
    </row>
    <row r="124" spans="8:8" x14ac:dyDescent="0.35">
      <c r="H124" t="str">
        <f t="shared" si="1"/>
        <v/>
      </c>
    </row>
    <row r="125" spans="8:8" x14ac:dyDescent="0.35">
      <c r="H125" t="str">
        <f t="shared" si="1"/>
        <v/>
      </c>
    </row>
    <row r="126" spans="8:8" x14ac:dyDescent="0.35">
      <c r="H126" t="str">
        <f t="shared" si="1"/>
        <v/>
      </c>
    </row>
    <row r="127" spans="8:8" x14ac:dyDescent="0.35">
      <c r="H127" t="str">
        <f t="shared" si="1"/>
        <v/>
      </c>
    </row>
    <row r="128" spans="8:8" x14ac:dyDescent="0.35">
      <c r="H128" t="str">
        <f t="shared" si="1"/>
        <v/>
      </c>
    </row>
    <row r="129" spans="8:8" x14ac:dyDescent="0.35">
      <c r="H129" t="str">
        <f t="shared" si="1"/>
        <v/>
      </c>
    </row>
    <row r="130" spans="8:8" x14ac:dyDescent="0.35">
      <c r="H130" t="str">
        <f t="shared" si="1"/>
        <v/>
      </c>
    </row>
    <row r="131" spans="8:8" x14ac:dyDescent="0.35">
      <c r="H131" t="str">
        <f t="shared" si="1"/>
        <v/>
      </c>
    </row>
    <row r="132" spans="8:8" x14ac:dyDescent="0.35">
      <c r="H132" t="str">
        <f t="shared" ref="H132:H195" si="2">IF(F132="","",IF(F132&lt;=0,"1",""))</f>
        <v/>
      </c>
    </row>
    <row r="133" spans="8:8" x14ac:dyDescent="0.35">
      <c r="H133" t="str">
        <f t="shared" si="2"/>
        <v/>
      </c>
    </row>
    <row r="134" spans="8:8" x14ac:dyDescent="0.35">
      <c r="H134" t="str">
        <f t="shared" si="2"/>
        <v/>
      </c>
    </row>
    <row r="135" spans="8:8" x14ac:dyDescent="0.35">
      <c r="H135" t="str">
        <f t="shared" si="2"/>
        <v/>
      </c>
    </row>
    <row r="136" spans="8:8" x14ac:dyDescent="0.35">
      <c r="H136" t="str">
        <f t="shared" si="2"/>
        <v/>
      </c>
    </row>
    <row r="137" spans="8:8" x14ac:dyDescent="0.35">
      <c r="H137" t="str">
        <f t="shared" si="2"/>
        <v/>
      </c>
    </row>
    <row r="138" spans="8:8" x14ac:dyDescent="0.35">
      <c r="H138" t="str">
        <f t="shared" si="2"/>
        <v/>
      </c>
    </row>
    <row r="139" spans="8:8" x14ac:dyDescent="0.35">
      <c r="H139" t="str">
        <f t="shared" si="2"/>
        <v/>
      </c>
    </row>
    <row r="140" spans="8:8" x14ac:dyDescent="0.35">
      <c r="H140" t="str">
        <f t="shared" si="2"/>
        <v/>
      </c>
    </row>
    <row r="141" spans="8:8" x14ac:dyDescent="0.35">
      <c r="H141" t="str">
        <f t="shared" si="2"/>
        <v/>
      </c>
    </row>
    <row r="142" spans="8:8" x14ac:dyDescent="0.35">
      <c r="H142" t="str">
        <f t="shared" si="2"/>
        <v/>
      </c>
    </row>
    <row r="143" spans="8:8" x14ac:dyDescent="0.35">
      <c r="H143" t="str">
        <f t="shared" si="2"/>
        <v/>
      </c>
    </row>
    <row r="144" spans="8:8" x14ac:dyDescent="0.35">
      <c r="H144" t="str">
        <f t="shared" si="2"/>
        <v/>
      </c>
    </row>
    <row r="145" spans="8:8" x14ac:dyDescent="0.35">
      <c r="H145" t="str">
        <f t="shared" si="2"/>
        <v/>
      </c>
    </row>
    <row r="146" spans="8:8" x14ac:dyDescent="0.35">
      <c r="H146" t="str">
        <f t="shared" si="2"/>
        <v/>
      </c>
    </row>
    <row r="147" spans="8:8" x14ac:dyDescent="0.35">
      <c r="H147" t="str">
        <f t="shared" si="2"/>
        <v/>
      </c>
    </row>
    <row r="148" spans="8:8" x14ac:dyDescent="0.35">
      <c r="H148" t="str">
        <f t="shared" si="2"/>
        <v/>
      </c>
    </row>
    <row r="149" spans="8:8" x14ac:dyDescent="0.35">
      <c r="H149" t="str">
        <f t="shared" si="2"/>
        <v/>
      </c>
    </row>
    <row r="150" spans="8:8" x14ac:dyDescent="0.35">
      <c r="H150" t="str">
        <f t="shared" si="2"/>
        <v/>
      </c>
    </row>
    <row r="151" spans="8:8" x14ac:dyDescent="0.35">
      <c r="H151" t="str">
        <f t="shared" si="2"/>
        <v/>
      </c>
    </row>
    <row r="152" spans="8:8" x14ac:dyDescent="0.35">
      <c r="H152" t="str">
        <f t="shared" si="2"/>
        <v/>
      </c>
    </row>
    <row r="153" spans="8:8" x14ac:dyDescent="0.35">
      <c r="H153" t="str">
        <f t="shared" si="2"/>
        <v/>
      </c>
    </row>
    <row r="154" spans="8:8" x14ac:dyDescent="0.35">
      <c r="H154" t="str">
        <f t="shared" si="2"/>
        <v/>
      </c>
    </row>
    <row r="155" spans="8:8" x14ac:dyDescent="0.35">
      <c r="H155" t="str">
        <f t="shared" si="2"/>
        <v/>
      </c>
    </row>
    <row r="156" spans="8:8" x14ac:dyDescent="0.35">
      <c r="H156" t="str">
        <f t="shared" si="2"/>
        <v/>
      </c>
    </row>
    <row r="157" spans="8:8" x14ac:dyDescent="0.35">
      <c r="H157" t="str">
        <f t="shared" si="2"/>
        <v/>
      </c>
    </row>
    <row r="158" spans="8:8" x14ac:dyDescent="0.35">
      <c r="H158" t="str">
        <f t="shared" si="2"/>
        <v/>
      </c>
    </row>
    <row r="159" spans="8:8" x14ac:dyDescent="0.35">
      <c r="H159" t="str">
        <f t="shared" si="2"/>
        <v/>
      </c>
    </row>
    <row r="160" spans="8:8" x14ac:dyDescent="0.35">
      <c r="H160" t="str">
        <f t="shared" si="2"/>
        <v/>
      </c>
    </row>
    <row r="161" spans="8:8" x14ac:dyDescent="0.35">
      <c r="H161" t="str">
        <f t="shared" si="2"/>
        <v/>
      </c>
    </row>
    <row r="162" spans="8:8" x14ac:dyDescent="0.35">
      <c r="H162" t="str">
        <f t="shared" si="2"/>
        <v/>
      </c>
    </row>
    <row r="163" spans="8:8" x14ac:dyDescent="0.35">
      <c r="H163" t="str">
        <f t="shared" si="2"/>
        <v/>
      </c>
    </row>
    <row r="164" spans="8:8" x14ac:dyDescent="0.35">
      <c r="H164" t="str">
        <f t="shared" si="2"/>
        <v/>
      </c>
    </row>
    <row r="165" spans="8:8" x14ac:dyDescent="0.35">
      <c r="H165" t="str">
        <f t="shared" si="2"/>
        <v/>
      </c>
    </row>
    <row r="166" spans="8:8" x14ac:dyDescent="0.35">
      <c r="H166" t="str">
        <f t="shared" si="2"/>
        <v/>
      </c>
    </row>
    <row r="167" spans="8:8" x14ac:dyDescent="0.35">
      <c r="H167" t="str">
        <f t="shared" si="2"/>
        <v/>
      </c>
    </row>
    <row r="168" spans="8:8" x14ac:dyDescent="0.35">
      <c r="H168" t="str">
        <f t="shared" si="2"/>
        <v/>
      </c>
    </row>
    <row r="169" spans="8:8" x14ac:dyDescent="0.35">
      <c r="H169" t="str">
        <f t="shared" si="2"/>
        <v/>
      </c>
    </row>
    <row r="170" spans="8:8" x14ac:dyDescent="0.35">
      <c r="H170" t="str">
        <f t="shared" si="2"/>
        <v/>
      </c>
    </row>
    <row r="171" spans="8:8" x14ac:dyDescent="0.35">
      <c r="H171" t="str">
        <f t="shared" si="2"/>
        <v/>
      </c>
    </row>
    <row r="172" spans="8:8" x14ac:dyDescent="0.35">
      <c r="H172" t="str">
        <f t="shared" si="2"/>
        <v/>
      </c>
    </row>
    <row r="173" spans="8:8" x14ac:dyDescent="0.35">
      <c r="H173" t="str">
        <f t="shared" si="2"/>
        <v/>
      </c>
    </row>
    <row r="174" spans="8:8" x14ac:dyDescent="0.35">
      <c r="H174" t="str">
        <f t="shared" si="2"/>
        <v/>
      </c>
    </row>
    <row r="175" spans="8:8" x14ac:dyDescent="0.35">
      <c r="H175" t="str">
        <f t="shared" si="2"/>
        <v/>
      </c>
    </row>
    <row r="176" spans="8:8" x14ac:dyDescent="0.35">
      <c r="H176" t="str">
        <f t="shared" si="2"/>
        <v/>
      </c>
    </row>
    <row r="177" spans="8:8" x14ac:dyDescent="0.35">
      <c r="H177" t="str">
        <f t="shared" si="2"/>
        <v/>
      </c>
    </row>
    <row r="178" spans="8:8" x14ac:dyDescent="0.35">
      <c r="H178" t="str">
        <f t="shared" si="2"/>
        <v/>
      </c>
    </row>
    <row r="179" spans="8:8" x14ac:dyDescent="0.35">
      <c r="H179" t="str">
        <f t="shared" si="2"/>
        <v/>
      </c>
    </row>
    <row r="180" spans="8:8" x14ac:dyDescent="0.35">
      <c r="H180" t="str">
        <f t="shared" si="2"/>
        <v/>
      </c>
    </row>
    <row r="181" spans="8:8" x14ac:dyDescent="0.35">
      <c r="H181" t="str">
        <f t="shared" si="2"/>
        <v/>
      </c>
    </row>
    <row r="182" spans="8:8" x14ac:dyDescent="0.35">
      <c r="H182" t="str">
        <f t="shared" si="2"/>
        <v/>
      </c>
    </row>
    <row r="183" spans="8:8" x14ac:dyDescent="0.35">
      <c r="H183" t="str">
        <f t="shared" si="2"/>
        <v/>
      </c>
    </row>
    <row r="184" spans="8:8" x14ac:dyDescent="0.35">
      <c r="H184" t="str">
        <f t="shared" si="2"/>
        <v/>
      </c>
    </row>
    <row r="185" spans="8:8" x14ac:dyDescent="0.35">
      <c r="H185" t="str">
        <f t="shared" si="2"/>
        <v/>
      </c>
    </row>
    <row r="186" spans="8:8" x14ac:dyDescent="0.35">
      <c r="H186" t="str">
        <f t="shared" si="2"/>
        <v/>
      </c>
    </row>
    <row r="187" spans="8:8" x14ac:dyDescent="0.35">
      <c r="H187" t="str">
        <f t="shared" si="2"/>
        <v/>
      </c>
    </row>
    <row r="188" spans="8:8" x14ac:dyDescent="0.35">
      <c r="H188" t="str">
        <f t="shared" si="2"/>
        <v/>
      </c>
    </row>
    <row r="189" spans="8:8" x14ac:dyDescent="0.35">
      <c r="H189" t="str">
        <f t="shared" si="2"/>
        <v/>
      </c>
    </row>
    <row r="190" spans="8:8" x14ac:dyDescent="0.35">
      <c r="H190" t="str">
        <f t="shared" si="2"/>
        <v/>
      </c>
    </row>
    <row r="191" spans="8:8" x14ac:dyDescent="0.35">
      <c r="H191" t="str">
        <f t="shared" si="2"/>
        <v/>
      </c>
    </row>
    <row r="192" spans="8:8" x14ac:dyDescent="0.35">
      <c r="H192" t="str">
        <f t="shared" si="2"/>
        <v/>
      </c>
    </row>
    <row r="193" spans="8:8" x14ac:dyDescent="0.35">
      <c r="H193" t="str">
        <f t="shared" si="2"/>
        <v/>
      </c>
    </row>
    <row r="194" spans="8:8" x14ac:dyDescent="0.35">
      <c r="H194" t="str">
        <f t="shared" si="2"/>
        <v/>
      </c>
    </row>
    <row r="195" spans="8:8" x14ac:dyDescent="0.35">
      <c r="H195" t="str">
        <f t="shared" si="2"/>
        <v/>
      </c>
    </row>
    <row r="196" spans="8:8" x14ac:dyDescent="0.35">
      <c r="H196" t="str">
        <f t="shared" ref="H196:H259" si="3">IF(F196="","",IF(F196&lt;=0,"1",""))</f>
        <v/>
      </c>
    </row>
    <row r="197" spans="8:8" x14ac:dyDescent="0.35">
      <c r="H197" t="str">
        <f t="shared" si="3"/>
        <v/>
      </c>
    </row>
    <row r="198" spans="8:8" x14ac:dyDescent="0.35">
      <c r="H198" t="str">
        <f t="shared" si="3"/>
        <v/>
      </c>
    </row>
    <row r="199" spans="8:8" x14ac:dyDescent="0.35">
      <c r="H199" t="str">
        <f t="shared" si="3"/>
        <v/>
      </c>
    </row>
    <row r="200" spans="8:8" x14ac:dyDescent="0.35">
      <c r="H200" t="str">
        <f t="shared" si="3"/>
        <v/>
      </c>
    </row>
    <row r="201" spans="8:8" x14ac:dyDescent="0.35">
      <c r="H201" t="str">
        <f t="shared" si="3"/>
        <v/>
      </c>
    </row>
    <row r="202" spans="8:8" x14ac:dyDescent="0.35">
      <c r="H202" t="str">
        <f t="shared" si="3"/>
        <v/>
      </c>
    </row>
    <row r="203" spans="8:8" x14ac:dyDescent="0.35">
      <c r="H203" t="str">
        <f t="shared" si="3"/>
        <v/>
      </c>
    </row>
    <row r="204" spans="8:8" x14ac:dyDescent="0.35">
      <c r="H204" t="str">
        <f t="shared" si="3"/>
        <v/>
      </c>
    </row>
    <row r="205" spans="8:8" x14ac:dyDescent="0.35">
      <c r="H205" t="str">
        <f t="shared" si="3"/>
        <v/>
      </c>
    </row>
    <row r="206" spans="8:8" x14ac:dyDescent="0.35">
      <c r="H206" t="str">
        <f t="shared" si="3"/>
        <v/>
      </c>
    </row>
    <row r="207" spans="8:8" x14ac:dyDescent="0.35">
      <c r="H207" t="str">
        <f t="shared" si="3"/>
        <v/>
      </c>
    </row>
    <row r="208" spans="8:8" x14ac:dyDescent="0.35">
      <c r="H208" t="str">
        <f t="shared" si="3"/>
        <v/>
      </c>
    </row>
    <row r="209" spans="8:8" x14ac:dyDescent="0.35">
      <c r="H209" t="str">
        <f t="shared" si="3"/>
        <v/>
      </c>
    </row>
    <row r="210" spans="8:8" x14ac:dyDescent="0.35">
      <c r="H210" t="str">
        <f t="shared" si="3"/>
        <v/>
      </c>
    </row>
    <row r="211" spans="8:8" x14ac:dyDescent="0.35">
      <c r="H211" t="str">
        <f t="shared" si="3"/>
        <v/>
      </c>
    </row>
    <row r="212" spans="8:8" x14ac:dyDescent="0.35">
      <c r="H212" t="str">
        <f t="shared" si="3"/>
        <v/>
      </c>
    </row>
    <row r="213" spans="8:8" x14ac:dyDescent="0.35">
      <c r="H213" t="str">
        <f t="shared" si="3"/>
        <v/>
      </c>
    </row>
    <row r="214" spans="8:8" x14ac:dyDescent="0.35">
      <c r="H214" t="str">
        <f t="shared" si="3"/>
        <v/>
      </c>
    </row>
    <row r="215" spans="8:8" x14ac:dyDescent="0.35">
      <c r="H215" t="str">
        <f t="shared" si="3"/>
        <v/>
      </c>
    </row>
    <row r="216" spans="8:8" x14ac:dyDescent="0.35">
      <c r="H216" t="str">
        <f t="shared" si="3"/>
        <v/>
      </c>
    </row>
    <row r="217" spans="8:8" x14ac:dyDescent="0.35">
      <c r="H217" t="str">
        <f t="shared" si="3"/>
        <v/>
      </c>
    </row>
    <row r="218" spans="8:8" x14ac:dyDescent="0.35">
      <c r="H218" t="str">
        <f t="shared" si="3"/>
        <v/>
      </c>
    </row>
    <row r="219" spans="8:8" x14ac:dyDescent="0.35">
      <c r="H219" t="str">
        <f t="shared" si="3"/>
        <v/>
      </c>
    </row>
    <row r="220" spans="8:8" x14ac:dyDescent="0.35">
      <c r="H220" t="str">
        <f t="shared" si="3"/>
        <v/>
      </c>
    </row>
    <row r="221" spans="8:8" x14ac:dyDescent="0.35">
      <c r="H221" t="str">
        <f t="shared" si="3"/>
        <v/>
      </c>
    </row>
    <row r="222" spans="8:8" x14ac:dyDescent="0.35">
      <c r="H222" t="str">
        <f t="shared" si="3"/>
        <v/>
      </c>
    </row>
    <row r="223" spans="8:8" x14ac:dyDescent="0.35">
      <c r="H223" t="str">
        <f t="shared" si="3"/>
        <v/>
      </c>
    </row>
    <row r="224" spans="8:8" x14ac:dyDescent="0.35">
      <c r="H224" t="str">
        <f t="shared" si="3"/>
        <v/>
      </c>
    </row>
    <row r="225" spans="8:8" x14ac:dyDescent="0.35">
      <c r="H225" t="str">
        <f t="shared" si="3"/>
        <v/>
      </c>
    </row>
    <row r="226" spans="8:8" x14ac:dyDescent="0.35">
      <c r="H226" t="str">
        <f t="shared" si="3"/>
        <v/>
      </c>
    </row>
    <row r="227" spans="8:8" x14ac:dyDescent="0.35">
      <c r="H227" t="str">
        <f t="shared" si="3"/>
        <v/>
      </c>
    </row>
    <row r="228" spans="8:8" x14ac:dyDescent="0.35">
      <c r="H228" t="str">
        <f t="shared" si="3"/>
        <v/>
      </c>
    </row>
    <row r="229" spans="8:8" x14ac:dyDescent="0.35">
      <c r="H229" t="str">
        <f t="shared" si="3"/>
        <v/>
      </c>
    </row>
    <row r="230" spans="8:8" x14ac:dyDescent="0.35">
      <c r="H230" t="str">
        <f t="shared" si="3"/>
        <v/>
      </c>
    </row>
    <row r="231" spans="8:8" x14ac:dyDescent="0.35">
      <c r="H231" t="str">
        <f t="shared" si="3"/>
        <v/>
      </c>
    </row>
    <row r="232" spans="8:8" x14ac:dyDescent="0.35">
      <c r="H232" t="str">
        <f t="shared" si="3"/>
        <v/>
      </c>
    </row>
    <row r="233" spans="8:8" x14ac:dyDescent="0.35">
      <c r="H233" t="str">
        <f t="shared" si="3"/>
        <v/>
      </c>
    </row>
    <row r="234" spans="8:8" x14ac:dyDescent="0.35">
      <c r="H234" t="str">
        <f t="shared" si="3"/>
        <v/>
      </c>
    </row>
    <row r="235" spans="8:8" x14ac:dyDescent="0.35">
      <c r="H235" t="str">
        <f t="shared" si="3"/>
        <v/>
      </c>
    </row>
    <row r="236" spans="8:8" x14ac:dyDescent="0.35">
      <c r="H236" t="str">
        <f t="shared" si="3"/>
        <v/>
      </c>
    </row>
    <row r="237" spans="8:8" x14ac:dyDescent="0.35">
      <c r="H237" t="str">
        <f t="shared" si="3"/>
        <v/>
      </c>
    </row>
    <row r="238" spans="8:8" x14ac:dyDescent="0.35">
      <c r="H238" t="str">
        <f t="shared" si="3"/>
        <v/>
      </c>
    </row>
    <row r="239" spans="8:8" x14ac:dyDescent="0.35">
      <c r="H239" t="str">
        <f t="shared" si="3"/>
        <v/>
      </c>
    </row>
    <row r="240" spans="8:8" x14ac:dyDescent="0.35">
      <c r="H240" t="str">
        <f t="shared" si="3"/>
        <v/>
      </c>
    </row>
    <row r="241" spans="8:8" x14ac:dyDescent="0.35">
      <c r="H241" t="str">
        <f t="shared" si="3"/>
        <v/>
      </c>
    </row>
    <row r="242" spans="8:8" x14ac:dyDescent="0.35">
      <c r="H242" t="str">
        <f t="shared" si="3"/>
        <v/>
      </c>
    </row>
    <row r="243" spans="8:8" x14ac:dyDescent="0.35">
      <c r="H243" t="str">
        <f t="shared" si="3"/>
        <v/>
      </c>
    </row>
    <row r="244" spans="8:8" x14ac:dyDescent="0.35">
      <c r="H244" t="str">
        <f t="shared" si="3"/>
        <v/>
      </c>
    </row>
    <row r="245" spans="8:8" x14ac:dyDescent="0.35">
      <c r="H245" t="str">
        <f t="shared" si="3"/>
        <v/>
      </c>
    </row>
    <row r="246" spans="8:8" x14ac:dyDescent="0.35">
      <c r="H246" t="str">
        <f t="shared" si="3"/>
        <v/>
      </c>
    </row>
    <row r="247" spans="8:8" x14ac:dyDescent="0.35">
      <c r="H247" t="str">
        <f t="shared" si="3"/>
        <v/>
      </c>
    </row>
    <row r="248" spans="8:8" x14ac:dyDescent="0.35">
      <c r="H248" t="str">
        <f t="shared" si="3"/>
        <v/>
      </c>
    </row>
    <row r="249" spans="8:8" x14ac:dyDescent="0.35">
      <c r="H249" t="str">
        <f t="shared" si="3"/>
        <v/>
      </c>
    </row>
    <row r="250" spans="8:8" x14ac:dyDescent="0.35">
      <c r="H250" t="str">
        <f t="shared" si="3"/>
        <v/>
      </c>
    </row>
    <row r="251" spans="8:8" x14ac:dyDescent="0.35">
      <c r="H251" t="str">
        <f t="shared" si="3"/>
        <v/>
      </c>
    </row>
    <row r="252" spans="8:8" x14ac:dyDescent="0.35">
      <c r="H252" t="str">
        <f t="shared" si="3"/>
        <v/>
      </c>
    </row>
    <row r="253" spans="8:8" x14ac:dyDescent="0.35">
      <c r="H253" t="str">
        <f t="shared" si="3"/>
        <v/>
      </c>
    </row>
    <row r="254" spans="8:8" x14ac:dyDescent="0.35">
      <c r="H254" t="str">
        <f t="shared" si="3"/>
        <v/>
      </c>
    </row>
    <row r="255" spans="8:8" x14ac:dyDescent="0.35">
      <c r="H255" t="str">
        <f t="shared" si="3"/>
        <v/>
      </c>
    </row>
    <row r="256" spans="8:8" x14ac:dyDescent="0.35">
      <c r="H256" t="str">
        <f t="shared" si="3"/>
        <v/>
      </c>
    </row>
    <row r="257" spans="8:8" x14ac:dyDescent="0.35">
      <c r="H257" t="str">
        <f t="shared" si="3"/>
        <v/>
      </c>
    </row>
    <row r="258" spans="8:8" x14ac:dyDescent="0.35">
      <c r="H258" t="str">
        <f t="shared" si="3"/>
        <v/>
      </c>
    </row>
    <row r="259" spans="8:8" x14ac:dyDescent="0.35">
      <c r="H259" t="str">
        <f t="shared" si="3"/>
        <v/>
      </c>
    </row>
    <row r="260" spans="8:8" x14ac:dyDescent="0.35">
      <c r="H260" t="str">
        <f t="shared" ref="H260:H323" si="4">IF(F260="","",IF(F260&lt;=0,"1",""))</f>
        <v/>
      </c>
    </row>
    <row r="261" spans="8:8" x14ac:dyDescent="0.35">
      <c r="H261" t="str">
        <f t="shared" si="4"/>
        <v/>
      </c>
    </row>
    <row r="262" spans="8:8" x14ac:dyDescent="0.35">
      <c r="H262" t="str">
        <f t="shared" si="4"/>
        <v/>
      </c>
    </row>
    <row r="263" spans="8:8" x14ac:dyDescent="0.35">
      <c r="H263" t="str">
        <f t="shared" si="4"/>
        <v/>
      </c>
    </row>
    <row r="264" spans="8:8" x14ac:dyDescent="0.35">
      <c r="H264" t="str">
        <f t="shared" si="4"/>
        <v/>
      </c>
    </row>
    <row r="265" spans="8:8" x14ac:dyDescent="0.35">
      <c r="H265" t="str">
        <f t="shared" si="4"/>
        <v/>
      </c>
    </row>
    <row r="266" spans="8:8" x14ac:dyDescent="0.35">
      <c r="H266" t="str">
        <f t="shared" si="4"/>
        <v/>
      </c>
    </row>
    <row r="267" spans="8:8" x14ac:dyDescent="0.35">
      <c r="H267" t="str">
        <f t="shared" si="4"/>
        <v/>
      </c>
    </row>
    <row r="268" spans="8:8" x14ac:dyDescent="0.35">
      <c r="H268" t="str">
        <f t="shared" si="4"/>
        <v/>
      </c>
    </row>
    <row r="269" spans="8:8" x14ac:dyDescent="0.35">
      <c r="H269" t="str">
        <f t="shared" si="4"/>
        <v/>
      </c>
    </row>
    <row r="270" spans="8:8" x14ac:dyDescent="0.35">
      <c r="H270" t="str">
        <f t="shared" si="4"/>
        <v/>
      </c>
    </row>
    <row r="271" spans="8:8" x14ac:dyDescent="0.35">
      <c r="H271" t="str">
        <f t="shared" si="4"/>
        <v/>
      </c>
    </row>
    <row r="272" spans="8:8" x14ac:dyDescent="0.35">
      <c r="H272" t="str">
        <f t="shared" si="4"/>
        <v/>
      </c>
    </row>
    <row r="273" spans="8:8" x14ac:dyDescent="0.35">
      <c r="H273" t="str">
        <f t="shared" si="4"/>
        <v/>
      </c>
    </row>
    <row r="274" spans="8:8" x14ac:dyDescent="0.35">
      <c r="H274" t="str">
        <f t="shared" si="4"/>
        <v/>
      </c>
    </row>
    <row r="275" spans="8:8" x14ac:dyDescent="0.35">
      <c r="H275" t="str">
        <f t="shared" si="4"/>
        <v/>
      </c>
    </row>
    <row r="276" spans="8:8" x14ac:dyDescent="0.35">
      <c r="H276" t="str">
        <f t="shared" si="4"/>
        <v/>
      </c>
    </row>
    <row r="277" spans="8:8" x14ac:dyDescent="0.35">
      <c r="H277" t="str">
        <f t="shared" si="4"/>
        <v/>
      </c>
    </row>
    <row r="278" spans="8:8" x14ac:dyDescent="0.35">
      <c r="H278" t="str">
        <f t="shared" si="4"/>
        <v/>
      </c>
    </row>
    <row r="279" spans="8:8" x14ac:dyDescent="0.35">
      <c r="H279" t="str">
        <f t="shared" si="4"/>
        <v/>
      </c>
    </row>
    <row r="280" spans="8:8" x14ac:dyDescent="0.35">
      <c r="H280" t="str">
        <f t="shared" si="4"/>
        <v/>
      </c>
    </row>
    <row r="281" spans="8:8" x14ac:dyDescent="0.35">
      <c r="H281" t="str">
        <f t="shared" si="4"/>
        <v/>
      </c>
    </row>
    <row r="282" spans="8:8" x14ac:dyDescent="0.35">
      <c r="H282" t="str">
        <f t="shared" si="4"/>
        <v/>
      </c>
    </row>
    <row r="283" spans="8:8" x14ac:dyDescent="0.35">
      <c r="H283" t="str">
        <f t="shared" si="4"/>
        <v/>
      </c>
    </row>
    <row r="284" spans="8:8" x14ac:dyDescent="0.35">
      <c r="H284" t="str">
        <f t="shared" si="4"/>
        <v/>
      </c>
    </row>
    <row r="285" spans="8:8" x14ac:dyDescent="0.35">
      <c r="H285" t="str">
        <f t="shared" si="4"/>
        <v/>
      </c>
    </row>
    <row r="286" spans="8:8" x14ac:dyDescent="0.35">
      <c r="H286" t="str">
        <f t="shared" si="4"/>
        <v/>
      </c>
    </row>
    <row r="287" spans="8:8" x14ac:dyDescent="0.35">
      <c r="H287" t="str">
        <f t="shared" si="4"/>
        <v/>
      </c>
    </row>
    <row r="288" spans="8:8" x14ac:dyDescent="0.35">
      <c r="H288" t="str">
        <f t="shared" si="4"/>
        <v/>
      </c>
    </row>
    <row r="289" spans="8:8" x14ac:dyDescent="0.35">
      <c r="H289" t="str">
        <f t="shared" si="4"/>
        <v/>
      </c>
    </row>
    <row r="290" spans="8:8" x14ac:dyDescent="0.35">
      <c r="H290" t="str">
        <f t="shared" si="4"/>
        <v/>
      </c>
    </row>
    <row r="291" spans="8:8" x14ac:dyDescent="0.35">
      <c r="H291" t="str">
        <f t="shared" si="4"/>
        <v/>
      </c>
    </row>
    <row r="292" spans="8:8" x14ac:dyDescent="0.35">
      <c r="H292" t="str">
        <f t="shared" si="4"/>
        <v/>
      </c>
    </row>
    <row r="293" spans="8:8" x14ac:dyDescent="0.35">
      <c r="H293" t="str">
        <f t="shared" si="4"/>
        <v/>
      </c>
    </row>
    <row r="294" spans="8:8" x14ac:dyDescent="0.35">
      <c r="H294" t="str">
        <f t="shared" si="4"/>
        <v/>
      </c>
    </row>
    <row r="295" spans="8:8" x14ac:dyDescent="0.35">
      <c r="H295" t="str">
        <f t="shared" si="4"/>
        <v/>
      </c>
    </row>
    <row r="296" spans="8:8" x14ac:dyDescent="0.35">
      <c r="H296" t="str">
        <f t="shared" si="4"/>
        <v/>
      </c>
    </row>
    <row r="297" spans="8:8" x14ac:dyDescent="0.35">
      <c r="H297" t="str">
        <f t="shared" si="4"/>
        <v/>
      </c>
    </row>
    <row r="298" spans="8:8" x14ac:dyDescent="0.35">
      <c r="H298" t="str">
        <f t="shared" si="4"/>
        <v/>
      </c>
    </row>
    <row r="299" spans="8:8" x14ac:dyDescent="0.35">
      <c r="H299" t="str">
        <f t="shared" si="4"/>
        <v/>
      </c>
    </row>
    <row r="300" spans="8:8" x14ac:dyDescent="0.35">
      <c r="H300" t="str">
        <f t="shared" si="4"/>
        <v/>
      </c>
    </row>
    <row r="301" spans="8:8" x14ac:dyDescent="0.35">
      <c r="H301" t="str">
        <f t="shared" si="4"/>
        <v/>
      </c>
    </row>
    <row r="302" spans="8:8" x14ac:dyDescent="0.35">
      <c r="H302" t="str">
        <f t="shared" si="4"/>
        <v/>
      </c>
    </row>
    <row r="303" spans="8:8" x14ac:dyDescent="0.35">
      <c r="H303" t="str">
        <f t="shared" si="4"/>
        <v/>
      </c>
    </row>
    <row r="304" spans="8:8" x14ac:dyDescent="0.35">
      <c r="H304" t="str">
        <f t="shared" si="4"/>
        <v/>
      </c>
    </row>
    <row r="305" spans="8:8" x14ac:dyDescent="0.35">
      <c r="H305" t="str">
        <f t="shared" si="4"/>
        <v/>
      </c>
    </row>
    <row r="306" spans="8:8" x14ac:dyDescent="0.35">
      <c r="H306" t="str">
        <f t="shared" si="4"/>
        <v/>
      </c>
    </row>
    <row r="307" spans="8:8" x14ac:dyDescent="0.35">
      <c r="H307" t="str">
        <f t="shared" si="4"/>
        <v/>
      </c>
    </row>
    <row r="308" spans="8:8" x14ac:dyDescent="0.35">
      <c r="H308" t="str">
        <f t="shared" si="4"/>
        <v/>
      </c>
    </row>
    <row r="309" spans="8:8" x14ac:dyDescent="0.35">
      <c r="H309" t="str">
        <f t="shared" si="4"/>
        <v/>
      </c>
    </row>
    <row r="310" spans="8:8" x14ac:dyDescent="0.35">
      <c r="H310" t="str">
        <f t="shared" si="4"/>
        <v/>
      </c>
    </row>
    <row r="311" spans="8:8" x14ac:dyDescent="0.35">
      <c r="H311" t="str">
        <f t="shared" si="4"/>
        <v/>
      </c>
    </row>
    <row r="312" spans="8:8" x14ac:dyDescent="0.35">
      <c r="H312" t="str">
        <f t="shared" si="4"/>
        <v/>
      </c>
    </row>
    <row r="313" spans="8:8" x14ac:dyDescent="0.35">
      <c r="H313" t="str">
        <f t="shared" si="4"/>
        <v/>
      </c>
    </row>
    <row r="314" spans="8:8" x14ac:dyDescent="0.35">
      <c r="H314" t="str">
        <f t="shared" si="4"/>
        <v/>
      </c>
    </row>
    <row r="315" spans="8:8" x14ac:dyDescent="0.35">
      <c r="H315" t="str">
        <f t="shared" si="4"/>
        <v/>
      </c>
    </row>
    <row r="316" spans="8:8" x14ac:dyDescent="0.35">
      <c r="H316" t="str">
        <f t="shared" si="4"/>
        <v/>
      </c>
    </row>
    <row r="317" spans="8:8" x14ac:dyDescent="0.35">
      <c r="H317" t="str">
        <f t="shared" si="4"/>
        <v/>
      </c>
    </row>
    <row r="318" spans="8:8" x14ac:dyDescent="0.35">
      <c r="H318" t="str">
        <f t="shared" si="4"/>
        <v/>
      </c>
    </row>
    <row r="319" spans="8:8" x14ac:dyDescent="0.35">
      <c r="H319" t="str">
        <f t="shared" si="4"/>
        <v/>
      </c>
    </row>
    <row r="320" spans="8:8" x14ac:dyDescent="0.35">
      <c r="H320" t="str">
        <f t="shared" si="4"/>
        <v/>
      </c>
    </row>
    <row r="321" spans="8:8" x14ac:dyDescent="0.35">
      <c r="H321" t="str">
        <f t="shared" si="4"/>
        <v/>
      </c>
    </row>
    <row r="322" spans="8:8" x14ac:dyDescent="0.35">
      <c r="H322" t="str">
        <f t="shared" si="4"/>
        <v/>
      </c>
    </row>
    <row r="323" spans="8:8" x14ac:dyDescent="0.35">
      <c r="H323" t="str">
        <f t="shared" si="4"/>
        <v/>
      </c>
    </row>
    <row r="324" spans="8:8" x14ac:dyDescent="0.35">
      <c r="H324" t="str">
        <f t="shared" ref="H324:H387" si="5">IF(F324="","",IF(F324&lt;=0,"1",""))</f>
        <v/>
      </c>
    </row>
    <row r="325" spans="8:8" x14ac:dyDescent="0.35">
      <c r="H325" t="str">
        <f t="shared" si="5"/>
        <v/>
      </c>
    </row>
    <row r="326" spans="8:8" x14ac:dyDescent="0.35">
      <c r="H326" t="str">
        <f t="shared" si="5"/>
        <v/>
      </c>
    </row>
    <row r="327" spans="8:8" x14ac:dyDescent="0.35">
      <c r="H327" t="str">
        <f t="shared" si="5"/>
        <v/>
      </c>
    </row>
    <row r="328" spans="8:8" x14ac:dyDescent="0.35">
      <c r="H328" t="str">
        <f t="shared" si="5"/>
        <v/>
      </c>
    </row>
    <row r="329" spans="8:8" x14ac:dyDescent="0.35">
      <c r="H329" t="str">
        <f t="shared" si="5"/>
        <v/>
      </c>
    </row>
    <row r="330" spans="8:8" x14ac:dyDescent="0.35">
      <c r="H330" t="str">
        <f t="shared" si="5"/>
        <v/>
      </c>
    </row>
    <row r="331" spans="8:8" x14ac:dyDescent="0.35">
      <c r="H331" t="str">
        <f t="shared" si="5"/>
        <v/>
      </c>
    </row>
    <row r="332" spans="8:8" x14ac:dyDescent="0.35">
      <c r="H332" t="str">
        <f t="shared" si="5"/>
        <v/>
      </c>
    </row>
    <row r="333" spans="8:8" x14ac:dyDescent="0.35">
      <c r="H333" t="str">
        <f t="shared" si="5"/>
        <v/>
      </c>
    </row>
    <row r="334" spans="8:8" x14ac:dyDescent="0.35">
      <c r="H334" t="str">
        <f t="shared" si="5"/>
        <v/>
      </c>
    </row>
    <row r="335" spans="8:8" x14ac:dyDescent="0.35">
      <c r="H335" t="str">
        <f t="shared" si="5"/>
        <v/>
      </c>
    </row>
    <row r="336" spans="8:8" x14ac:dyDescent="0.35">
      <c r="H336" t="str">
        <f t="shared" si="5"/>
        <v/>
      </c>
    </row>
    <row r="337" spans="8:8" x14ac:dyDescent="0.35">
      <c r="H337" t="str">
        <f t="shared" si="5"/>
        <v/>
      </c>
    </row>
    <row r="338" spans="8:8" x14ac:dyDescent="0.35">
      <c r="H338" t="str">
        <f t="shared" si="5"/>
        <v/>
      </c>
    </row>
    <row r="339" spans="8:8" x14ac:dyDescent="0.35">
      <c r="H339" t="str">
        <f t="shared" si="5"/>
        <v/>
      </c>
    </row>
    <row r="340" spans="8:8" x14ac:dyDescent="0.35">
      <c r="H340" t="str">
        <f t="shared" si="5"/>
        <v/>
      </c>
    </row>
    <row r="341" spans="8:8" x14ac:dyDescent="0.35">
      <c r="H341" t="str">
        <f t="shared" si="5"/>
        <v/>
      </c>
    </row>
    <row r="342" spans="8:8" x14ac:dyDescent="0.35">
      <c r="H342" t="str">
        <f t="shared" si="5"/>
        <v/>
      </c>
    </row>
    <row r="343" spans="8:8" x14ac:dyDescent="0.35">
      <c r="H343" t="str">
        <f t="shared" si="5"/>
        <v/>
      </c>
    </row>
    <row r="344" spans="8:8" x14ac:dyDescent="0.35">
      <c r="H344" t="str">
        <f t="shared" si="5"/>
        <v/>
      </c>
    </row>
    <row r="345" spans="8:8" x14ac:dyDescent="0.35">
      <c r="H345" t="str">
        <f t="shared" si="5"/>
        <v/>
      </c>
    </row>
    <row r="346" spans="8:8" x14ac:dyDescent="0.35">
      <c r="H346" t="str">
        <f t="shared" si="5"/>
        <v/>
      </c>
    </row>
    <row r="347" spans="8:8" x14ac:dyDescent="0.35">
      <c r="H347" t="str">
        <f t="shared" si="5"/>
        <v/>
      </c>
    </row>
    <row r="348" spans="8:8" x14ac:dyDescent="0.35">
      <c r="H348" t="str">
        <f t="shared" si="5"/>
        <v/>
      </c>
    </row>
    <row r="349" spans="8:8" x14ac:dyDescent="0.35">
      <c r="H349" t="str">
        <f t="shared" si="5"/>
        <v/>
      </c>
    </row>
    <row r="350" spans="8:8" x14ac:dyDescent="0.35">
      <c r="H350" t="str">
        <f t="shared" si="5"/>
        <v/>
      </c>
    </row>
    <row r="351" spans="8:8" x14ac:dyDescent="0.35">
      <c r="H351" t="str">
        <f t="shared" si="5"/>
        <v/>
      </c>
    </row>
    <row r="352" spans="8:8" x14ac:dyDescent="0.35">
      <c r="H352" t="str">
        <f t="shared" si="5"/>
        <v/>
      </c>
    </row>
    <row r="353" spans="8:8" x14ac:dyDescent="0.35">
      <c r="H353" t="str">
        <f t="shared" si="5"/>
        <v/>
      </c>
    </row>
    <row r="354" spans="8:8" x14ac:dyDescent="0.35">
      <c r="H354" t="str">
        <f t="shared" si="5"/>
        <v/>
      </c>
    </row>
    <row r="355" spans="8:8" x14ac:dyDescent="0.35">
      <c r="H355" t="str">
        <f t="shared" si="5"/>
        <v/>
      </c>
    </row>
    <row r="356" spans="8:8" x14ac:dyDescent="0.35">
      <c r="H356" t="str">
        <f t="shared" si="5"/>
        <v/>
      </c>
    </row>
    <row r="357" spans="8:8" x14ac:dyDescent="0.35">
      <c r="H357" t="str">
        <f t="shared" si="5"/>
        <v/>
      </c>
    </row>
    <row r="358" spans="8:8" x14ac:dyDescent="0.35">
      <c r="H358" t="str">
        <f t="shared" si="5"/>
        <v/>
      </c>
    </row>
    <row r="359" spans="8:8" x14ac:dyDescent="0.35">
      <c r="H359" t="str">
        <f t="shared" si="5"/>
        <v/>
      </c>
    </row>
    <row r="360" spans="8:8" x14ac:dyDescent="0.35">
      <c r="H360" t="str">
        <f t="shared" si="5"/>
        <v/>
      </c>
    </row>
    <row r="361" spans="8:8" x14ac:dyDescent="0.35">
      <c r="H361" t="str">
        <f t="shared" si="5"/>
        <v/>
      </c>
    </row>
    <row r="362" spans="8:8" x14ac:dyDescent="0.35">
      <c r="H362" t="str">
        <f t="shared" si="5"/>
        <v/>
      </c>
    </row>
    <row r="363" spans="8:8" x14ac:dyDescent="0.35">
      <c r="H363" t="str">
        <f t="shared" si="5"/>
        <v/>
      </c>
    </row>
    <row r="364" spans="8:8" x14ac:dyDescent="0.35">
      <c r="H364" t="str">
        <f t="shared" si="5"/>
        <v/>
      </c>
    </row>
    <row r="365" spans="8:8" x14ac:dyDescent="0.35">
      <c r="H365" t="str">
        <f t="shared" si="5"/>
        <v/>
      </c>
    </row>
    <row r="366" spans="8:8" x14ac:dyDescent="0.35">
      <c r="H366" t="str">
        <f t="shared" si="5"/>
        <v/>
      </c>
    </row>
    <row r="367" spans="8:8" x14ac:dyDescent="0.35">
      <c r="H367" t="str">
        <f t="shared" si="5"/>
        <v/>
      </c>
    </row>
    <row r="368" spans="8:8" x14ac:dyDescent="0.35">
      <c r="H368" t="str">
        <f t="shared" si="5"/>
        <v/>
      </c>
    </row>
    <row r="369" spans="8:8" x14ac:dyDescent="0.35">
      <c r="H369" t="str">
        <f t="shared" si="5"/>
        <v/>
      </c>
    </row>
    <row r="370" spans="8:8" x14ac:dyDescent="0.35">
      <c r="H370" t="str">
        <f t="shared" si="5"/>
        <v/>
      </c>
    </row>
    <row r="371" spans="8:8" x14ac:dyDescent="0.35">
      <c r="H371" t="str">
        <f t="shared" si="5"/>
        <v/>
      </c>
    </row>
    <row r="372" spans="8:8" x14ac:dyDescent="0.35">
      <c r="H372" t="str">
        <f t="shared" si="5"/>
        <v/>
      </c>
    </row>
    <row r="373" spans="8:8" x14ac:dyDescent="0.35">
      <c r="H373" t="str">
        <f t="shared" si="5"/>
        <v/>
      </c>
    </row>
    <row r="374" spans="8:8" x14ac:dyDescent="0.35">
      <c r="H374" t="str">
        <f t="shared" si="5"/>
        <v/>
      </c>
    </row>
    <row r="375" spans="8:8" x14ac:dyDescent="0.35">
      <c r="H375" t="str">
        <f t="shared" si="5"/>
        <v/>
      </c>
    </row>
    <row r="376" spans="8:8" x14ac:dyDescent="0.35">
      <c r="H376" t="str">
        <f t="shared" si="5"/>
        <v/>
      </c>
    </row>
    <row r="377" spans="8:8" x14ac:dyDescent="0.35">
      <c r="H377" t="str">
        <f t="shared" si="5"/>
        <v/>
      </c>
    </row>
    <row r="378" spans="8:8" x14ac:dyDescent="0.35">
      <c r="H378" t="str">
        <f t="shared" si="5"/>
        <v/>
      </c>
    </row>
    <row r="379" spans="8:8" x14ac:dyDescent="0.35">
      <c r="H379" t="str">
        <f t="shared" si="5"/>
        <v/>
      </c>
    </row>
    <row r="380" spans="8:8" x14ac:dyDescent="0.35">
      <c r="H380" t="str">
        <f t="shared" si="5"/>
        <v/>
      </c>
    </row>
    <row r="381" spans="8:8" x14ac:dyDescent="0.35">
      <c r="H381" t="str">
        <f t="shared" si="5"/>
        <v/>
      </c>
    </row>
    <row r="382" spans="8:8" x14ac:dyDescent="0.35">
      <c r="H382" t="str">
        <f t="shared" si="5"/>
        <v/>
      </c>
    </row>
    <row r="383" spans="8:8" x14ac:dyDescent="0.35">
      <c r="H383" t="str">
        <f t="shared" si="5"/>
        <v/>
      </c>
    </row>
    <row r="384" spans="8:8" x14ac:dyDescent="0.35">
      <c r="H384" t="str">
        <f t="shared" si="5"/>
        <v/>
      </c>
    </row>
    <row r="385" spans="8:8" x14ac:dyDescent="0.35">
      <c r="H385" t="str">
        <f t="shared" si="5"/>
        <v/>
      </c>
    </row>
    <row r="386" spans="8:8" x14ac:dyDescent="0.35">
      <c r="H386" t="str">
        <f t="shared" si="5"/>
        <v/>
      </c>
    </row>
    <row r="387" spans="8:8" x14ac:dyDescent="0.35">
      <c r="H387" t="str">
        <f t="shared" si="5"/>
        <v/>
      </c>
    </row>
    <row r="388" spans="8:8" x14ac:dyDescent="0.35">
      <c r="H388" t="str">
        <f t="shared" ref="H388:H451" si="6">IF(F388="","",IF(F388&lt;=0,"1",""))</f>
        <v/>
      </c>
    </row>
    <row r="389" spans="8:8" x14ac:dyDescent="0.35">
      <c r="H389" t="str">
        <f t="shared" si="6"/>
        <v/>
      </c>
    </row>
    <row r="390" spans="8:8" x14ac:dyDescent="0.35">
      <c r="H390" t="str">
        <f t="shared" si="6"/>
        <v/>
      </c>
    </row>
    <row r="391" spans="8:8" x14ac:dyDescent="0.35">
      <c r="H391" t="str">
        <f t="shared" si="6"/>
        <v/>
      </c>
    </row>
    <row r="392" spans="8:8" x14ac:dyDescent="0.35">
      <c r="H392" t="str">
        <f t="shared" si="6"/>
        <v/>
      </c>
    </row>
    <row r="393" spans="8:8" x14ac:dyDescent="0.35">
      <c r="H393" t="str">
        <f t="shared" si="6"/>
        <v/>
      </c>
    </row>
    <row r="394" spans="8:8" x14ac:dyDescent="0.35">
      <c r="H394" t="str">
        <f t="shared" si="6"/>
        <v/>
      </c>
    </row>
    <row r="395" spans="8:8" x14ac:dyDescent="0.35">
      <c r="H395" t="str">
        <f t="shared" si="6"/>
        <v/>
      </c>
    </row>
    <row r="396" spans="8:8" x14ac:dyDescent="0.35">
      <c r="H396" t="str">
        <f t="shared" si="6"/>
        <v/>
      </c>
    </row>
    <row r="397" spans="8:8" x14ac:dyDescent="0.35">
      <c r="H397" t="str">
        <f t="shared" si="6"/>
        <v/>
      </c>
    </row>
    <row r="398" spans="8:8" x14ac:dyDescent="0.35">
      <c r="H398" t="str">
        <f t="shared" si="6"/>
        <v/>
      </c>
    </row>
    <row r="399" spans="8:8" x14ac:dyDescent="0.35">
      <c r="H399" t="str">
        <f t="shared" si="6"/>
        <v/>
      </c>
    </row>
    <row r="400" spans="8:8" x14ac:dyDescent="0.35">
      <c r="H400" t="str">
        <f t="shared" si="6"/>
        <v/>
      </c>
    </row>
    <row r="401" spans="8:8" x14ac:dyDescent="0.35">
      <c r="H401" t="str">
        <f t="shared" si="6"/>
        <v/>
      </c>
    </row>
    <row r="402" spans="8:8" x14ac:dyDescent="0.35">
      <c r="H402" t="str">
        <f t="shared" si="6"/>
        <v/>
      </c>
    </row>
    <row r="403" spans="8:8" x14ac:dyDescent="0.35">
      <c r="H403" t="str">
        <f t="shared" si="6"/>
        <v/>
      </c>
    </row>
    <row r="404" spans="8:8" x14ac:dyDescent="0.35">
      <c r="H404" t="str">
        <f t="shared" si="6"/>
        <v/>
      </c>
    </row>
    <row r="405" spans="8:8" x14ac:dyDescent="0.35">
      <c r="H405" t="str">
        <f t="shared" si="6"/>
        <v/>
      </c>
    </row>
    <row r="406" spans="8:8" x14ac:dyDescent="0.35">
      <c r="H406" t="str">
        <f t="shared" si="6"/>
        <v/>
      </c>
    </row>
    <row r="407" spans="8:8" x14ac:dyDescent="0.35">
      <c r="H407" t="str">
        <f t="shared" si="6"/>
        <v/>
      </c>
    </row>
    <row r="408" spans="8:8" x14ac:dyDescent="0.35">
      <c r="H408" t="str">
        <f t="shared" si="6"/>
        <v/>
      </c>
    </row>
    <row r="409" spans="8:8" x14ac:dyDescent="0.35">
      <c r="H409" t="str">
        <f t="shared" si="6"/>
        <v/>
      </c>
    </row>
    <row r="410" spans="8:8" x14ac:dyDescent="0.35">
      <c r="H410" t="str">
        <f t="shared" si="6"/>
        <v/>
      </c>
    </row>
    <row r="411" spans="8:8" x14ac:dyDescent="0.35">
      <c r="H411" t="str">
        <f t="shared" si="6"/>
        <v/>
      </c>
    </row>
    <row r="412" spans="8:8" x14ac:dyDescent="0.35">
      <c r="H412" t="str">
        <f t="shared" si="6"/>
        <v/>
      </c>
    </row>
    <row r="413" spans="8:8" x14ac:dyDescent="0.35">
      <c r="H413" t="str">
        <f t="shared" si="6"/>
        <v/>
      </c>
    </row>
    <row r="414" spans="8:8" x14ac:dyDescent="0.35">
      <c r="H414" t="str">
        <f t="shared" si="6"/>
        <v/>
      </c>
    </row>
    <row r="415" spans="8:8" x14ac:dyDescent="0.35">
      <c r="H415" t="str">
        <f t="shared" si="6"/>
        <v/>
      </c>
    </row>
    <row r="416" spans="8:8" x14ac:dyDescent="0.35">
      <c r="H416" t="str">
        <f t="shared" si="6"/>
        <v/>
      </c>
    </row>
    <row r="417" spans="8:8" x14ac:dyDescent="0.35">
      <c r="H417" t="str">
        <f t="shared" si="6"/>
        <v/>
      </c>
    </row>
    <row r="418" spans="8:8" x14ac:dyDescent="0.35">
      <c r="H418" t="str">
        <f t="shared" si="6"/>
        <v/>
      </c>
    </row>
    <row r="419" spans="8:8" x14ac:dyDescent="0.35">
      <c r="H419" t="str">
        <f t="shared" si="6"/>
        <v/>
      </c>
    </row>
    <row r="420" spans="8:8" x14ac:dyDescent="0.35">
      <c r="H420" t="str">
        <f t="shared" si="6"/>
        <v/>
      </c>
    </row>
    <row r="421" spans="8:8" x14ac:dyDescent="0.35">
      <c r="H421" t="str">
        <f t="shared" si="6"/>
        <v/>
      </c>
    </row>
    <row r="422" spans="8:8" x14ac:dyDescent="0.35">
      <c r="H422" t="str">
        <f t="shared" si="6"/>
        <v/>
      </c>
    </row>
    <row r="423" spans="8:8" x14ac:dyDescent="0.35">
      <c r="H423" t="str">
        <f t="shared" si="6"/>
        <v/>
      </c>
    </row>
    <row r="424" spans="8:8" x14ac:dyDescent="0.35">
      <c r="H424" t="str">
        <f t="shared" si="6"/>
        <v/>
      </c>
    </row>
    <row r="425" spans="8:8" x14ac:dyDescent="0.35">
      <c r="H425" t="str">
        <f t="shared" si="6"/>
        <v/>
      </c>
    </row>
    <row r="426" spans="8:8" x14ac:dyDescent="0.35">
      <c r="H426" t="str">
        <f t="shared" si="6"/>
        <v/>
      </c>
    </row>
    <row r="427" spans="8:8" x14ac:dyDescent="0.35">
      <c r="H427" t="str">
        <f t="shared" si="6"/>
        <v/>
      </c>
    </row>
    <row r="428" spans="8:8" x14ac:dyDescent="0.35">
      <c r="H428" t="str">
        <f t="shared" si="6"/>
        <v/>
      </c>
    </row>
    <row r="429" spans="8:8" x14ac:dyDescent="0.35">
      <c r="H429" t="str">
        <f t="shared" si="6"/>
        <v/>
      </c>
    </row>
    <row r="430" spans="8:8" x14ac:dyDescent="0.35">
      <c r="H430" t="str">
        <f t="shared" si="6"/>
        <v/>
      </c>
    </row>
    <row r="431" spans="8:8" x14ac:dyDescent="0.35">
      <c r="H431" t="str">
        <f t="shared" si="6"/>
        <v/>
      </c>
    </row>
    <row r="432" spans="8:8" x14ac:dyDescent="0.35">
      <c r="H432" t="str">
        <f t="shared" si="6"/>
        <v/>
      </c>
    </row>
    <row r="433" spans="8:8" x14ac:dyDescent="0.35">
      <c r="H433" t="str">
        <f t="shared" si="6"/>
        <v/>
      </c>
    </row>
    <row r="434" spans="8:8" x14ac:dyDescent="0.35">
      <c r="H434" t="str">
        <f t="shared" si="6"/>
        <v/>
      </c>
    </row>
    <row r="435" spans="8:8" x14ac:dyDescent="0.35">
      <c r="H435" t="str">
        <f t="shared" si="6"/>
        <v/>
      </c>
    </row>
    <row r="436" spans="8:8" x14ac:dyDescent="0.35">
      <c r="H436" t="str">
        <f t="shared" si="6"/>
        <v/>
      </c>
    </row>
    <row r="437" spans="8:8" x14ac:dyDescent="0.35">
      <c r="H437" t="str">
        <f t="shared" si="6"/>
        <v/>
      </c>
    </row>
    <row r="438" spans="8:8" x14ac:dyDescent="0.35">
      <c r="H438" t="str">
        <f t="shared" si="6"/>
        <v/>
      </c>
    </row>
    <row r="439" spans="8:8" x14ac:dyDescent="0.35">
      <c r="H439" t="str">
        <f t="shared" si="6"/>
        <v/>
      </c>
    </row>
    <row r="440" spans="8:8" x14ac:dyDescent="0.35">
      <c r="H440" t="str">
        <f t="shared" si="6"/>
        <v/>
      </c>
    </row>
    <row r="441" spans="8:8" x14ac:dyDescent="0.35">
      <c r="H441" t="str">
        <f t="shared" si="6"/>
        <v/>
      </c>
    </row>
    <row r="442" spans="8:8" x14ac:dyDescent="0.35">
      <c r="H442" t="str">
        <f t="shared" si="6"/>
        <v/>
      </c>
    </row>
    <row r="443" spans="8:8" x14ac:dyDescent="0.35">
      <c r="H443" t="str">
        <f t="shared" si="6"/>
        <v/>
      </c>
    </row>
    <row r="444" spans="8:8" x14ac:dyDescent="0.35">
      <c r="H444" t="str">
        <f t="shared" si="6"/>
        <v/>
      </c>
    </row>
    <row r="445" spans="8:8" x14ac:dyDescent="0.35">
      <c r="H445" t="str">
        <f t="shared" si="6"/>
        <v/>
      </c>
    </row>
    <row r="446" spans="8:8" x14ac:dyDescent="0.35">
      <c r="H446" t="str">
        <f t="shared" si="6"/>
        <v/>
      </c>
    </row>
    <row r="447" spans="8:8" x14ac:dyDescent="0.35">
      <c r="H447" t="str">
        <f t="shared" si="6"/>
        <v/>
      </c>
    </row>
    <row r="448" spans="8:8" x14ac:dyDescent="0.35">
      <c r="H448" t="str">
        <f t="shared" si="6"/>
        <v/>
      </c>
    </row>
    <row r="449" spans="8:8" x14ac:dyDescent="0.35">
      <c r="H449" t="str">
        <f t="shared" si="6"/>
        <v/>
      </c>
    </row>
    <row r="450" spans="8:8" x14ac:dyDescent="0.35">
      <c r="H450" t="str">
        <f t="shared" si="6"/>
        <v/>
      </c>
    </row>
    <row r="451" spans="8:8" x14ac:dyDescent="0.35">
      <c r="H451" t="str">
        <f t="shared" si="6"/>
        <v/>
      </c>
    </row>
    <row r="452" spans="8:8" x14ac:dyDescent="0.35">
      <c r="H452" t="str">
        <f t="shared" ref="H452:H515" si="7">IF(F452="","",IF(F452&lt;=0,"1",""))</f>
        <v/>
      </c>
    </row>
    <row r="453" spans="8:8" x14ac:dyDescent="0.35">
      <c r="H453" t="str">
        <f t="shared" si="7"/>
        <v/>
      </c>
    </row>
    <row r="454" spans="8:8" x14ac:dyDescent="0.35">
      <c r="H454" t="str">
        <f t="shared" si="7"/>
        <v/>
      </c>
    </row>
    <row r="455" spans="8:8" x14ac:dyDescent="0.35">
      <c r="H455" t="str">
        <f t="shared" si="7"/>
        <v/>
      </c>
    </row>
    <row r="456" spans="8:8" x14ac:dyDescent="0.35">
      <c r="H456" t="str">
        <f t="shared" si="7"/>
        <v/>
      </c>
    </row>
    <row r="457" spans="8:8" x14ac:dyDescent="0.35">
      <c r="H457" t="str">
        <f t="shared" si="7"/>
        <v/>
      </c>
    </row>
    <row r="458" spans="8:8" x14ac:dyDescent="0.35">
      <c r="H458" t="str">
        <f t="shared" si="7"/>
        <v/>
      </c>
    </row>
    <row r="459" spans="8:8" x14ac:dyDescent="0.35">
      <c r="H459" t="str">
        <f t="shared" si="7"/>
        <v/>
      </c>
    </row>
    <row r="460" spans="8:8" x14ac:dyDescent="0.35">
      <c r="H460" t="str">
        <f t="shared" si="7"/>
        <v/>
      </c>
    </row>
    <row r="461" spans="8:8" x14ac:dyDescent="0.35">
      <c r="H461" t="str">
        <f t="shared" si="7"/>
        <v/>
      </c>
    </row>
    <row r="462" spans="8:8" x14ac:dyDescent="0.35">
      <c r="H462" t="str">
        <f t="shared" si="7"/>
        <v/>
      </c>
    </row>
    <row r="463" spans="8:8" x14ac:dyDescent="0.35">
      <c r="H463" t="str">
        <f t="shared" si="7"/>
        <v/>
      </c>
    </row>
    <row r="464" spans="8:8" x14ac:dyDescent="0.35">
      <c r="H464" t="str">
        <f t="shared" si="7"/>
        <v/>
      </c>
    </row>
    <row r="465" spans="8:8" x14ac:dyDescent="0.35">
      <c r="H465" t="str">
        <f t="shared" si="7"/>
        <v/>
      </c>
    </row>
    <row r="466" spans="8:8" x14ac:dyDescent="0.35">
      <c r="H466" t="str">
        <f t="shared" si="7"/>
        <v/>
      </c>
    </row>
    <row r="467" spans="8:8" x14ac:dyDescent="0.35">
      <c r="H467" t="str">
        <f t="shared" si="7"/>
        <v/>
      </c>
    </row>
    <row r="468" spans="8:8" x14ac:dyDescent="0.35">
      <c r="H468" t="str">
        <f t="shared" si="7"/>
        <v/>
      </c>
    </row>
    <row r="469" spans="8:8" x14ac:dyDescent="0.35">
      <c r="H469" t="str">
        <f t="shared" si="7"/>
        <v/>
      </c>
    </row>
    <row r="470" spans="8:8" x14ac:dyDescent="0.35">
      <c r="H470" t="str">
        <f t="shared" si="7"/>
        <v/>
      </c>
    </row>
    <row r="471" spans="8:8" x14ac:dyDescent="0.35">
      <c r="H471" t="str">
        <f t="shared" si="7"/>
        <v/>
      </c>
    </row>
    <row r="472" spans="8:8" x14ac:dyDescent="0.35">
      <c r="H472" t="str">
        <f t="shared" si="7"/>
        <v/>
      </c>
    </row>
    <row r="473" spans="8:8" x14ac:dyDescent="0.35">
      <c r="H473" t="str">
        <f t="shared" si="7"/>
        <v/>
      </c>
    </row>
    <row r="474" spans="8:8" x14ac:dyDescent="0.35">
      <c r="H474" t="str">
        <f t="shared" si="7"/>
        <v/>
      </c>
    </row>
    <row r="475" spans="8:8" x14ac:dyDescent="0.35">
      <c r="H475" t="str">
        <f t="shared" si="7"/>
        <v/>
      </c>
    </row>
    <row r="476" spans="8:8" x14ac:dyDescent="0.35">
      <c r="H476" t="str">
        <f t="shared" si="7"/>
        <v/>
      </c>
    </row>
    <row r="477" spans="8:8" x14ac:dyDescent="0.35">
      <c r="H477" t="str">
        <f t="shared" si="7"/>
        <v/>
      </c>
    </row>
    <row r="478" spans="8:8" x14ac:dyDescent="0.35">
      <c r="H478" t="str">
        <f t="shared" si="7"/>
        <v/>
      </c>
    </row>
    <row r="479" spans="8:8" x14ac:dyDescent="0.35">
      <c r="H479" t="str">
        <f t="shared" si="7"/>
        <v/>
      </c>
    </row>
    <row r="480" spans="8:8" x14ac:dyDescent="0.35">
      <c r="H480" t="str">
        <f t="shared" si="7"/>
        <v/>
      </c>
    </row>
    <row r="481" spans="8:8" x14ac:dyDescent="0.35">
      <c r="H481" t="str">
        <f t="shared" si="7"/>
        <v/>
      </c>
    </row>
    <row r="482" spans="8:8" x14ac:dyDescent="0.35">
      <c r="H482" t="str">
        <f t="shared" si="7"/>
        <v/>
      </c>
    </row>
    <row r="483" spans="8:8" x14ac:dyDescent="0.35">
      <c r="H483" t="str">
        <f t="shared" si="7"/>
        <v/>
      </c>
    </row>
    <row r="484" spans="8:8" x14ac:dyDescent="0.35">
      <c r="H484" t="str">
        <f t="shared" si="7"/>
        <v/>
      </c>
    </row>
    <row r="485" spans="8:8" x14ac:dyDescent="0.35">
      <c r="H485" t="str">
        <f t="shared" si="7"/>
        <v/>
      </c>
    </row>
    <row r="486" spans="8:8" x14ac:dyDescent="0.35">
      <c r="H486" t="str">
        <f t="shared" si="7"/>
        <v/>
      </c>
    </row>
    <row r="487" spans="8:8" x14ac:dyDescent="0.35">
      <c r="H487" t="str">
        <f t="shared" si="7"/>
        <v/>
      </c>
    </row>
    <row r="488" spans="8:8" x14ac:dyDescent="0.35">
      <c r="H488" t="str">
        <f t="shared" si="7"/>
        <v/>
      </c>
    </row>
    <row r="489" spans="8:8" x14ac:dyDescent="0.35">
      <c r="H489" t="str">
        <f t="shared" si="7"/>
        <v/>
      </c>
    </row>
    <row r="490" spans="8:8" x14ac:dyDescent="0.35">
      <c r="H490" t="str">
        <f t="shared" si="7"/>
        <v/>
      </c>
    </row>
    <row r="491" spans="8:8" x14ac:dyDescent="0.35">
      <c r="H491" t="str">
        <f t="shared" si="7"/>
        <v/>
      </c>
    </row>
    <row r="492" spans="8:8" x14ac:dyDescent="0.35">
      <c r="H492" t="str">
        <f t="shared" si="7"/>
        <v/>
      </c>
    </row>
    <row r="493" spans="8:8" x14ac:dyDescent="0.35">
      <c r="H493" t="str">
        <f t="shared" si="7"/>
        <v/>
      </c>
    </row>
    <row r="494" spans="8:8" x14ac:dyDescent="0.35">
      <c r="H494" t="str">
        <f t="shared" si="7"/>
        <v/>
      </c>
    </row>
    <row r="495" spans="8:8" x14ac:dyDescent="0.35">
      <c r="H495" t="str">
        <f t="shared" si="7"/>
        <v/>
      </c>
    </row>
    <row r="496" spans="8:8" x14ac:dyDescent="0.35">
      <c r="H496" t="str">
        <f t="shared" si="7"/>
        <v/>
      </c>
    </row>
    <row r="497" spans="8:8" x14ac:dyDescent="0.35">
      <c r="H497" t="str">
        <f t="shared" si="7"/>
        <v/>
      </c>
    </row>
    <row r="498" spans="8:8" x14ac:dyDescent="0.35">
      <c r="H498" t="str">
        <f t="shared" si="7"/>
        <v/>
      </c>
    </row>
    <row r="499" spans="8:8" x14ac:dyDescent="0.35">
      <c r="H499" t="str">
        <f t="shared" si="7"/>
        <v/>
      </c>
    </row>
    <row r="500" spans="8:8" x14ac:dyDescent="0.35">
      <c r="H500" t="str">
        <f t="shared" si="7"/>
        <v/>
      </c>
    </row>
    <row r="501" spans="8:8" x14ac:dyDescent="0.35">
      <c r="H501" t="str">
        <f t="shared" si="7"/>
        <v/>
      </c>
    </row>
    <row r="502" spans="8:8" x14ac:dyDescent="0.35">
      <c r="H502" t="str">
        <f t="shared" si="7"/>
        <v/>
      </c>
    </row>
    <row r="503" spans="8:8" x14ac:dyDescent="0.35">
      <c r="H503" t="str">
        <f t="shared" si="7"/>
        <v/>
      </c>
    </row>
    <row r="504" spans="8:8" x14ac:dyDescent="0.35">
      <c r="H504" t="str">
        <f t="shared" si="7"/>
        <v/>
      </c>
    </row>
    <row r="505" spans="8:8" x14ac:dyDescent="0.35">
      <c r="H505" t="str">
        <f t="shared" si="7"/>
        <v/>
      </c>
    </row>
    <row r="506" spans="8:8" x14ac:dyDescent="0.35">
      <c r="H506" t="str">
        <f t="shared" si="7"/>
        <v/>
      </c>
    </row>
    <row r="507" spans="8:8" x14ac:dyDescent="0.35">
      <c r="H507" t="str">
        <f t="shared" si="7"/>
        <v/>
      </c>
    </row>
    <row r="508" spans="8:8" x14ac:dyDescent="0.35">
      <c r="H508" t="str">
        <f t="shared" si="7"/>
        <v/>
      </c>
    </row>
    <row r="509" spans="8:8" x14ac:dyDescent="0.35">
      <c r="H509" t="str">
        <f t="shared" si="7"/>
        <v/>
      </c>
    </row>
    <row r="510" spans="8:8" x14ac:dyDescent="0.35">
      <c r="H510" t="str">
        <f t="shared" si="7"/>
        <v/>
      </c>
    </row>
    <row r="511" spans="8:8" x14ac:dyDescent="0.35">
      <c r="H511" t="str">
        <f t="shared" si="7"/>
        <v/>
      </c>
    </row>
    <row r="512" spans="8:8" x14ac:dyDescent="0.35">
      <c r="H512" t="str">
        <f t="shared" si="7"/>
        <v/>
      </c>
    </row>
    <row r="513" spans="8:8" x14ac:dyDescent="0.35">
      <c r="H513" t="str">
        <f t="shared" si="7"/>
        <v/>
      </c>
    </row>
    <row r="514" spans="8:8" x14ac:dyDescent="0.35">
      <c r="H514" t="str">
        <f t="shared" si="7"/>
        <v/>
      </c>
    </row>
    <row r="515" spans="8:8" x14ac:dyDescent="0.35">
      <c r="H515" t="str">
        <f t="shared" si="7"/>
        <v/>
      </c>
    </row>
    <row r="516" spans="8:8" x14ac:dyDescent="0.35">
      <c r="H516" t="str">
        <f t="shared" ref="H516:H579" si="8">IF(F516="","",IF(F516&lt;=0,"1",""))</f>
        <v/>
      </c>
    </row>
    <row r="517" spans="8:8" x14ac:dyDescent="0.35">
      <c r="H517" t="str">
        <f t="shared" si="8"/>
        <v/>
      </c>
    </row>
    <row r="518" spans="8:8" x14ac:dyDescent="0.35">
      <c r="H518" t="str">
        <f t="shared" si="8"/>
        <v/>
      </c>
    </row>
    <row r="519" spans="8:8" x14ac:dyDescent="0.35">
      <c r="H519" t="str">
        <f t="shared" si="8"/>
        <v/>
      </c>
    </row>
    <row r="520" spans="8:8" x14ac:dyDescent="0.35">
      <c r="H520" t="str">
        <f t="shared" si="8"/>
        <v/>
      </c>
    </row>
    <row r="521" spans="8:8" x14ac:dyDescent="0.35">
      <c r="H521" t="str">
        <f t="shared" si="8"/>
        <v/>
      </c>
    </row>
    <row r="522" spans="8:8" x14ac:dyDescent="0.35">
      <c r="H522" t="str">
        <f t="shared" si="8"/>
        <v/>
      </c>
    </row>
    <row r="523" spans="8:8" x14ac:dyDescent="0.35">
      <c r="H523" t="str">
        <f t="shared" si="8"/>
        <v/>
      </c>
    </row>
    <row r="524" spans="8:8" x14ac:dyDescent="0.35">
      <c r="H524" t="str">
        <f t="shared" si="8"/>
        <v/>
      </c>
    </row>
    <row r="525" spans="8:8" x14ac:dyDescent="0.35">
      <c r="H525" t="str">
        <f t="shared" si="8"/>
        <v/>
      </c>
    </row>
    <row r="526" spans="8:8" x14ac:dyDescent="0.35">
      <c r="H526" t="str">
        <f t="shared" si="8"/>
        <v/>
      </c>
    </row>
    <row r="527" spans="8:8" x14ac:dyDescent="0.35">
      <c r="H527" t="str">
        <f t="shared" si="8"/>
        <v/>
      </c>
    </row>
    <row r="528" spans="8:8" x14ac:dyDescent="0.35">
      <c r="H528" t="str">
        <f t="shared" si="8"/>
        <v/>
      </c>
    </row>
    <row r="529" spans="8:8" x14ac:dyDescent="0.35">
      <c r="H529" t="str">
        <f t="shared" si="8"/>
        <v/>
      </c>
    </row>
    <row r="530" spans="8:8" x14ac:dyDescent="0.35">
      <c r="H530" t="str">
        <f t="shared" si="8"/>
        <v/>
      </c>
    </row>
    <row r="531" spans="8:8" x14ac:dyDescent="0.35">
      <c r="H531" t="str">
        <f t="shared" si="8"/>
        <v/>
      </c>
    </row>
    <row r="532" spans="8:8" x14ac:dyDescent="0.35">
      <c r="H532" t="str">
        <f t="shared" si="8"/>
        <v/>
      </c>
    </row>
    <row r="533" spans="8:8" x14ac:dyDescent="0.35">
      <c r="H533" t="str">
        <f t="shared" si="8"/>
        <v/>
      </c>
    </row>
    <row r="534" spans="8:8" x14ac:dyDescent="0.35">
      <c r="H534" t="str">
        <f t="shared" si="8"/>
        <v/>
      </c>
    </row>
    <row r="535" spans="8:8" x14ac:dyDescent="0.35">
      <c r="H535" t="str">
        <f t="shared" si="8"/>
        <v/>
      </c>
    </row>
    <row r="536" spans="8:8" x14ac:dyDescent="0.35">
      <c r="H536" t="str">
        <f t="shared" si="8"/>
        <v/>
      </c>
    </row>
    <row r="537" spans="8:8" x14ac:dyDescent="0.35">
      <c r="H537" t="str">
        <f t="shared" si="8"/>
        <v/>
      </c>
    </row>
    <row r="538" spans="8:8" x14ac:dyDescent="0.35">
      <c r="H538" t="str">
        <f t="shared" si="8"/>
        <v/>
      </c>
    </row>
    <row r="539" spans="8:8" x14ac:dyDescent="0.35">
      <c r="H539" t="str">
        <f t="shared" si="8"/>
        <v/>
      </c>
    </row>
    <row r="540" spans="8:8" x14ac:dyDescent="0.35">
      <c r="H540" t="str">
        <f t="shared" si="8"/>
        <v/>
      </c>
    </row>
    <row r="541" spans="8:8" x14ac:dyDescent="0.35">
      <c r="H541" t="str">
        <f t="shared" si="8"/>
        <v/>
      </c>
    </row>
    <row r="542" spans="8:8" x14ac:dyDescent="0.35">
      <c r="H542" t="str">
        <f t="shared" si="8"/>
        <v/>
      </c>
    </row>
    <row r="543" spans="8:8" x14ac:dyDescent="0.35">
      <c r="H543" t="str">
        <f t="shared" si="8"/>
        <v/>
      </c>
    </row>
    <row r="544" spans="8:8" x14ac:dyDescent="0.35">
      <c r="H544" t="str">
        <f t="shared" si="8"/>
        <v/>
      </c>
    </row>
    <row r="545" spans="8:8" x14ac:dyDescent="0.35">
      <c r="H545" t="str">
        <f t="shared" si="8"/>
        <v/>
      </c>
    </row>
    <row r="546" spans="8:8" x14ac:dyDescent="0.35">
      <c r="H546" t="str">
        <f t="shared" si="8"/>
        <v/>
      </c>
    </row>
    <row r="547" spans="8:8" x14ac:dyDescent="0.35">
      <c r="H547" t="str">
        <f t="shared" si="8"/>
        <v/>
      </c>
    </row>
    <row r="548" spans="8:8" x14ac:dyDescent="0.35">
      <c r="H548" t="str">
        <f t="shared" si="8"/>
        <v/>
      </c>
    </row>
    <row r="549" spans="8:8" x14ac:dyDescent="0.35">
      <c r="H549" t="str">
        <f t="shared" si="8"/>
        <v/>
      </c>
    </row>
    <row r="550" spans="8:8" x14ac:dyDescent="0.35">
      <c r="H550" t="str">
        <f t="shared" si="8"/>
        <v/>
      </c>
    </row>
    <row r="551" spans="8:8" x14ac:dyDescent="0.35">
      <c r="H551" t="str">
        <f t="shared" si="8"/>
        <v/>
      </c>
    </row>
    <row r="552" spans="8:8" x14ac:dyDescent="0.35">
      <c r="H552" t="str">
        <f t="shared" si="8"/>
        <v/>
      </c>
    </row>
    <row r="553" spans="8:8" x14ac:dyDescent="0.35">
      <c r="H553" t="str">
        <f t="shared" si="8"/>
        <v/>
      </c>
    </row>
    <row r="554" spans="8:8" x14ac:dyDescent="0.35">
      <c r="H554" t="str">
        <f t="shared" si="8"/>
        <v/>
      </c>
    </row>
    <row r="555" spans="8:8" x14ac:dyDescent="0.35">
      <c r="H555" t="str">
        <f t="shared" si="8"/>
        <v/>
      </c>
    </row>
    <row r="556" spans="8:8" x14ac:dyDescent="0.35">
      <c r="H556" t="str">
        <f t="shared" si="8"/>
        <v/>
      </c>
    </row>
    <row r="557" spans="8:8" x14ac:dyDescent="0.35">
      <c r="H557" t="str">
        <f t="shared" si="8"/>
        <v/>
      </c>
    </row>
    <row r="558" spans="8:8" x14ac:dyDescent="0.35">
      <c r="H558" t="str">
        <f t="shared" si="8"/>
        <v/>
      </c>
    </row>
    <row r="559" spans="8:8" x14ac:dyDescent="0.35">
      <c r="H559" t="str">
        <f t="shared" si="8"/>
        <v/>
      </c>
    </row>
    <row r="560" spans="8:8" x14ac:dyDescent="0.35">
      <c r="H560" t="str">
        <f t="shared" si="8"/>
        <v/>
      </c>
    </row>
    <row r="561" spans="8:8" x14ac:dyDescent="0.35">
      <c r="H561" t="str">
        <f t="shared" si="8"/>
        <v/>
      </c>
    </row>
    <row r="562" spans="8:8" x14ac:dyDescent="0.35">
      <c r="H562" t="str">
        <f t="shared" si="8"/>
        <v/>
      </c>
    </row>
    <row r="563" spans="8:8" x14ac:dyDescent="0.35">
      <c r="H563" t="str">
        <f t="shared" si="8"/>
        <v/>
      </c>
    </row>
    <row r="564" spans="8:8" x14ac:dyDescent="0.35">
      <c r="H564" t="str">
        <f t="shared" si="8"/>
        <v/>
      </c>
    </row>
    <row r="565" spans="8:8" x14ac:dyDescent="0.35">
      <c r="H565" t="str">
        <f t="shared" si="8"/>
        <v/>
      </c>
    </row>
    <row r="566" spans="8:8" x14ac:dyDescent="0.35">
      <c r="H566" t="str">
        <f t="shared" si="8"/>
        <v/>
      </c>
    </row>
    <row r="567" spans="8:8" x14ac:dyDescent="0.35">
      <c r="H567" t="str">
        <f t="shared" si="8"/>
        <v/>
      </c>
    </row>
    <row r="568" spans="8:8" x14ac:dyDescent="0.35">
      <c r="H568" t="str">
        <f t="shared" si="8"/>
        <v/>
      </c>
    </row>
    <row r="569" spans="8:8" x14ac:dyDescent="0.35">
      <c r="H569" t="str">
        <f t="shared" si="8"/>
        <v/>
      </c>
    </row>
    <row r="570" spans="8:8" x14ac:dyDescent="0.35">
      <c r="H570" t="str">
        <f t="shared" si="8"/>
        <v/>
      </c>
    </row>
    <row r="571" spans="8:8" x14ac:dyDescent="0.35">
      <c r="H571" t="str">
        <f t="shared" si="8"/>
        <v/>
      </c>
    </row>
    <row r="572" spans="8:8" x14ac:dyDescent="0.35">
      <c r="H572" t="str">
        <f t="shared" si="8"/>
        <v/>
      </c>
    </row>
    <row r="573" spans="8:8" x14ac:dyDescent="0.35">
      <c r="H573" t="str">
        <f t="shared" si="8"/>
        <v/>
      </c>
    </row>
    <row r="574" spans="8:8" x14ac:dyDescent="0.35">
      <c r="H574" t="str">
        <f t="shared" si="8"/>
        <v/>
      </c>
    </row>
    <row r="575" spans="8:8" x14ac:dyDescent="0.35">
      <c r="H575" t="str">
        <f t="shared" si="8"/>
        <v/>
      </c>
    </row>
    <row r="576" spans="8:8" x14ac:dyDescent="0.35">
      <c r="H576" t="str">
        <f t="shared" si="8"/>
        <v/>
      </c>
    </row>
    <row r="577" spans="8:8" x14ac:dyDescent="0.35">
      <c r="H577" t="str">
        <f t="shared" si="8"/>
        <v/>
      </c>
    </row>
    <row r="578" spans="8:8" x14ac:dyDescent="0.35">
      <c r="H578" t="str">
        <f t="shared" si="8"/>
        <v/>
      </c>
    </row>
    <row r="579" spans="8:8" x14ac:dyDescent="0.35">
      <c r="H579" t="str">
        <f t="shared" si="8"/>
        <v/>
      </c>
    </row>
    <row r="580" spans="8:8" x14ac:dyDescent="0.35">
      <c r="H580" t="str">
        <f t="shared" ref="H580:H632" si="9">IF(F580="","",IF(F580&lt;=0,"1",""))</f>
        <v/>
      </c>
    </row>
    <row r="581" spans="8:8" x14ac:dyDescent="0.35">
      <c r="H581" t="str">
        <f t="shared" si="9"/>
        <v/>
      </c>
    </row>
    <row r="582" spans="8:8" x14ac:dyDescent="0.35">
      <c r="H582" t="str">
        <f t="shared" si="9"/>
        <v/>
      </c>
    </row>
    <row r="583" spans="8:8" x14ac:dyDescent="0.35">
      <c r="H583" t="str">
        <f t="shared" si="9"/>
        <v/>
      </c>
    </row>
    <row r="584" spans="8:8" x14ac:dyDescent="0.35">
      <c r="H584" t="str">
        <f t="shared" si="9"/>
        <v/>
      </c>
    </row>
    <row r="585" spans="8:8" x14ac:dyDescent="0.35">
      <c r="H585" t="str">
        <f t="shared" si="9"/>
        <v/>
      </c>
    </row>
    <row r="586" spans="8:8" x14ac:dyDescent="0.35">
      <c r="H586" t="str">
        <f t="shared" si="9"/>
        <v/>
      </c>
    </row>
    <row r="587" spans="8:8" x14ac:dyDescent="0.35">
      <c r="H587" t="str">
        <f t="shared" si="9"/>
        <v/>
      </c>
    </row>
    <row r="588" spans="8:8" x14ac:dyDescent="0.35">
      <c r="H588" t="str">
        <f t="shared" si="9"/>
        <v/>
      </c>
    </row>
    <row r="589" spans="8:8" x14ac:dyDescent="0.35">
      <c r="H589" t="str">
        <f t="shared" si="9"/>
        <v/>
      </c>
    </row>
    <row r="590" spans="8:8" x14ac:dyDescent="0.35">
      <c r="H590" t="str">
        <f t="shared" si="9"/>
        <v/>
      </c>
    </row>
    <row r="591" spans="8:8" x14ac:dyDescent="0.35">
      <c r="H591" t="str">
        <f t="shared" si="9"/>
        <v/>
      </c>
    </row>
    <row r="592" spans="8:8" x14ac:dyDescent="0.35">
      <c r="H592" t="str">
        <f t="shared" si="9"/>
        <v/>
      </c>
    </row>
    <row r="593" spans="8:8" x14ac:dyDescent="0.35">
      <c r="H593" t="str">
        <f t="shared" si="9"/>
        <v/>
      </c>
    </row>
    <row r="594" spans="8:8" x14ac:dyDescent="0.35">
      <c r="H594" t="str">
        <f t="shared" si="9"/>
        <v/>
      </c>
    </row>
    <row r="595" spans="8:8" x14ac:dyDescent="0.35">
      <c r="H595" t="str">
        <f t="shared" si="9"/>
        <v/>
      </c>
    </row>
    <row r="596" spans="8:8" x14ac:dyDescent="0.35">
      <c r="H596" t="str">
        <f t="shared" si="9"/>
        <v/>
      </c>
    </row>
    <row r="597" spans="8:8" x14ac:dyDescent="0.35">
      <c r="H597" t="str">
        <f t="shared" si="9"/>
        <v/>
      </c>
    </row>
    <row r="598" spans="8:8" x14ac:dyDescent="0.35">
      <c r="H598" t="str">
        <f t="shared" si="9"/>
        <v/>
      </c>
    </row>
    <row r="599" spans="8:8" x14ac:dyDescent="0.35">
      <c r="H599" t="str">
        <f t="shared" si="9"/>
        <v/>
      </c>
    </row>
    <row r="600" spans="8:8" x14ac:dyDescent="0.35">
      <c r="H600" t="str">
        <f t="shared" si="9"/>
        <v/>
      </c>
    </row>
    <row r="601" spans="8:8" x14ac:dyDescent="0.35">
      <c r="H601" t="str">
        <f t="shared" si="9"/>
        <v/>
      </c>
    </row>
    <row r="602" spans="8:8" x14ac:dyDescent="0.35">
      <c r="H602" t="str">
        <f t="shared" si="9"/>
        <v/>
      </c>
    </row>
    <row r="603" spans="8:8" x14ac:dyDescent="0.35">
      <c r="H603" t="str">
        <f t="shared" si="9"/>
        <v/>
      </c>
    </row>
    <row r="604" spans="8:8" x14ac:dyDescent="0.35">
      <c r="H604" t="str">
        <f t="shared" si="9"/>
        <v/>
      </c>
    </row>
    <row r="605" spans="8:8" x14ac:dyDescent="0.35">
      <c r="H605" t="str">
        <f t="shared" si="9"/>
        <v/>
      </c>
    </row>
    <row r="606" spans="8:8" x14ac:dyDescent="0.35">
      <c r="H606" t="str">
        <f t="shared" si="9"/>
        <v/>
      </c>
    </row>
    <row r="607" spans="8:8" x14ac:dyDescent="0.35">
      <c r="H607" t="str">
        <f t="shared" si="9"/>
        <v/>
      </c>
    </row>
    <row r="608" spans="8:8" x14ac:dyDescent="0.35">
      <c r="H608" t="str">
        <f t="shared" si="9"/>
        <v/>
      </c>
    </row>
    <row r="609" spans="8:8" x14ac:dyDescent="0.35">
      <c r="H609" t="str">
        <f t="shared" si="9"/>
        <v/>
      </c>
    </row>
    <row r="610" spans="8:8" x14ac:dyDescent="0.35">
      <c r="H610" t="str">
        <f t="shared" si="9"/>
        <v/>
      </c>
    </row>
    <row r="611" spans="8:8" x14ac:dyDescent="0.35">
      <c r="H611" t="str">
        <f t="shared" si="9"/>
        <v/>
      </c>
    </row>
    <row r="612" spans="8:8" x14ac:dyDescent="0.35">
      <c r="H612" t="str">
        <f t="shared" si="9"/>
        <v/>
      </c>
    </row>
    <row r="613" spans="8:8" x14ac:dyDescent="0.35">
      <c r="H613" t="str">
        <f t="shared" si="9"/>
        <v/>
      </c>
    </row>
    <row r="614" spans="8:8" x14ac:dyDescent="0.35">
      <c r="H614" t="str">
        <f t="shared" si="9"/>
        <v/>
      </c>
    </row>
    <row r="615" spans="8:8" x14ac:dyDescent="0.35">
      <c r="H615" t="str">
        <f t="shared" si="9"/>
        <v/>
      </c>
    </row>
    <row r="616" spans="8:8" x14ac:dyDescent="0.35">
      <c r="H616" t="str">
        <f t="shared" si="9"/>
        <v/>
      </c>
    </row>
    <row r="617" spans="8:8" x14ac:dyDescent="0.35">
      <c r="H617" t="str">
        <f t="shared" si="9"/>
        <v/>
      </c>
    </row>
    <row r="618" spans="8:8" x14ac:dyDescent="0.35">
      <c r="H618" t="str">
        <f t="shared" si="9"/>
        <v/>
      </c>
    </row>
    <row r="619" spans="8:8" x14ac:dyDescent="0.35">
      <c r="H619" t="str">
        <f t="shared" si="9"/>
        <v/>
      </c>
    </row>
    <row r="620" spans="8:8" x14ac:dyDescent="0.35">
      <c r="H620" t="str">
        <f t="shared" si="9"/>
        <v/>
      </c>
    </row>
    <row r="621" spans="8:8" x14ac:dyDescent="0.35">
      <c r="H621" t="str">
        <f t="shared" si="9"/>
        <v/>
      </c>
    </row>
    <row r="622" spans="8:8" x14ac:dyDescent="0.35">
      <c r="H622" t="str">
        <f t="shared" si="9"/>
        <v/>
      </c>
    </row>
    <row r="623" spans="8:8" x14ac:dyDescent="0.35">
      <c r="H623" t="str">
        <f t="shared" si="9"/>
        <v/>
      </c>
    </row>
    <row r="624" spans="8:8" x14ac:dyDescent="0.35">
      <c r="H624" t="str">
        <f t="shared" si="9"/>
        <v/>
      </c>
    </row>
    <row r="625" spans="8:8" x14ac:dyDescent="0.35">
      <c r="H625" t="str">
        <f t="shared" si="9"/>
        <v/>
      </c>
    </row>
    <row r="626" spans="8:8" x14ac:dyDescent="0.35">
      <c r="H626" t="str">
        <f t="shared" si="9"/>
        <v/>
      </c>
    </row>
    <row r="627" spans="8:8" x14ac:dyDescent="0.35">
      <c r="H627" t="str">
        <f t="shared" si="9"/>
        <v/>
      </c>
    </row>
    <row r="628" spans="8:8" x14ac:dyDescent="0.35">
      <c r="H628" t="str">
        <f t="shared" si="9"/>
        <v/>
      </c>
    </row>
    <row r="629" spans="8:8" x14ac:dyDescent="0.35">
      <c r="H629" t="str">
        <f t="shared" si="9"/>
        <v/>
      </c>
    </row>
    <row r="630" spans="8:8" x14ac:dyDescent="0.35">
      <c r="H630" t="str">
        <f t="shared" si="9"/>
        <v/>
      </c>
    </row>
    <row r="631" spans="8:8" x14ac:dyDescent="0.35">
      <c r="H631" t="str">
        <f t="shared" si="9"/>
        <v/>
      </c>
    </row>
    <row r="632" spans="8:8" x14ac:dyDescent="0.35">
      <c r="H632" t="str">
        <f t="shared" si="9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Tableau Final</vt:lpstr>
      <vt:lpstr>Détails Tableau</vt:lpstr>
      <vt:lpstr>Procédure avec fichier roxane</vt:lpstr>
      <vt:lpstr>Catégorie Articles Roxane</vt:lpstr>
      <vt:lpstr>Copie fichier roxane</vt:lpstr>
      <vt:lpstr>Quantité roxane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GILLE</dc:creator>
  <cp:lastModifiedBy>M920x</cp:lastModifiedBy>
  <cp:lastPrinted>2022-04-19T10:13:22Z</cp:lastPrinted>
  <dcterms:created xsi:type="dcterms:W3CDTF">2019-12-23T12:19:01Z</dcterms:created>
  <dcterms:modified xsi:type="dcterms:W3CDTF">2022-08-10T13:29:01Z</dcterms:modified>
</cp:coreProperties>
</file>